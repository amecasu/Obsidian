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DieseArbeitsmappe"/>
  <mc:AlternateContent xmlns:mc="http://schemas.openxmlformats.org/markup-compatibility/2006">
    <mc:Choice Requires="x15">
      <x15ac:absPath xmlns:x15ac="http://schemas.microsoft.com/office/spreadsheetml/2010/11/ac" url="G:\06_General\Capacity_Confirmation\BuyP\"/>
    </mc:Choice>
  </mc:AlternateContent>
  <xr:revisionPtr revIDLastSave="0" documentId="13_ncr:1_{92193717-8A58-4E90-8EE1-58943E548C23}" xr6:coauthVersionLast="47" xr6:coauthVersionMax="47" xr10:uidLastSave="{00000000-0000-0000-0000-000000000000}"/>
  <bookViews>
    <workbookView xWindow="28680" yWindow="-120" windowWidth="29040" windowHeight="15720" tabRatio="820" xr2:uid="{00000000-000D-0000-FFFF-FFFF00000000}"/>
  </bookViews>
  <sheets>
    <sheet name="Graph Datasheet" sheetId="18" r:id="rId1"/>
    <sheet name="1. Support table for POT " sheetId="9" r:id="rId2"/>
    <sheet name="2. Suppport table UTrel | OEE" sheetId="14" r:id="rId3"/>
    <sheet name="color code" sheetId="21" r:id="rId4"/>
    <sheet name="calculation sheet" sheetId="22" r:id="rId5"/>
  </sheets>
  <definedNames>
    <definedName name="_Fill" localSheetId="2" hidden="1">#REF!</definedName>
    <definedName name="_Fill" hidden="1">#REF!</definedName>
    <definedName name="_Key1" hidden="1">#REF!</definedName>
    <definedName name="_Order1" hidden="1">255</definedName>
    <definedName name="_Order2" hidden="1">255</definedName>
    <definedName name="_Sort" hidden="1">#REF!</definedName>
    <definedName name="ACwvu.Abgrenzungen." hidden="1">#REF!</definedName>
    <definedName name="ACwvu.VMUK_Ganter." hidden="1">#REF!</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"dgEAAB|LCAAAAAAABACFkMEKgkAQhu9B77DsPVcLOoTaoS5BYhRU10lHXdJZ2d3aHj8pLKpD12||f4b5w/mtqdkVtZGKIh54PmdImcollRG/2GIUTPk8Hg7Cg9Lnk1LntLWdaliXIzO7GRnxytp2JoRzznMTT|lSjH0/EMdkvcsqbGAkyVigDPkrlf9P8e4qY|EWC42mSiltkeICaoOh|IQPb1Ej6CVYSGkHV|zNb/xw|182WlnMLOa9/Tv49F3"</definedName>
    <definedName name="EPMWorkbookOptions_2" hidden="1">"OxBOtzB60hFONCeryveGHd9WJr|7iO45h/1l2AQAA"</definedName>
    <definedName name="EPMWorkbookOptions_3" hidden="1">"q1I5aIB1|9jvFiI9PD/fLvxsp5p|4A/46JXC/Ugfj6rUDvvdwP6FCrsJ1umb/n0L9yVm8LmqawgsgQcfUfhVlBx7leI6lqgwoFiLsdvq|ERhA1SYZYfYiN7jpT401GtgOR99akavXaGA7GpVp9RJfoyvhHqVGDsEQasEKPBlf01aC6bDnqFRNYNFxPhVOc9nDUg7MBHr1izKK6jDXAJiv/EKbHgONT|VFmFb6vdWn8UZM0VgR|Lc7kHb898bsmR"</definedName>
    <definedName name="EPMWorkbookOptions_4" hidden="1">"AYaTt4C0wIeNK8tc3pTXGqouJVMH9/lw3wZ4k9XniyaHtvXMRuhL4OWDjjtFlA5oigilZXTjoQhDkm80NjxZUNdSz9|iCNJukGSh49wVPZGuJYeaJPCH3HO4lVKytWZIAxZV7syUDVW09W0YzmfpOUkva8pD0dnbrVaq9E0fXjmVrKXuWuGUcUqrfu0qzRRHuvCPI2/Jo11BZPmjs/j|hVFNhpXh|dxNYN5vIYYFS6vK2nXaeJAAMflTCKjW/8h"</definedName>
    <definedName name="EPMWorkbookOptions_5" hidden="1">"Z7I9A0r9nMkWE11tZ4DJOc17qgZagigCTfqbp896vVr9xOMnncXJLyC5Nba1gL/Llqs2tpvHqlZS2rxywk3hWkY163PcftbIFZusYjFZQTv|6eLzaq1nT60rhlGlyuJD2kWaJI5/9NTvxyeJg23LF7wHHEuEB36xwKd|8yhJLIomV9LO43wmu26nBxSe44W7ky7QrrI35YVJRhWLa5RsLNK|iA3L3qadzPlktMABod8WOFaTTpnRjexldJhkVLW"</definedName>
    <definedName name="EPMWorkbookOptions_6" hidden="1">"45qLz|UMy|bdeX5HW//IPHeFWV/gT5vSP7OX0O8aobCnS/wGt9B|tOx/JivwtKwKOO6FiqQweB91gjCpW5DIyB52PXmVFauuc5h9UP51iM3i8LwC5s6OxrsoXBvHdPEK1Ksf3WUX4i68EP6/ZDB5s22Dc|nalQ1bTLtWkiVAXe7Q|ngjLpX7NmLREemTqt2iTR5L6tDmfOU8Teiddo2XwAOgSYVSjy/8bLV9u4u4BQuVAthRysQuifUBSP7AnCo"</definedName>
    <definedName name="EPMWorkbookOptions_7" hidden="1">"TOQMqcz0zX41lVV3j1lLNdBk98bjBiieLfB62dK/QzRpHexBsxRNxrICKlG3McbfedGeHC3fdsMAocI|hOJEtyoLV5f0K00LfjptBAy6CSpRovcGO5Xezbbl4ogmXp|Rg31rsVUfvFaH3XGMG9M5BpDKawB9FzEGGn/Pu3IOz6BSbN/wEtNwaj|0QAAA=="</definedName>
    <definedName name="NONAME" hidden="1">#REF!</definedName>
    <definedName name="plant1addcurve1">OFFSET('Graph Datasheet'!#REF!,0,'Graph Datasheet'!$C$7,1,'Graph Datasheet'!$C$6)</definedName>
    <definedName name="plant1addcurve2">OFFSET('Graph Datasheet'!#REF!,0,'Graph Datasheet'!$C$7,1,'Graph Datasheet'!$C$6)</definedName>
    <definedName name="plant1addcurve3">OFFSET('Graph Datasheet'!#REF!,0,'Graph Datasheet'!$C$7,1,'Graph Datasheet'!$C$6)</definedName>
    <definedName name="plant1addcurve4">OFFSET('Graph Datasheet'!#REF!,0,'Graph Datasheet'!$C$7,1,'Graph Datasheet'!$C$6)</definedName>
    <definedName name="plant1addcurve5">OFFSET('Graph Datasheet'!#REF!,0,'Graph Datasheet'!$C$7,1,'Graph Datasheet'!$C$6)</definedName>
    <definedName name="plant1addcurve6">OFFSET('Graph Datasheet'!#REF!,0,'Graph Datasheet'!$C$7,1,'Graph Datasheet'!$C$6)</definedName>
    <definedName name="plant1CustFluc24m" comment="Werk1 Customer Fluctuation in 24 month view">OFFSET('Graph Datasheet'!#REF!,0,'Graph Datasheet'!$C$7,1,'Graph Datasheet'!$C$6)</definedName>
    <definedName name="plant1MaxTEC24m" comment="Werk1 Max TEC in 24 month view">OFFSET('Graph Datasheet'!#REF!,0,'Graph Datasheet'!$C$7,1,'Graph Datasheet'!$C$6)</definedName>
    <definedName name="plant1PVAacqstatacc24m" comment="Werk1 Acquisition status accepted in 24 month view">OFFSET('Graph Datasheet'!#REF!,0,'Graph Datasheet'!$C$7,1,'Graph Datasheet'!$C$6)</definedName>
    <definedName name="plant1PVAcur24m" comment="Werk1 PVA current in 24 month view">OFFSET('Graph Datasheet'!#REF!,0,'Graph Datasheet'!$C$7,1,'Graph Datasheet'!$C$6)</definedName>
    <definedName name="plant1PVAold24m" comment="Werk1 PVA last year in 24 month view">OFFSET('Graph Datasheet'!#REF!,0,'Graph Datasheet'!$C$7,1,'Graph Datasheet'!$C$6)</definedName>
    <definedName name="plant1TECline1" comment="TEC of line 1 in plant 1">OFFSET('Graph Datasheet'!$E$22,0,'Graph Datasheet'!$C$7,1,'Graph Datasheet'!$C$6)</definedName>
    <definedName name="plant1TECline10">OFFSET('Graph Datasheet'!$E$130,0,'Graph Datasheet'!$C$7,1,'Graph Datasheet'!$C$6)</definedName>
    <definedName name="plant1TECline2">OFFSET('Graph Datasheet'!$E$34,0,'Graph Datasheet'!$C$7,1,'Graph Datasheet'!$C$6)</definedName>
    <definedName name="plant1TECline3">OFFSET('Graph Datasheet'!$E$46,0,'Graph Datasheet'!$C$7,1,'Graph Datasheet'!$C$6)</definedName>
    <definedName name="plant1TECline4">OFFSET('Graph Datasheet'!$E$58,0,'Graph Datasheet'!$C$7,1,'Graph Datasheet'!$C$6)</definedName>
    <definedName name="plant1TECline5">OFFSET('Graph Datasheet'!$E$70,0,'Graph Datasheet'!$C$7,1,'Graph Datasheet'!$C$6)</definedName>
    <definedName name="plant1TECline6">OFFSET('Graph Datasheet'!$E$82,0,'Graph Datasheet'!$C$7,1,'Graph Datasheet'!$C$6)</definedName>
    <definedName name="plant1TECline7">OFFSET('Graph Datasheet'!$E$94,0,'Graph Datasheet'!$C$7,1,'Graph Datasheet'!$C$6)</definedName>
    <definedName name="plant1TECline8">OFFSET('Graph Datasheet'!$E$106,0,'Graph Datasheet'!$C$7,1,'Graph Datasheet'!$C$6)</definedName>
    <definedName name="plant1TECline9">OFFSET('Graph Datasheet'!$E$118,0,'Graph Datasheet'!$C$7,1,'Graph Datasheet'!$C$6)</definedName>
    <definedName name="plant1TotProd24m" comment="Werk1 Total to produce in 24 month view">OFFSET('Graph Datasheet'!#REF!,0,'Graph Datasheet'!$C$7,1,'Graph Datasheet'!$C$6)</definedName>
    <definedName name="plant2addcurve1">OFFSET('Graph Datasheet'!#REF!,0,'Graph Datasheet'!$C$7,1,'Graph Datasheet'!$C$6)</definedName>
    <definedName name="plant2addcurve2">OFFSET('Graph Datasheet'!#REF!,0,'Graph Datasheet'!$C$7,1,'Graph Datasheet'!$C$6)</definedName>
    <definedName name="plant2addcurve3">OFFSET('Graph Datasheet'!#REF!,0,'Graph Datasheet'!$C$7,1,'Graph Datasheet'!$C$6)</definedName>
    <definedName name="plant2addcurve4">OFFSET('Graph Datasheet'!#REF!,0,'Graph Datasheet'!$C$7,1,'Graph Datasheet'!$C$6)</definedName>
    <definedName name="plant2addcurve5">OFFSET('Graph Datasheet'!#REF!,0,'Graph Datasheet'!$C$7,1,'Graph Datasheet'!$C$6)</definedName>
    <definedName name="plant2addcurve6">OFFSET('Graph Datasheet'!#REF!,0,'Graph Datasheet'!$C$7,1,'Graph Datasheet'!$C$6)</definedName>
    <definedName name="plant2CustFluc24m">OFFSET('Graph Datasheet'!#REF!,0,'Graph Datasheet'!$C$7,1,'Graph Datasheet'!$C$6)</definedName>
    <definedName name="plant2MaxTEC24m">OFFSET('Graph Datasheet'!#REF!,0,'Graph Datasheet'!$C$7,1,'Graph Datasheet'!$C$6)</definedName>
    <definedName name="plant2PVAacqstatacc24m">OFFSET('Graph Datasheet'!#REF!,0,'Graph Datasheet'!$C$7,1,'Graph Datasheet'!$C$6)</definedName>
    <definedName name="plant2PVAcur24m">OFFSET('Graph Datasheet'!#REF!,0,'Graph Datasheet'!$C$7,1,'Graph Datasheet'!$C$6)</definedName>
    <definedName name="plant2PVAold24m">OFFSET('Graph Datasheet'!#REF!,0,'Graph Datasheet'!$C$7,1,'Graph Datasheet'!$C$6)</definedName>
    <definedName name="plant2TECline1">OFFSET('Graph Datasheet'!#REF!,0,'Graph Datasheet'!$C$7,1,'Graph Datasheet'!$C$6)</definedName>
    <definedName name="plant2TECline10">OFFSET('Graph Datasheet'!#REF!,0,'Graph Datasheet'!$C$7,1,'Graph Datasheet'!$C$6)</definedName>
    <definedName name="plant2TECline2">OFFSET('Graph Datasheet'!#REF!,0,'Graph Datasheet'!$C$7,1,'Graph Datasheet'!$C$6)</definedName>
    <definedName name="plant2TECline3">OFFSET('Graph Datasheet'!#REF!,0,'Graph Datasheet'!$C$7,1,'Graph Datasheet'!$C$6)</definedName>
    <definedName name="plant2TECline4">OFFSET('Graph Datasheet'!#REF!,0,'Graph Datasheet'!$C$7,1,'Graph Datasheet'!$C$6)</definedName>
    <definedName name="plant2TECline5">OFFSET('Graph Datasheet'!#REF!,0,'Graph Datasheet'!$C$7,1,'Graph Datasheet'!$C$6)</definedName>
    <definedName name="plant2TECline6">OFFSET('Graph Datasheet'!#REF!,0,'Graph Datasheet'!$C$7,1,'Graph Datasheet'!$C$6)</definedName>
    <definedName name="plant2TECline7">OFFSET('Graph Datasheet'!#REF!,0,'Graph Datasheet'!$C$7,1,'Graph Datasheet'!$C$6)</definedName>
    <definedName name="plant2TECline8">OFFSET('Graph Datasheet'!#REF!,0,'Graph Datasheet'!$C$7,1,'Graph Datasheet'!$C$6)</definedName>
    <definedName name="plant2TECline9">OFFSET('Graph Datasheet'!#REF!,0,'Graph Datasheet'!$C$7,1,'Graph Datasheet'!$C$6)</definedName>
    <definedName name="plant2TotProd24m">OFFSET('Graph Datasheet'!#REF!,0,'Graph Datasheet'!$C$7,1,'Graph Datasheet'!$C$6)</definedName>
    <definedName name="plant3addcurve1">OFFSET('Graph Datasheet'!#REF!,0,'Graph Datasheet'!$C$7,1,'Graph Datasheet'!$C$6)</definedName>
    <definedName name="plant3addcurve2">OFFSET('Graph Datasheet'!#REF!,0,'Graph Datasheet'!$C$7,1,'Graph Datasheet'!$C$6)</definedName>
    <definedName name="plant3addcurve3">OFFSET('Graph Datasheet'!#REF!,0,'Graph Datasheet'!$C$7,1,'Graph Datasheet'!$C$6)</definedName>
    <definedName name="plant3addcurve4">OFFSET('Graph Datasheet'!#REF!,0,'Graph Datasheet'!$C$7,1,'Graph Datasheet'!$C$6)</definedName>
    <definedName name="plant3addcurve5">OFFSET('Graph Datasheet'!#REF!,0,'Graph Datasheet'!$C$7,1,'Graph Datasheet'!$C$6)</definedName>
    <definedName name="plant3addcurve6">OFFSET('Graph Datasheet'!#REF!,0,'Graph Datasheet'!$C$7,1,'Graph Datasheet'!$C$6)</definedName>
    <definedName name="plant3CustFluc24m">OFFSET('Graph Datasheet'!#REF!,0,'Graph Datasheet'!$C$7,1,'Graph Datasheet'!$C$6)</definedName>
    <definedName name="plant3MaxTEC24m">OFFSET('Graph Datasheet'!#REF!,0,'Graph Datasheet'!$C$7,1,'Graph Datasheet'!$C$6)</definedName>
    <definedName name="plant3PVAacqstatacc24m">OFFSET('Graph Datasheet'!#REF!,0,'Graph Datasheet'!$C$7,1,'Graph Datasheet'!$C$6)</definedName>
    <definedName name="plant3PVAcur24m">OFFSET('Graph Datasheet'!#REF!,0,'Graph Datasheet'!$C$7,1,'Graph Datasheet'!$C$6)</definedName>
    <definedName name="plant3PVAold24m">OFFSET('Graph Datasheet'!#REF!,0,'Graph Datasheet'!$C$7,1,'Graph Datasheet'!$C$6)</definedName>
    <definedName name="plant3TECline1">OFFSET('Graph Datasheet'!#REF!,0,'Graph Datasheet'!$C$7,1,'Graph Datasheet'!$C$6)</definedName>
    <definedName name="plant3TECline2">OFFSET('Graph Datasheet'!#REF!,0,'Graph Datasheet'!$C$7,1,'Graph Datasheet'!$C$6)</definedName>
    <definedName name="plant3TECline3">OFFSET('Graph Datasheet'!#REF!,0,'Graph Datasheet'!$C$7,1,'Graph Datasheet'!$C$6)</definedName>
    <definedName name="plant3TECline4">OFFSET('Graph Datasheet'!#REF!,0,'Graph Datasheet'!$C$7,1,'Graph Datasheet'!$C$6)</definedName>
    <definedName name="plant3TECline5">OFFSET('Graph Datasheet'!#REF!,0,'Graph Datasheet'!$C$7,1,'Graph Datasheet'!$C$6)</definedName>
    <definedName name="plant3TECline6">OFFSET('Graph Datasheet'!#REF!,0,'Graph Datasheet'!$C$7,1,'Graph Datasheet'!$C$6)</definedName>
    <definedName name="plant3TECline7">OFFSET('Graph Datasheet'!#REF!,0,'Graph Datasheet'!$C$7,1,'Graph Datasheet'!$C$6)</definedName>
    <definedName name="plant3TECline8">OFFSET('Graph Datasheet'!#REF!,0,'Graph Datasheet'!$C$7,1,'Graph Datasheet'!$C$6)</definedName>
    <definedName name="plant3TotProd24m">OFFSET('Graph Datasheet'!#REF!,0,'Graph Datasheet'!$C$7,1,'Graph Datasheet'!$C$6)</definedName>
    <definedName name="plant4addcurve1">OFFSET('Graph Datasheet'!#REF!,0,'Graph Datasheet'!$C$7,1,'Graph Datasheet'!$C$6)</definedName>
    <definedName name="plant4addcurve2">OFFSET('Graph Datasheet'!#REF!,0,'Graph Datasheet'!$C$7,1,'Graph Datasheet'!$C$6)</definedName>
    <definedName name="plant4addcurve3">OFFSET('Graph Datasheet'!#REF!,0,'Graph Datasheet'!$C$7,1,'Graph Datasheet'!$C$6)</definedName>
    <definedName name="plant4addcurve4">OFFSET('Graph Datasheet'!#REF!,0,'Graph Datasheet'!$C$7,1,'Graph Datasheet'!$C$6)</definedName>
    <definedName name="plant4addcurve5">OFFSET('Graph Datasheet'!#REF!,0,'Graph Datasheet'!$C$7,1,'Graph Datasheet'!$C$6)</definedName>
    <definedName name="plant4addcurve6">OFFSET('Graph Datasheet'!#REF!,0,'Graph Datasheet'!$C$7,1,'Graph Datasheet'!$C$6)</definedName>
    <definedName name="plant4CustFluc24m">OFFSET('Graph Datasheet'!#REF!,0,'Graph Datasheet'!$C$7,1,'Graph Datasheet'!$C$6)</definedName>
    <definedName name="plant4MaxTEC24m">OFFSET('Graph Datasheet'!#REF!,0,'Graph Datasheet'!$C$7,1,'Graph Datasheet'!$C$6)</definedName>
    <definedName name="plant4PVAacqstatacc24m">OFFSET('Graph Datasheet'!#REF!,0,'Graph Datasheet'!$C$7,1,'Graph Datasheet'!$C$6)</definedName>
    <definedName name="plant4PVAcur24m">OFFSET('Graph Datasheet'!#REF!,0,'Graph Datasheet'!$C$7,1,'Graph Datasheet'!$C$6)</definedName>
    <definedName name="plant4PVAold24m">OFFSET('Graph Datasheet'!#REF!,0,'Graph Datasheet'!$C$7,1,'Graph Datasheet'!$C$6)</definedName>
    <definedName name="plant4TECline1">OFFSET('Graph Datasheet'!#REF!,0,'Graph Datasheet'!$C$7,1,'Graph Datasheet'!$C$6)</definedName>
    <definedName name="plant4TECline2">OFFSET('Graph Datasheet'!#REF!,0,'Graph Datasheet'!$C$7,1,'Graph Datasheet'!$C$6)</definedName>
    <definedName name="plant4TECline3">OFFSET('Graph Datasheet'!#REF!,0,'Graph Datasheet'!$C$7,1,'Graph Datasheet'!$C$6)</definedName>
    <definedName name="plant4TECline4">OFFSET('Graph Datasheet'!#REF!,0,'Graph Datasheet'!$C$7,1,'Graph Datasheet'!$C$6)</definedName>
    <definedName name="plant4TECline5">OFFSET('Graph Datasheet'!#REF!,0,'Graph Datasheet'!$C$7,1,'Graph Datasheet'!$C$6)</definedName>
    <definedName name="plant4TECline6">OFFSET('Graph Datasheet'!#REF!,0,'Graph Datasheet'!$C$7,1,'Graph Datasheet'!$C$6)</definedName>
    <definedName name="plant4TECline7">OFFSET('Graph Datasheet'!#REF!,0,'Graph Datasheet'!$C$7,1,'Graph Datasheet'!$C$6)</definedName>
    <definedName name="plant4TECline8">OFFSET('Graph Datasheet'!#REF!,0,'Graph Datasheet'!$C$7,1,'Graph Datasheet'!$C$6)</definedName>
    <definedName name="plant4TotProd24m">OFFSET('Graph Datasheet'!#REF!,0,'Graph Datasheet'!$C$7,1,'Graph Datasheet'!$C$6)</definedName>
    <definedName name="plant5addcurve1">OFFSET('Graph Datasheet'!#REF!,0,'Graph Datasheet'!$C$7,1,'Graph Datasheet'!$C$6)</definedName>
    <definedName name="plant5addcurve2">OFFSET('Graph Datasheet'!#REF!,0,'Graph Datasheet'!$C$7,1,'Graph Datasheet'!$C$6)</definedName>
    <definedName name="plant5addcurve3">OFFSET('Graph Datasheet'!#REF!,0,'Graph Datasheet'!$C$7,1,'Graph Datasheet'!$C$6)</definedName>
    <definedName name="plant5addcurve4">OFFSET('Graph Datasheet'!#REF!,0,'Graph Datasheet'!$C$7,1,'Graph Datasheet'!$C$6)</definedName>
    <definedName name="plant5addcurve5">OFFSET('Graph Datasheet'!#REF!,0,'Graph Datasheet'!$C$7,1,'Graph Datasheet'!$C$6)</definedName>
    <definedName name="plant5addcurve6">OFFSET('Graph Datasheet'!#REF!,0,'Graph Datasheet'!$C$7,1,'Graph Datasheet'!$C$6)</definedName>
    <definedName name="plant5CustFluc24m">OFFSET('Graph Datasheet'!#REF!,0,'Graph Datasheet'!$C$7,1,'Graph Datasheet'!$C$6)</definedName>
    <definedName name="plant5MaxTEC24m">OFFSET('Graph Datasheet'!#REF!,0,'Graph Datasheet'!$C$7,1,'Graph Datasheet'!$C$6)</definedName>
    <definedName name="plant5PVAacqstatacc24m">OFFSET('Graph Datasheet'!#REF!,0,'Graph Datasheet'!$C$7,1,'Graph Datasheet'!$C$6)</definedName>
    <definedName name="plant5PVAcur24m">OFFSET('Graph Datasheet'!#REF!,0,'Graph Datasheet'!$C$7,1,'Graph Datasheet'!$C$6)</definedName>
    <definedName name="plant5PVAold24m">OFFSET('Graph Datasheet'!#REF!,0,'Graph Datasheet'!$C$7,1,'Graph Datasheet'!$C$6)</definedName>
    <definedName name="plant5TECline1">OFFSET('Graph Datasheet'!#REF!,0,'Graph Datasheet'!$C$7,1,'Graph Datasheet'!$C$6)</definedName>
    <definedName name="plant5TECline2">OFFSET('Graph Datasheet'!#REF!,0,'Graph Datasheet'!$C$7,1,'Graph Datasheet'!$C$6)</definedName>
    <definedName name="plant5TECline3">OFFSET('Graph Datasheet'!#REF!,0,'Graph Datasheet'!$C$7,1,'Graph Datasheet'!$C$6)</definedName>
    <definedName name="plant5TECline4">OFFSET('Graph Datasheet'!#REF!,0,'Graph Datasheet'!$C$7,1,'Graph Datasheet'!$C$6)</definedName>
    <definedName name="plant5TECline5">OFFSET('Graph Datasheet'!#REF!,0,'Graph Datasheet'!$C$7,1,'Graph Datasheet'!$C$6)</definedName>
    <definedName name="plant5TECline6">OFFSET('Graph Datasheet'!#REF!,0,'Graph Datasheet'!$C$7,1,'Graph Datasheet'!$C$6)</definedName>
    <definedName name="plant5TECline7">OFFSET('Graph Datasheet'!#REF!,0,'Graph Datasheet'!$C$7,1,'Graph Datasheet'!$C$6)</definedName>
    <definedName name="plant5TECline8">OFFSET('Graph Datasheet'!#REF!,0,'Graph Datasheet'!$C$7,1,'Graph Datasheet'!$C$6)</definedName>
    <definedName name="plant5TotProd24m">OFFSET('Graph Datasheet'!#REF!,0,'Graph Datasheet'!$C$7,1,'Graph Datasheet'!$C$6)</definedName>
    <definedName name="plantwwaddcurve1">OFFSET('Graph Datasheet'!#REF!,0,'Graph Datasheet'!$C$7,1,'Graph Datasheet'!$C$6)</definedName>
    <definedName name="plantwwaddcurve2">OFFSET('Graph Datasheet'!#REF!,0,'Graph Datasheet'!$C$7,1,'Graph Datasheet'!$C$6)</definedName>
    <definedName name="plantwwaddcurve3">OFFSET('Graph Datasheet'!#REF!,0,'Graph Datasheet'!$C$7,1,'Graph Datasheet'!$C$6)</definedName>
    <definedName name="plantwwaddcurve4">OFFSET('Graph Datasheet'!#REF!,0,'Graph Datasheet'!$C$7,1,'Graph Datasheet'!$C$6)</definedName>
    <definedName name="plantwwaddcurve5">OFFSET('Graph Datasheet'!#REF!,0,'Graph Datasheet'!$C$7,1,'Graph Datasheet'!$C$6)</definedName>
    <definedName name="plantwwaddcurve6">OFFSET('Graph Datasheet'!#REF!,0,'Graph Datasheet'!$C$7,1,'Graph Datasheet'!$C$6)</definedName>
    <definedName name="plantwwbaseTECplant1">OFFSET('Graph Datasheet'!#REF!,0,'Graph Datasheet'!$C$7,1,'Graph Datasheet'!$C$6)</definedName>
    <definedName name="plantwwbaseTECplant2">OFFSET('Graph Datasheet'!#REF!,0,'Graph Datasheet'!$C$7,1,'Graph Datasheet'!$C$6)</definedName>
    <definedName name="plantwwbaseTECplant3">OFFSET('Graph Datasheet'!#REF!,0,'Graph Datasheet'!$C$7,1,'Graph Datasheet'!$C$6)</definedName>
    <definedName name="plantwwbaseTECplant4">OFFSET('Graph Datasheet'!#REF!,0,'Graph Datasheet'!$C$7,1,'Graph Datasheet'!$C$6)</definedName>
    <definedName name="plantwwCustFluc24m">OFFSET('Graph Datasheet'!#REF!,0,'Graph Datasheet'!$C$7,1,'Graph Datasheet'!$C$6)</definedName>
    <definedName name="plantwwMaxTEC24m">OFFSET('Graph Datasheet'!#REF!,0,'Graph Datasheet'!$C$7,1,'Graph Datasheet'!$C$6)</definedName>
    <definedName name="plantwwPVAacqstatacc24m">OFFSET('Graph Datasheet'!#REF!,0,'Graph Datasheet'!$C$7,1,'Graph Datasheet'!$C$6)</definedName>
    <definedName name="plantwwPVAcur24m">OFFSET('Graph Datasheet'!#REF!,0,'Graph Datasheet'!$C$7,1,'Graph Datasheet'!$C$6)</definedName>
    <definedName name="plantwwPVAold24m">OFFSET('Graph Datasheet'!#REF!,0,'Graph Datasheet'!$C$7,1,'Graph Datasheet'!$C$6)</definedName>
    <definedName name="plantwwTotProd24m">OFFSET('Graph Datasheet'!#REF!,0,'Graph Datasheet'!$C$7,1,'Graph Datasheet'!$C$6)</definedName>
    <definedName name="range24m" comment="Range of 24 month view">OFFSET('Graph Datasheet'!$E$6,0,'Graph Datasheet'!$C$7,1,'Graph Datasheet'!$C$6)</definedName>
    <definedName name="SAPBEXdnldView" hidden="1">"4DUQESEJ7RPQDO2LJU54J767Y"</definedName>
    <definedName name="SAPBEXrevision" hidden="1">1</definedName>
    <definedName name="SAPBEXsysID" hidden="1">"PB6"</definedName>
    <definedName name="SAPBEXwbID" hidden="1">"41QVKQUGTP0FGF0N978E2FDXA"</definedName>
    <definedName name="Swvu.Abgrenzungen." hidden="1">#REF!</definedName>
    <definedName name="Swvu.VMUK_Ganter." hidden="1">#REF!</definedName>
    <definedName name="Z_05C0FAE8_77A7_11D2_A579_006097C771E5_.wvu.PrintArea" hidden="1">#REF!</definedName>
    <definedName name="Z_05C0FAE9_77A7_11D2_A579_006097C771E5_.wvu.PrintArea" hidden="1">#REF!</definedName>
    <definedName name="Z_05C0FAEA_77A7_11D2_A579_006097C771E5_.wvu.PrintArea" hidden="1">#REF!</definedName>
    <definedName name="Z_33B8FEE1_754B_11D2_A578_006097C771E5_.wvu.PrintArea" hidden="1">#REF!</definedName>
    <definedName name="Z_33B8FEE2_754B_11D2_A578_006097C771E5_.wvu.PrintArea" hidden="1">#REF!</definedName>
    <definedName name="Z_33B8FEE3_754B_11D2_A578_006097C771E5_.wvu.PrintArea" hidden="1">#REF!</definedName>
    <definedName name="Z_61ED70C1_7541_11D2_942B_00A024892C20_.wvu.PrintArea" hidden="1">#REF!</definedName>
    <definedName name="Z_61ED70C2_7541_11D2_942B_00A024892C20_.wvu.PrintArea" hidden="1">#REF!</definedName>
    <definedName name="Z_61ED70C3_7541_11D2_942B_00A024892C20_.wvu.PrintArea" hidden="1">#REF!</definedName>
    <definedName name="Z_A51FC2C0_7871_11D2_A57A_006097C771E5_.wvu.PrintArea" hidden="1">#REF!</definedName>
    <definedName name="Z_A51FC2C1_7871_11D2_A57A_006097C771E5_.wvu.PrintArea" hidden="1">#REF!</definedName>
    <definedName name="Z_E678215C_8A7E_11D2_A58E_006097C771E5_.wvu.PrintArea" hidden="1">#REF!</definedName>
    <definedName name="Z_E678215D_8A7E_11D2_A58E_006097C771E5_.wvu.PrintArea" hidden="1">#REF!</definedName>
    <definedName name="Z_E678215E_8A7E_11D2_A58E_006097C771E5_.wvu.PrintArea"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18" l="1"/>
  <c r="C12" i="18"/>
  <c r="C360" i="18"/>
  <c r="C348" i="18"/>
  <c r="C336" i="18"/>
  <c r="C324" i="18"/>
  <c r="C312" i="18"/>
  <c r="C300" i="18"/>
  <c r="C288" i="18"/>
  <c r="C276" i="18"/>
  <c r="C264" i="18"/>
  <c r="C252" i="18"/>
  <c r="C240" i="18"/>
  <c r="C228" i="18"/>
  <c r="C216" i="18"/>
  <c r="C204" i="18"/>
  <c r="C192" i="18"/>
  <c r="C180" i="18"/>
  <c r="C168" i="18"/>
  <c r="C156" i="18"/>
  <c r="C144" i="18"/>
  <c r="C132" i="18"/>
  <c r="C120" i="18"/>
  <c r="C108" i="18"/>
  <c r="C96" i="18"/>
  <c r="C84" i="18"/>
  <c r="C72" i="18"/>
  <c r="C60" i="18"/>
  <c r="C48" i="18"/>
  <c r="C36" i="18"/>
  <c r="BM249" i="18"/>
  <c r="BL249" i="18"/>
  <c r="BK249" i="18"/>
  <c r="BJ249" i="18"/>
  <c r="BI249" i="18"/>
  <c r="AU249" i="18"/>
  <c r="AT249" i="18"/>
  <c r="AS249" i="18"/>
  <c r="AR249" i="18"/>
  <c r="AQ249" i="18"/>
  <c r="AP249" i="18"/>
  <c r="BM248" i="18"/>
  <c r="BL248" i="18"/>
  <c r="BK248" i="18"/>
  <c r="BJ248" i="18"/>
  <c r="BI248" i="18"/>
  <c r="AU248" i="18"/>
  <c r="AT248" i="18"/>
  <c r="AS248" i="18"/>
  <c r="AR248" i="18"/>
  <c r="AQ248" i="18"/>
  <c r="AP248" i="18"/>
  <c r="BM247" i="18"/>
  <c r="BL247" i="18"/>
  <c r="BK247" i="18"/>
  <c r="BJ247" i="18"/>
  <c r="BI247" i="18"/>
  <c r="AU247" i="18"/>
  <c r="AT247" i="18"/>
  <c r="AS247" i="18"/>
  <c r="AR247" i="18"/>
  <c r="AQ247" i="18"/>
  <c r="AP247" i="18"/>
  <c r="BM246" i="18"/>
  <c r="BL246" i="18"/>
  <c r="BK246" i="18"/>
  <c r="BJ246" i="18"/>
  <c r="BI246" i="18"/>
  <c r="AU246" i="18"/>
  <c r="AT246" i="18"/>
  <c r="AS246" i="18"/>
  <c r="AR246" i="18"/>
  <c r="AQ246" i="18"/>
  <c r="AP246" i="18"/>
  <c r="BM245" i="18"/>
  <c r="BL245" i="18"/>
  <c r="BK245" i="18"/>
  <c r="BJ245" i="18"/>
  <c r="BI245" i="18"/>
  <c r="AU245" i="18"/>
  <c r="AT245" i="18"/>
  <c r="AS245" i="18"/>
  <c r="AR245" i="18"/>
  <c r="AQ245" i="18"/>
  <c r="AP245" i="18"/>
  <c r="BM244" i="18"/>
  <c r="BL244" i="18"/>
  <c r="BK244" i="18"/>
  <c r="BJ244" i="18"/>
  <c r="BI244" i="18"/>
  <c r="AU244" i="18"/>
  <c r="AT244" i="18"/>
  <c r="AS244" i="18"/>
  <c r="AR244" i="18"/>
  <c r="AQ244" i="18"/>
  <c r="AP244" i="18"/>
  <c r="BM243" i="18"/>
  <c r="BL243" i="18"/>
  <c r="BK243" i="18"/>
  <c r="BJ243" i="18"/>
  <c r="BI243" i="18"/>
  <c r="AU243" i="18"/>
  <c r="AT243" i="18"/>
  <c r="AS243" i="18"/>
  <c r="AR243" i="18"/>
  <c r="AQ243" i="18"/>
  <c r="AP243" i="18"/>
  <c r="BM242" i="18"/>
  <c r="BL242" i="18"/>
  <c r="BK242" i="18"/>
  <c r="BJ242" i="18"/>
  <c r="BI242" i="18"/>
  <c r="AU242" i="18"/>
  <c r="AT242" i="18"/>
  <c r="AS242" i="18"/>
  <c r="AR242" i="18"/>
  <c r="AQ242" i="18"/>
  <c r="AP242" i="18"/>
  <c r="BM241" i="18"/>
  <c r="BL241" i="18"/>
  <c r="BK241" i="18"/>
  <c r="BJ241" i="18"/>
  <c r="BI241" i="18"/>
  <c r="AU241" i="18"/>
  <c r="AT241" i="18"/>
  <c r="AS241" i="18"/>
  <c r="AR241" i="18"/>
  <c r="AQ241" i="18"/>
  <c r="AP241" i="18"/>
  <c r="BM237" i="18"/>
  <c r="BL237" i="18"/>
  <c r="BK237" i="18"/>
  <c r="BJ237" i="18"/>
  <c r="BI237" i="18"/>
  <c r="AU237" i="18"/>
  <c r="AT237" i="18"/>
  <c r="AS237" i="18"/>
  <c r="AR237" i="18"/>
  <c r="AQ237" i="18"/>
  <c r="AP237" i="18"/>
  <c r="BM236" i="18"/>
  <c r="BL236" i="18"/>
  <c r="BK236" i="18"/>
  <c r="BJ236" i="18"/>
  <c r="BI236" i="18"/>
  <c r="AU236" i="18"/>
  <c r="AT236" i="18"/>
  <c r="AS236" i="18"/>
  <c r="AR236" i="18"/>
  <c r="AQ236" i="18"/>
  <c r="AP236" i="18"/>
  <c r="BM235" i="18"/>
  <c r="BL235" i="18"/>
  <c r="BK235" i="18"/>
  <c r="BJ235" i="18"/>
  <c r="BI235" i="18"/>
  <c r="AU235" i="18"/>
  <c r="AT235" i="18"/>
  <c r="AS235" i="18"/>
  <c r="AR235" i="18"/>
  <c r="AQ235" i="18"/>
  <c r="AP235" i="18"/>
  <c r="BM234" i="18"/>
  <c r="BL234" i="18"/>
  <c r="BK234" i="18"/>
  <c r="BJ234" i="18"/>
  <c r="BI234" i="18"/>
  <c r="AU234" i="18"/>
  <c r="AT234" i="18"/>
  <c r="AS234" i="18"/>
  <c r="AR234" i="18"/>
  <c r="AQ234" i="18"/>
  <c r="AP234" i="18"/>
  <c r="BM233" i="18"/>
  <c r="BL233" i="18"/>
  <c r="BK233" i="18"/>
  <c r="BJ233" i="18"/>
  <c r="BI233" i="18"/>
  <c r="AU233" i="18"/>
  <c r="AT233" i="18"/>
  <c r="AS233" i="18"/>
  <c r="AR233" i="18"/>
  <c r="AQ233" i="18"/>
  <c r="AP233" i="18"/>
  <c r="BM232" i="18"/>
  <c r="BL232" i="18"/>
  <c r="BK232" i="18"/>
  <c r="BJ232" i="18"/>
  <c r="BI232" i="18"/>
  <c r="AU232" i="18"/>
  <c r="AT232" i="18"/>
  <c r="AS232" i="18"/>
  <c r="AR232" i="18"/>
  <c r="AQ232" i="18"/>
  <c r="AP232" i="18"/>
  <c r="BM231" i="18"/>
  <c r="BL231" i="18"/>
  <c r="BK231" i="18"/>
  <c r="BJ231" i="18"/>
  <c r="BI231" i="18"/>
  <c r="AU231" i="18"/>
  <c r="AT231" i="18"/>
  <c r="AS231" i="18"/>
  <c r="AR231" i="18"/>
  <c r="AQ231" i="18"/>
  <c r="AP231" i="18"/>
  <c r="BM230" i="18"/>
  <c r="BL230" i="18"/>
  <c r="BK230" i="18"/>
  <c r="BJ230" i="18"/>
  <c r="BI230" i="18"/>
  <c r="AU230" i="18"/>
  <c r="AT230" i="18"/>
  <c r="AS230" i="18"/>
  <c r="AR230" i="18"/>
  <c r="AQ230" i="18"/>
  <c r="AP230" i="18"/>
  <c r="BM229" i="18"/>
  <c r="BL229" i="18"/>
  <c r="BK229" i="18"/>
  <c r="BJ229" i="18"/>
  <c r="BI229" i="18"/>
  <c r="AU229" i="18"/>
  <c r="AT229" i="18"/>
  <c r="AS229" i="18"/>
  <c r="AR229" i="18"/>
  <c r="AQ229" i="18"/>
  <c r="AP229" i="18"/>
  <c r="BM225" i="18"/>
  <c r="BL225" i="18"/>
  <c r="BK225" i="18"/>
  <c r="BJ225" i="18"/>
  <c r="BI225" i="18"/>
  <c r="AU225" i="18"/>
  <c r="AT225" i="18"/>
  <c r="AS225" i="18"/>
  <c r="AR225" i="18"/>
  <c r="AQ225" i="18"/>
  <c r="AP225" i="18"/>
  <c r="BM224" i="18"/>
  <c r="BL224" i="18"/>
  <c r="BK224" i="18"/>
  <c r="BJ224" i="18"/>
  <c r="BI224" i="18"/>
  <c r="AU224" i="18"/>
  <c r="AT224" i="18"/>
  <c r="AS224" i="18"/>
  <c r="AR224" i="18"/>
  <c r="AQ224" i="18"/>
  <c r="AP224" i="18"/>
  <c r="BM223" i="18"/>
  <c r="BL223" i="18"/>
  <c r="BK223" i="18"/>
  <c r="BJ223" i="18"/>
  <c r="BI223" i="18"/>
  <c r="AU223" i="18"/>
  <c r="AT223" i="18"/>
  <c r="AS223" i="18"/>
  <c r="AR223" i="18"/>
  <c r="AQ223" i="18"/>
  <c r="AP223" i="18"/>
  <c r="BM222" i="18"/>
  <c r="BL222" i="18"/>
  <c r="BK222" i="18"/>
  <c r="BJ222" i="18"/>
  <c r="BI222" i="18"/>
  <c r="AU222" i="18"/>
  <c r="AT222" i="18"/>
  <c r="AS222" i="18"/>
  <c r="AR222" i="18"/>
  <c r="AQ222" i="18"/>
  <c r="AP222" i="18"/>
  <c r="BM221" i="18"/>
  <c r="BL221" i="18"/>
  <c r="BK221" i="18"/>
  <c r="BJ221" i="18"/>
  <c r="BI221" i="18"/>
  <c r="AU221" i="18"/>
  <c r="AT221" i="18"/>
  <c r="AS221" i="18"/>
  <c r="AR221" i="18"/>
  <c r="AQ221" i="18"/>
  <c r="AP221" i="18"/>
  <c r="BM220" i="18"/>
  <c r="BL220" i="18"/>
  <c r="BK220" i="18"/>
  <c r="BJ220" i="18"/>
  <c r="BI220" i="18"/>
  <c r="AU220" i="18"/>
  <c r="AT220" i="18"/>
  <c r="AS220" i="18"/>
  <c r="AR220" i="18"/>
  <c r="AQ220" i="18"/>
  <c r="AP220" i="18"/>
  <c r="BM219" i="18"/>
  <c r="BL219" i="18"/>
  <c r="BK219" i="18"/>
  <c r="BJ219" i="18"/>
  <c r="BI219" i="18"/>
  <c r="AU219" i="18"/>
  <c r="AT219" i="18"/>
  <c r="AS219" i="18"/>
  <c r="AR219" i="18"/>
  <c r="AQ219" i="18"/>
  <c r="AP219" i="18"/>
  <c r="BM218" i="18"/>
  <c r="BL218" i="18"/>
  <c r="BK218" i="18"/>
  <c r="BJ218" i="18"/>
  <c r="BI218" i="18"/>
  <c r="AU218" i="18"/>
  <c r="AT218" i="18"/>
  <c r="AS218" i="18"/>
  <c r="AR218" i="18"/>
  <c r="AQ218" i="18"/>
  <c r="AP218" i="18"/>
  <c r="BM217" i="18"/>
  <c r="BL217" i="18"/>
  <c r="BK217" i="18"/>
  <c r="BJ217" i="18"/>
  <c r="BI217" i="18"/>
  <c r="AU217" i="18"/>
  <c r="AT217" i="18"/>
  <c r="AS217" i="18"/>
  <c r="AR217" i="18"/>
  <c r="AQ217" i="18"/>
  <c r="AP217" i="18"/>
  <c r="BM213" i="18"/>
  <c r="BL213" i="18"/>
  <c r="BK213" i="18"/>
  <c r="BJ213" i="18"/>
  <c r="BI213" i="18"/>
  <c r="AU213" i="18"/>
  <c r="AT213" i="18"/>
  <c r="AS213" i="18"/>
  <c r="AR213" i="18"/>
  <c r="AQ213" i="18"/>
  <c r="AP213" i="18"/>
  <c r="BM212" i="18"/>
  <c r="BL212" i="18"/>
  <c r="BK212" i="18"/>
  <c r="BJ212" i="18"/>
  <c r="BI212" i="18"/>
  <c r="AU212" i="18"/>
  <c r="AT212" i="18"/>
  <c r="AS212" i="18"/>
  <c r="AR212" i="18"/>
  <c r="AQ212" i="18"/>
  <c r="AP212" i="18"/>
  <c r="BM211" i="18"/>
  <c r="BL211" i="18"/>
  <c r="BK211" i="18"/>
  <c r="BJ211" i="18"/>
  <c r="BI211" i="18"/>
  <c r="AU211" i="18"/>
  <c r="AT211" i="18"/>
  <c r="AS211" i="18"/>
  <c r="AR211" i="18"/>
  <c r="AQ211" i="18"/>
  <c r="AP211" i="18"/>
  <c r="BM210" i="18"/>
  <c r="BL210" i="18"/>
  <c r="BK210" i="18"/>
  <c r="BJ210" i="18"/>
  <c r="BI210" i="18"/>
  <c r="AU210" i="18"/>
  <c r="AT210" i="18"/>
  <c r="AS210" i="18"/>
  <c r="AR210" i="18"/>
  <c r="AQ210" i="18"/>
  <c r="AP210" i="18"/>
  <c r="BM209" i="18"/>
  <c r="BL209" i="18"/>
  <c r="BK209" i="18"/>
  <c r="BJ209" i="18"/>
  <c r="BI209" i="18"/>
  <c r="AU209" i="18"/>
  <c r="AT209" i="18"/>
  <c r="AS209" i="18"/>
  <c r="AR209" i="18"/>
  <c r="AQ209" i="18"/>
  <c r="AP209" i="18"/>
  <c r="BM208" i="18"/>
  <c r="BL208" i="18"/>
  <c r="BK208" i="18"/>
  <c r="BJ208" i="18"/>
  <c r="BI208" i="18"/>
  <c r="AU208" i="18"/>
  <c r="AT208" i="18"/>
  <c r="AS208" i="18"/>
  <c r="AR208" i="18"/>
  <c r="AQ208" i="18"/>
  <c r="AP208" i="18"/>
  <c r="BM207" i="18"/>
  <c r="BL207" i="18"/>
  <c r="BK207" i="18"/>
  <c r="BJ207" i="18"/>
  <c r="BI207" i="18"/>
  <c r="AU207" i="18"/>
  <c r="AT207" i="18"/>
  <c r="AS207" i="18"/>
  <c r="AR207" i="18"/>
  <c r="AQ207" i="18"/>
  <c r="AP207" i="18"/>
  <c r="BM206" i="18"/>
  <c r="BL206" i="18"/>
  <c r="BK206" i="18"/>
  <c r="BJ206" i="18"/>
  <c r="BI206" i="18"/>
  <c r="AU206" i="18"/>
  <c r="AT206" i="18"/>
  <c r="AS206" i="18"/>
  <c r="AR206" i="18"/>
  <c r="AQ206" i="18"/>
  <c r="AP206" i="18"/>
  <c r="BM205" i="18"/>
  <c r="BL205" i="18"/>
  <c r="BK205" i="18"/>
  <c r="BJ205" i="18"/>
  <c r="BI205" i="18"/>
  <c r="AU205" i="18"/>
  <c r="AT205" i="18"/>
  <c r="AS205" i="18"/>
  <c r="AR205" i="18"/>
  <c r="AQ205" i="18"/>
  <c r="AP205" i="18"/>
  <c r="BM201" i="18"/>
  <c r="BL201" i="18"/>
  <c r="BK201" i="18"/>
  <c r="BJ201" i="18"/>
  <c r="BI201" i="18"/>
  <c r="AU201" i="18"/>
  <c r="AT201" i="18"/>
  <c r="AS201" i="18"/>
  <c r="AR201" i="18"/>
  <c r="AQ201" i="18"/>
  <c r="AP201" i="18"/>
  <c r="BM200" i="18"/>
  <c r="BL200" i="18"/>
  <c r="BK200" i="18"/>
  <c r="BJ200" i="18"/>
  <c r="BI200" i="18"/>
  <c r="AU200" i="18"/>
  <c r="AT200" i="18"/>
  <c r="AS200" i="18"/>
  <c r="AR200" i="18"/>
  <c r="AQ200" i="18"/>
  <c r="AP200" i="18"/>
  <c r="BM199" i="18"/>
  <c r="BL199" i="18"/>
  <c r="BK199" i="18"/>
  <c r="BJ199" i="18"/>
  <c r="BI199" i="18"/>
  <c r="AU199" i="18"/>
  <c r="AT199" i="18"/>
  <c r="AS199" i="18"/>
  <c r="AR199" i="18"/>
  <c r="AQ199" i="18"/>
  <c r="AP199" i="18"/>
  <c r="BM198" i="18"/>
  <c r="BL198" i="18"/>
  <c r="BK198" i="18"/>
  <c r="BJ198" i="18"/>
  <c r="BI198" i="18"/>
  <c r="AU198" i="18"/>
  <c r="AT198" i="18"/>
  <c r="AS198" i="18"/>
  <c r="AR198" i="18"/>
  <c r="AQ198" i="18"/>
  <c r="AP198" i="18"/>
  <c r="BM197" i="18"/>
  <c r="BL197" i="18"/>
  <c r="BK197" i="18"/>
  <c r="BJ197" i="18"/>
  <c r="BI197" i="18"/>
  <c r="AU197" i="18"/>
  <c r="AT197" i="18"/>
  <c r="AS197" i="18"/>
  <c r="AR197" i="18"/>
  <c r="AQ197" i="18"/>
  <c r="AP197" i="18"/>
  <c r="BM196" i="18"/>
  <c r="BL196" i="18"/>
  <c r="BK196" i="18"/>
  <c r="BJ196" i="18"/>
  <c r="BI196" i="18"/>
  <c r="AU196" i="18"/>
  <c r="AT196" i="18"/>
  <c r="AS196" i="18"/>
  <c r="AR196" i="18"/>
  <c r="AQ196" i="18"/>
  <c r="AP196" i="18"/>
  <c r="BM195" i="18"/>
  <c r="BL195" i="18"/>
  <c r="BK195" i="18"/>
  <c r="BJ195" i="18"/>
  <c r="BI195" i="18"/>
  <c r="AU195" i="18"/>
  <c r="AT195" i="18"/>
  <c r="AS195" i="18"/>
  <c r="AR195" i="18"/>
  <c r="AQ195" i="18"/>
  <c r="AP195" i="18"/>
  <c r="BM194" i="18"/>
  <c r="BL194" i="18"/>
  <c r="BK194" i="18"/>
  <c r="BJ194" i="18"/>
  <c r="BI194" i="18"/>
  <c r="AU194" i="18"/>
  <c r="AT194" i="18"/>
  <c r="AS194" i="18"/>
  <c r="AR194" i="18"/>
  <c r="AQ194" i="18"/>
  <c r="AP194" i="18"/>
  <c r="BM193" i="18"/>
  <c r="BL193" i="18"/>
  <c r="BK193" i="18"/>
  <c r="BJ193" i="18"/>
  <c r="BI193" i="18"/>
  <c r="AU193" i="18"/>
  <c r="AT193" i="18"/>
  <c r="AS193" i="18"/>
  <c r="AR193" i="18"/>
  <c r="AQ193" i="18"/>
  <c r="AP193" i="18"/>
  <c r="BM189" i="18"/>
  <c r="BL189" i="18"/>
  <c r="BK189" i="18"/>
  <c r="BJ189" i="18"/>
  <c r="BI189" i="18"/>
  <c r="AU189" i="18"/>
  <c r="AT189" i="18"/>
  <c r="AS189" i="18"/>
  <c r="AR189" i="18"/>
  <c r="AQ189" i="18"/>
  <c r="AP189" i="18"/>
  <c r="BM188" i="18"/>
  <c r="BL188" i="18"/>
  <c r="BK188" i="18"/>
  <c r="BJ188" i="18"/>
  <c r="BI188" i="18"/>
  <c r="AU188" i="18"/>
  <c r="AT188" i="18"/>
  <c r="AS188" i="18"/>
  <c r="AR188" i="18"/>
  <c r="AQ188" i="18"/>
  <c r="AP188" i="18"/>
  <c r="BM187" i="18"/>
  <c r="BL187" i="18"/>
  <c r="BK187" i="18"/>
  <c r="BJ187" i="18"/>
  <c r="BI187" i="18"/>
  <c r="AU187" i="18"/>
  <c r="AT187" i="18"/>
  <c r="AS187" i="18"/>
  <c r="AR187" i="18"/>
  <c r="AQ187" i="18"/>
  <c r="AP187" i="18"/>
  <c r="BM186" i="18"/>
  <c r="BL186" i="18"/>
  <c r="BK186" i="18"/>
  <c r="BJ186" i="18"/>
  <c r="BI186" i="18"/>
  <c r="AU186" i="18"/>
  <c r="AT186" i="18"/>
  <c r="AS186" i="18"/>
  <c r="AR186" i="18"/>
  <c r="AQ186" i="18"/>
  <c r="AP186" i="18"/>
  <c r="BM185" i="18"/>
  <c r="BL185" i="18"/>
  <c r="BK185" i="18"/>
  <c r="BJ185" i="18"/>
  <c r="BI185" i="18"/>
  <c r="AU185" i="18"/>
  <c r="AT185" i="18"/>
  <c r="AS185" i="18"/>
  <c r="AR185" i="18"/>
  <c r="AQ185" i="18"/>
  <c r="AP185" i="18"/>
  <c r="BM184" i="18"/>
  <c r="BL184" i="18"/>
  <c r="BK184" i="18"/>
  <c r="BJ184" i="18"/>
  <c r="BI184" i="18"/>
  <c r="AU184" i="18"/>
  <c r="AT184" i="18"/>
  <c r="AS184" i="18"/>
  <c r="AR184" i="18"/>
  <c r="AQ184" i="18"/>
  <c r="AP184" i="18"/>
  <c r="BM183" i="18"/>
  <c r="BL183" i="18"/>
  <c r="BK183" i="18"/>
  <c r="BJ183" i="18"/>
  <c r="BI183" i="18"/>
  <c r="AU183" i="18"/>
  <c r="AT183" i="18"/>
  <c r="AS183" i="18"/>
  <c r="AR183" i="18"/>
  <c r="AQ183" i="18"/>
  <c r="AP183" i="18"/>
  <c r="BM182" i="18"/>
  <c r="BL182" i="18"/>
  <c r="BK182" i="18"/>
  <c r="BJ182" i="18"/>
  <c r="BI182" i="18"/>
  <c r="AU182" i="18"/>
  <c r="AT182" i="18"/>
  <c r="AS182" i="18"/>
  <c r="AR182" i="18"/>
  <c r="AQ182" i="18"/>
  <c r="AP182" i="18"/>
  <c r="BM181" i="18"/>
  <c r="BL181" i="18"/>
  <c r="BK181" i="18"/>
  <c r="BJ181" i="18"/>
  <c r="BI181" i="18"/>
  <c r="AU181" i="18"/>
  <c r="AT181" i="18"/>
  <c r="AS181" i="18"/>
  <c r="AR181" i="18"/>
  <c r="AQ181" i="18"/>
  <c r="AP181" i="18"/>
  <c r="BM177" i="18"/>
  <c r="BL177" i="18"/>
  <c r="BK177" i="18"/>
  <c r="BJ177" i="18"/>
  <c r="BI177" i="18"/>
  <c r="AU177" i="18"/>
  <c r="AT177" i="18"/>
  <c r="AS177" i="18"/>
  <c r="AR177" i="18"/>
  <c r="AQ177" i="18"/>
  <c r="AP177" i="18"/>
  <c r="BM176" i="18"/>
  <c r="BL176" i="18"/>
  <c r="BK176" i="18"/>
  <c r="BJ176" i="18"/>
  <c r="BI176" i="18"/>
  <c r="AU176" i="18"/>
  <c r="AT176" i="18"/>
  <c r="AS176" i="18"/>
  <c r="AR176" i="18"/>
  <c r="AQ176" i="18"/>
  <c r="AP176" i="18"/>
  <c r="BM175" i="18"/>
  <c r="BL175" i="18"/>
  <c r="BK175" i="18"/>
  <c r="BJ175" i="18"/>
  <c r="BI175" i="18"/>
  <c r="AU175" i="18"/>
  <c r="AT175" i="18"/>
  <c r="AS175" i="18"/>
  <c r="AR175" i="18"/>
  <c r="AQ175" i="18"/>
  <c r="AP175" i="18"/>
  <c r="BM174" i="18"/>
  <c r="BL174" i="18"/>
  <c r="BK174" i="18"/>
  <c r="BJ174" i="18"/>
  <c r="BI174" i="18"/>
  <c r="AU174" i="18"/>
  <c r="AT174" i="18"/>
  <c r="AS174" i="18"/>
  <c r="AR174" i="18"/>
  <c r="AQ174" i="18"/>
  <c r="AP174" i="18"/>
  <c r="BM173" i="18"/>
  <c r="BL173" i="18"/>
  <c r="BK173" i="18"/>
  <c r="BJ173" i="18"/>
  <c r="BI173" i="18"/>
  <c r="AU173" i="18"/>
  <c r="AT173" i="18"/>
  <c r="AS173" i="18"/>
  <c r="AR173" i="18"/>
  <c r="AQ173" i="18"/>
  <c r="AP173" i="18"/>
  <c r="BM172" i="18"/>
  <c r="BL172" i="18"/>
  <c r="BK172" i="18"/>
  <c r="BJ172" i="18"/>
  <c r="BI172" i="18"/>
  <c r="AU172" i="18"/>
  <c r="AT172" i="18"/>
  <c r="AS172" i="18"/>
  <c r="AR172" i="18"/>
  <c r="AQ172" i="18"/>
  <c r="AP172" i="18"/>
  <c r="BM171" i="18"/>
  <c r="BL171" i="18"/>
  <c r="BK171" i="18"/>
  <c r="BJ171" i="18"/>
  <c r="BI171" i="18"/>
  <c r="AU171" i="18"/>
  <c r="AT171" i="18"/>
  <c r="AS171" i="18"/>
  <c r="AR171" i="18"/>
  <c r="AQ171" i="18"/>
  <c r="AP171" i="18"/>
  <c r="BM170" i="18"/>
  <c r="BL170" i="18"/>
  <c r="BK170" i="18"/>
  <c r="BJ170" i="18"/>
  <c r="BI170" i="18"/>
  <c r="AU170" i="18"/>
  <c r="AT170" i="18"/>
  <c r="AS170" i="18"/>
  <c r="AR170" i="18"/>
  <c r="AQ170" i="18"/>
  <c r="AP170" i="18"/>
  <c r="BM169" i="18"/>
  <c r="BL169" i="18"/>
  <c r="BK169" i="18"/>
  <c r="BJ169" i="18"/>
  <c r="BI169" i="18"/>
  <c r="AU169" i="18"/>
  <c r="AT169" i="18"/>
  <c r="AS169" i="18"/>
  <c r="AR169" i="18"/>
  <c r="AQ169" i="18"/>
  <c r="AP169" i="18"/>
  <c r="BM165" i="18"/>
  <c r="BL165" i="18"/>
  <c r="BK165" i="18"/>
  <c r="BJ165" i="18"/>
  <c r="BI165" i="18"/>
  <c r="AU165" i="18"/>
  <c r="AT165" i="18"/>
  <c r="AS165" i="18"/>
  <c r="AR165" i="18"/>
  <c r="AQ165" i="18"/>
  <c r="AP165" i="18"/>
  <c r="BM164" i="18"/>
  <c r="BL164" i="18"/>
  <c r="BK164" i="18"/>
  <c r="BJ164" i="18"/>
  <c r="BI164" i="18"/>
  <c r="AU164" i="18"/>
  <c r="AT164" i="18"/>
  <c r="AS164" i="18"/>
  <c r="AR164" i="18"/>
  <c r="AQ164" i="18"/>
  <c r="AP164" i="18"/>
  <c r="BM163" i="18"/>
  <c r="BL163" i="18"/>
  <c r="BK163" i="18"/>
  <c r="BJ163" i="18"/>
  <c r="BI163" i="18"/>
  <c r="AU163" i="18"/>
  <c r="AT163" i="18"/>
  <c r="AS163" i="18"/>
  <c r="AR163" i="18"/>
  <c r="AQ163" i="18"/>
  <c r="AP163" i="18"/>
  <c r="BM162" i="18"/>
  <c r="BL162" i="18"/>
  <c r="BK162" i="18"/>
  <c r="BJ162" i="18"/>
  <c r="BI162" i="18"/>
  <c r="AU162" i="18"/>
  <c r="AT162" i="18"/>
  <c r="AS162" i="18"/>
  <c r="AR162" i="18"/>
  <c r="AQ162" i="18"/>
  <c r="AP162" i="18"/>
  <c r="BM161" i="18"/>
  <c r="BL161" i="18"/>
  <c r="BK161" i="18"/>
  <c r="BJ161" i="18"/>
  <c r="BI161" i="18"/>
  <c r="AU161" i="18"/>
  <c r="AT161" i="18"/>
  <c r="AS161" i="18"/>
  <c r="AR161" i="18"/>
  <c r="AQ161" i="18"/>
  <c r="AP161" i="18"/>
  <c r="BM160" i="18"/>
  <c r="BL160" i="18"/>
  <c r="BK160" i="18"/>
  <c r="BJ160" i="18"/>
  <c r="BI160" i="18"/>
  <c r="AU160" i="18"/>
  <c r="AT160" i="18"/>
  <c r="AS160" i="18"/>
  <c r="AR160" i="18"/>
  <c r="AQ160" i="18"/>
  <c r="AP160" i="18"/>
  <c r="BM159" i="18"/>
  <c r="BL159" i="18"/>
  <c r="BK159" i="18"/>
  <c r="BJ159" i="18"/>
  <c r="BI159" i="18"/>
  <c r="AU159" i="18"/>
  <c r="AT159" i="18"/>
  <c r="AS159" i="18"/>
  <c r="AR159" i="18"/>
  <c r="AQ159" i="18"/>
  <c r="AP159" i="18"/>
  <c r="BM158" i="18"/>
  <c r="BL158" i="18"/>
  <c r="BK158" i="18"/>
  <c r="BJ158" i="18"/>
  <c r="BI158" i="18"/>
  <c r="AU158" i="18"/>
  <c r="AT158" i="18"/>
  <c r="AS158" i="18"/>
  <c r="AR158" i="18"/>
  <c r="AQ158" i="18"/>
  <c r="AP158" i="18"/>
  <c r="BM157" i="18"/>
  <c r="BL157" i="18"/>
  <c r="BK157" i="18"/>
  <c r="BJ157" i="18"/>
  <c r="BI157" i="18"/>
  <c r="AU157" i="18"/>
  <c r="AT157" i="18"/>
  <c r="AS157" i="18"/>
  <c r="AR157" i="18"/>
  <c r="AQ157" i="18"/>
  <c r="AP157" i="18"/>
  <c r="BM153" i="18"/>
  <c r="BL153" i="18"/>
  <c r="BK153" i="18"/>
  <c r="BJ153" i="18"/>
  <c r="BI153" i="18"/>
  <c r="AU153" i="18"/>
  <c r="AT153" i="18"/>
  <c r="AS153" i="18"/>
  <c r="AR153" i="18"/>
  <c r="AQ153" i="18"/>
  <c r="AP153" i="18"/>
  <c r="BM152" i="18"/>
  <c r="BL152" i="18"/>
  <c r="BK152" i="18"/>
  <c r="BJ152" i="18"/>
  <c r="BI152" i="18"/>
  <c r="AU152" i="18"/>
  <c r="AT152" i="18"/>
  <c r="AS152" i="18"/>
  <c r="AR152" i="18"/>
  <c r="AQ152" i="18"/>
  <c r="AP152" i="18"/>
  <c r="BM151" i="18"/>
  <c r="BL151" i="18"/>
  <c r="BK151" i="18"/>
  <c r="BJ151" i="18"/>
  <c r="BI151" i="18"/>
  <c r="AU151" i="18"/>
  <c r="AT151" i="18"/>
  <c r="AS151" i="18"/>
  <c r="AR151" i="18"/>
  <c r="AQ151" i="18"/>
  <c r="AP151" i="18"/>
  <c r="BM150" i="18"/>
  <c r="BL150" i="18"/>
  <c r="BK150" i="18"/>
  <c r="BJ150" i="18"/>
  <c r="BI150" i="18"/>
  <c r="AU150" i="18"/>
  <c r="AT150" i="18"/>
  <c r="AS150" i="18"/>
  <c r="AR150" i="18"/>
  <c r="AQ150" i="18"/>
  <c r="AP150" i="18"/>
  <c r="BM149" i="18"/>
  <c r="BL149" i="18"/>
  <c r="BK149" i="18"/>
  <c r="BJ149" i="18"/>
  <c r="BI149" i="18"/>
  <c r="AU149" i="18"/>
  <c r="AT149" i="18"/>
  <c r="AS149" i="18"/>
  <c r="AR149" i="18"/>
  <c r="AQ149" i="18"/>
  <c r="AP149" i="18"/>
  <c r="BM148" i="18"/>
  <c r="BL148" i="18"/>
  <c r="BK148" i="18"/>
  <c r="BJ148" i="18"/>
  <c r="BI148" i="18"/>
  <c r="AU148" i="18"/>
  <c r="AT148" i="18"/>
  <c r="AS148" i="18"/>
  <c r="AR148" i="18"/>
  <c r="AQ148" i="18"/>
  <c r="AP148" i="18"/>
  <c r="BM147" i="18"/>
  <c r="BL147" i="18"/>
  <c r="BK147" i="18"/>
  <c r="BJ147" i="18"/>
  <c r="BI147" i="18"/>
  <c r="AU147" i="18"/>
  <c r="AT147" i="18"/>
  <c r="AS147" i="18"/>
  <c r="AR147" i="18"/>
  <c r="AQ147" i="18"/>
  <c r="AP147" i="18"/>
  <c r="BM146" i="18"/>
  <c r="BL146" i="18"/>
  <c r="BK146" i="18"/>
  <c r="BJ146" i="18"/>
  <c r="BI146" i="18"/>
  <c r="AU146" i="18"/>
  <c r="AT146" i="18"/>
  <c r="AS146" i="18"/>
  <c r="AR146" i="18"/>
  <c r="AQ146" i="18"/>
  <c r="AP146" i="18"/>
  <c r="BM145" i="18"/>
  <c r="BL145" i="18"/>
  <c r="BK145" i="18"/>
  <c r="BJ145" i="18"/>
  <c r="BI145" i="18"/>
  <c r="AU145" i="18"/>
  <c r="AT145" i="18"/>
  <c r="AS145" i="18"/>
  <c r="AR145" i="18"/>
  <c r="AQ145" i="18"/>
  <c r="AP145" i="18"/>
  <c r="BM141" i="18"/>
  <c r="BL141" i="18"/>
  <c r="BK141" i="18"/>
  <c r="BJ141" i="18"/>
  <c r="BI141" i="18"/>
  <c r="AU141" i="18"/>
  <c r="AT141" i="18"/>
  <c r="AS141" i="18"/>
  <c r="AR141" i="18"/>
  <c r="AQ141" i="18"/>
  <c r="AP141" i="18"/>
  <c r="BM140" i="18"/>
  <c r="BL140" i="18"/>
  <c r="BK140" i="18"/>
  <c r="BJ140" i="18"/>
  <c r="BI140" i="18"/>
  <c r="AU140" i="18"/>
  <c r="AT140" i="18"/>
  <c r="AS140" i="18"/>
  <c r="AR140" i="18"/>
  <c r="AQ140" i="18"/>
  <c r="AP140" i="18"/>
  <c r="BM139" i="18"/>
  <c r="BL139" i="18"/>
  <c r="BK139" i="18"/>
  <c r="BJ139" i="18"/>
  <c r="BI139" i="18"/>
  <c r="AU139" i="18"/>
  <c r="AT139" i="18"/>
  <c r="AS139" i="18"/>
  <c r="AR139" i="18"/>
  <c r="AQ139" i="18"/>
  <c r="AP139" i="18"/>
  <c r="BM138" i="18"/>
  <c r="BL138" i="18"/>
  <c r="BK138" i="18"/>
  <c r="BJ138" i="18"/>
  <c r="BI138" i="18"/>
  <c r="AU138" i="18"/>
  <c r="AT138" i="18"/>
  <c r="AS138" i="18"/>
  <c r="AR138" i="18"/>
  <c r="AQ138" i="18"/>
  <c r="AP138" i="18"/>
  <c r="BM137" i="18"/>
  <c r="BL137" i="18"/>
  <c r="BK137" i="18"/>
  <c r="BJ137" i="18"/>
  <c r="BI137" i="18"/>
  <c r="AU137" i="18"/>
  <c r="AT137" i="18"/>
  <c r="AS137" i="18"/>
  <c r="AR137" i="18"/>
  <c r="AQ137" i="18"/>
  <c r="AP137" i="18"/>
  <c r="BM136" i="18"/>
  <c r="BL136" i="18"/>
  <c r="BK136" i="18"/>
  <c r="BJ136" i="18"/>
  <c r="BI136" i="18"/>
  <c r="AU136" i="18"/>
  <c r="AT136" i="18"/>
  <c r="AS136" i="18"/>
  <c r="AR136" i="18"/>
  <c r="AQ136" i="18"/>
  <c r="AP136" i="18"/>
  <c r="BM135" i="18"/>
  <c r="BL135" i="18"/>
  <c r="BK135" i="18"/>
  <c r="BJ135" i="18"/>
  <c r="BI135" i="18"/>
  <c r="AU135" i="18"/>
  <c r="AT135" i="18"/>
  <c r="AS135" i="18"/>
  <c r="AR135" i="18"/>
  <c r="AQ135" i="18"/>
  <c r="AP135" i="18"/>
  <c r="BM134" i="18"/>
  <c r="BL134" i="18"/>
  <c r="BK134" i="18"/>
  <c r="BJ134" i="18"/>
  <c r="BI134" i="18"/>
  <c r="AU134" i="18"/>
  <c r="AT134" i="18"/>
  <c r="AS134" i="18"/>
  <c r="AR134" i="18"/>
  <c r="AQ134" i="18"/>
  <c r="AP134" i="18"/>
  <c r="BM133" i="18"/>
  <c r="BL133" i="18"/>
  <c r="BK133" i="18"/>
  <c r="BJ133" i="18"/>
  <c r="BI133" i="18"/>
  <c r="AU133" i="18"/>
  <c r="AT133" i="18"/>
  <c r="AS133" i="18"/>
  <c r="AR133" i="18"/>
  <c r="AQ133" i="18"/>
  <c r="AP133" i="18"/>
  <c r="BM369" i="18"/>
  <c r="BL369" i="18"/>
  <c r="BK369" i="18"/>
  <c r="BJ369" i="18"/>
  <c r="BI369" i="18"/>
  <c r="AU369" i="18"/>
  <c r="AT369" i="18"/>
  <c r="AS369" i="18"/>
  <c r="AR369" i="18"/>
  <c r="AQ369" i="18"/>
  <c r="AP369" i="18"/>
  <c r="BM368" i="18"/>
  <c r="BL368" i="18"/>
  <c r="BK368" i="18"/>
  <c r="BJ368" i="18"/>
  <c r="BI368" i="18"/>
  <c r="AU368" i="18"/>
  <c r="AT368" i="18"/>
  <c r="AS368" i="18"/>
  <c r="AR368" i="18"/>
  <c r="AQ368" i="18"/>
  <c r="AP368" i="18"/>
  <c r="BM367" i="18"/>
  <c r="BL367" i="18"/>
  <c r="BK367" i="18"/>
  <c r="BJ367" i="18"/>
  <c r="BI367" i="18"/>
  <c r="AU367" i="18"/>
  <c r="AT367" i="18"/>
  <c r="AS367" i="18"/>
  <c r="AR367" i="18"/>
  <c r="AQ367" i="18"/>
  <c r="AP367" i="18"/>
  <c r="BM366" i="18"/>
  <c r="BL366" i="18"/>
  <c r="BK366" i="18"/>
  <c r="BJ366" i="18"/>
  <c r="BI366" i="18"/>
  <c r="AU366" i="18"/>
  <c r="AT366" i="18"/>
  <c r="AS366" i="18"/>
  <c r="AR366" i="18"/>
  <c r="AQ366" i="18"/>
  <c r="AP366" i="18"/>
  <c r="BM365" i="18"/>
  <c r="BL365" i="18"/>
  <c r="BK365" i="18"/>
  <c r="BJ365" i="18"/>
  <c r="BI365" i="18"/>
  <c r="AU365" i="18"/>
  <c r="AT365" i="18"/>
  <c r="AS365" i="18"/>
  <c r="AR365" i="18"/>
  <c r="AQ365" i="18"/>
  <c r="AP365" i="18"/>
  <c r="BM364" i="18"/>
  <c r="BL364" i="18"/>
  <c r="BK364" i="18"/>
  <c r="BJ364" i="18"/>
  <c r="BI364" i="18"/>
  <c r="AU364" i="18"/>
  <c r="AT364" i="18"/>
  <c r="AS364" i="18"/>
  <c r="AR364" i="18"/>
  <c r="AQ364" i="18"/>
  <c r="AP364" i="18"/>
  <c r="BM363" i="18"/>
  <c r="BL363" i="18"/>
  <c r="BK363" i="18"/>
  <c r="BJ363" i="18"/>
  <c r="BI363" i="18"/>
  <c r="AU363" i="18"/>
  <c r="AT363" i="18"/>
  <c r="AS363" i="18"/>
  <c r="AR363" i="18"/>
  <c r="AQ363" i="18"/>
  <c r="AP363" i="18"/>
  <c r="BM362" i="18"/>
  <c r="BL362" i="18"/>
  <c r="BK362" i="18"/>
  <c r="BJ362" i="18"/>
  <c r="BI362" i="18"/>
  <c r="AU362" i="18"/>
  <c r="AT362" i="18"/>
  <c r="AS362" i="18"/>
  <c r="AR362" i="18"/>
  <c r="AQ362" i="18"/>
  <c r="AP362" i="18"/>
  <c r="BM361" i="18"/>
  <c r="BL361" i="18"/>
  <c r="BK361" i="18"/>
  <c r="BJ361" i="18"/>
  <c r="BI361" i="18"/>
  <c r="AU361" i="18"/>
  <c r="AT361" i="18"/>
  <c r="AS361" i="18"/>
  <c r="AR361" i="18"/>
  <c r="AQ361" i="18"/>
  <c r="AP361" i="18"/>
  <c r="BM357" i="18"/>
  <c r="BL357" i="18"/>
  <c r="BK357" i="18"/>
  <c r="BJ357" i="18"/>
  <c r="BI357" i="18"/>
  <c r="AU357" i="18"/>
  <c r="AT357" i="18"/>
  <c r="AS357" i="18"/>
  <c r="AR357" i="18"/>
  <c r="AQ357" i="18"/>
  <c r="AP357" i="18"/>
  <c r="BM356" i="18"/>
  <c r="BL356" i="18"/>
  <c r="BK356" i="18"/>
  <c r="BJ356" i="18"/>
  <c r="BI356" i="18"/>
  <c r="AU356" i="18"/>
  <c r="AT356" i="18"/>
  <c r="AS356" i="18"/>
  <c r="AR356" i="18"/>
  <c r="AQ356" i="18"/>
  <c r="AP356" i="18"/>
  <c r="BM355" i="18"/>
  <c r="BL355" i="18"/>
  <c r="BK355" i="18"/>
  <c r="BJ355" i="18"/>
  <c r="BI355" i="18"/>
  <c r="AU355" i="18"/>
  <c r="AT355" i="18"/>
  <c r="AS355" i="18"/>
  <c r="AR355" i="18"/>
  <c r="AQ355" i="18"/>
  <c r="AP355" i="18"/>
  <c r="BM354" i="18"/>
  <c r="BL354" i="18"/>
  <c r="BK354" i="18"/>
  <c r="BJ354" i="18"/>
  <c r="BI354" i="18"/>
  <c r="AU354" i="18"/>
  <c r="AT354" i="18"/>
  <c r="AS354" i="18"/>
  <c r="AR354" i="18"/>
  <c r="AQ354" i="18"/>
  <c r="AP354" i="18"/>
  <c r="BM353" i="18"/>
  <c r="BL353" i="18"/>
  <c r="BK353" i="18"/>
  <c r="BJ353" i="18"/>
  <c r="BI353" i="18"/>
  <c r="AU353" i="18"/>
  <c r="AT353" i="18"/>
  <c r="AS353" i="18"/>
  <c r="AR353" i="18"/>
  <c r="AQ353" i="18"/>
  <c r="AP353" i="18"/>
  <c r="BM352" i="18"/>
  <c r="BL352" i="18"/>
  <c r="BK352" i="18"/>
  <c r="BJ352" i="18"/>
  <c r="BI352" i="18"/>
  <c r="AU352" i="18"/>
  <c r="AT352" i="18"/>
  <c r="AS352" i="18"/>
  <c r="AR352" i="18"/>
  <c r="AQ352" i="18"/>
  <c r="AP352" i="18"/>
  <c r="BM351" i="18"/>
  <c r="BL351" i="18"/>
  <c r="BK351" i="18"/>
  <c r="BJ351" i="18"/>
  <c r="BI351" i="18"/>
  <c r="AU351" i="18"/>
  <c r="AT351" i="18"/>
  <c r="AS351" i="18"/>
  <c r="AR351" i="18"/>
  <c r="AQ351" i="18"/>
  <c r="AP351" i="18"/>
  <c r="BM350" i="18"/>
  <c r="BL350" i="18"/>
  <c r="BK350" i="18"/>
  <c r="BJ350" i="18"/>
  <c r="BI350" i="18"/>
  <c r="AU350" i="18"/>
  <c r="AT350" i="18"/>
  <c r="AS350" i="18"/>
  <c r="AR350" i="18"/>
  <c r="AQ350" i="18"/>
  <c r="AP350" i="18"/>
  <c r="BM349" i="18"/>
  <c r="BL349" i="18"/>
  <c r="BK349" i="18"/>
  <c r="BJ349" i="18"/>
  <c r="BI349" i="18"/>
  <c r="AU349" i="18"/>
  <c r="AT349" i="18"/>
  <c r="AS349" i="18"/>
  <c r="AR349" i="18"/>
  <c r="AQ349" i="18"/>
  <c r="AP349" i="18"/>
  <c r="BM345" i="18"/>
  <c r="BL345" i="18"/>
  <c r="BK345" i="18"/>
  <c r="BJ345" i="18"/>
  <c r="BI345" i="18"/>
  <c r="AU345" i="18"/>
  <c r="AT345" i="18"/>
  <c r="AS345" i="18"/>
  <c r="AR345" i="18"/>
  <c r="AQ345" i="18"/>
  <c r="AP345" i="18"/>
  <c r="BM344" i="18"/>
  <c r="BL344" i="18"/>
  <c r="BK344" i="18"/>
  <c r="BJ344" i="18"/>
  <c r="BI344" i="18"/>
  <c r="AU344" i="18"/>
  <c r="AT344" i="18"/>
  <c r="AS344" i="18"/>
  <c r="AR344" i="18"/>
  <c r="AQ344" i="18"/>
  <c r="AP344" i="18"/>
  <c r="BM343" i="18"/>
  <c r="BL343" i="18"/>
  <c r="BK343" i="18"/>
  <c r="BJ343" i="18"/>
  <c r="BI343" i="18"/>
  <c r="AU343" i="18"/>
  <c r="AT343" i="18"/>
  <c r="AS343" i="18"/>
  <c r="AR343" i="18"/>
  <c r="AQ343" i="18"/>
  <c r="AP343" i="18"/>
  <c r="BM342" i="18"/>
  <c r="BL342" i="18"/>
  <c r="BK342" i="18"/>
  <c r="BJ342" i="18"/>
  <c r="BI342" i="18"/>
  <c r="AU342" i="18"/>
  <c r="AT342" i="18"/>
  <c r="AS342" i="18"/>
  <c r="AR342" i="18"/>
  <c r="AQ342" i="18"/>
  <c r="AP342" i="18"/>
  <c r="BM341" i="18"/>
  <c r="BL341" i="18"/>
  <c r="BK341" i="18"/>
  <c r="BJ341" i="18"/>
  <c r="BI341" i="18"/>
  <c r="AU341" i="18"/>
  <c r="AT341" i="18"/>
  <c r="AS341" i="18"/>
  <c r="AR341" i="18"/>
  <c r="AQ341" i="18"/>
  <c r="AP341" i="18"/>
  <c r="BM340" i="18"/>
  <c r="BL340" i="18"/>
  <c r="BK340" i="18"/>
  <c r="BJ340" i="18"/>
  <c r="BI340" i="18"/>
  <c r="AU340" i="18"/>
  <c r="AT340" i="18"/>
  <c r="AS340" i="18"/>
  <c r="AR340" i="18"/>
  <c r="AQ340" i="18"/>
  <c r="AP340" i="18"/>
  <c r="BM339" i="18"/>
  <c r="BL339" i="18"/>
  <c r="BK339" i="18"/>
  <c r="BJ339" i="18"/>
  <c r="BI339" i="18"/>
  <c r="AU339" i="18"/>
  <c r="AT339" i="18"/>
  <c r="AS339" i="18"/>
  <c r="AR339" i="18"/>
  <c r="AQ339" i="18"/>
  <c r="AP339" i="18"/>
  <c r="BM338" i="18"/>
  <c r="BL338" i="18"/>
  <c r="BK338" i="18"/>
  <c r="BJ338" i="18"/>
  <c r="BI338" i="18"/>
  <c r="AU338" i="18"/>
  <c r="AT338" i="18"/>
  <c r="AS338" i="18"/>
  <c r="AR338" i="18"/>
  <c r="AQ338" i="18"/>
  <c r="AP338" i="18"/>
  <c r="BM337" i="18"/>
  <c r="BL337" i="18"/>
  <c r="BK337" i="18"/>
  <c r="BJ337" i="18"/>
  <c r="BI337" i="18"/>
  <c r="AU337" i="18"/>
  <c r="AT337" i="18"/>
  <c r="AS337" i="18"/>
  <c r="AR337" i="18"/>
  <c r="AQ337" i="18"/>
  <c r="AP337" i="18"/>
  <c r="BM333" i="18"/>
  <c r="BL333" i="18"/>
  <c r="BK333" i="18"/>
  <c r="BJ333" i="18"/>
  <c r="BI333" i="18"/>
  <c r="AU333" i="18"/>
  <c r="AT333" i="18"/>
  <c r="AS333" i="18"/>
  <c r="AR333" i="18"/>
  <c r="AQ333" i="18"/>
  <c r="AP333" i="18"/>
  <c r="BM332" i="18"/>
  <c r="BL332" i="18"/>
  <c r="BK332" i="18"/>
  <c r="BJ332" i="18"/>
  <c r="BI332" i="18"/>
  <c r="AU332" i="18"/>
  <c r="AT332" i="18"/>
  <c r="AS332" i="18"/>
  <c r="AR332" i="18"/>
  <c r="AQ332" i="18"/>
  <c r="AP332" i="18"/>
  <c r="BM331" i="18"/>
  <c r="BL331" i="18"/>
  <c r="BK331" i="18"/>
  <c r="BJ331" i="18"/>
  <c r="BI331" i="18"/>
  <c r="AU331" i="18"/>
  <c r="AT331" i="18"/>
  <c r="AS331" i="18"/>
  <c r="AR331" i="18"/>
  <c r="AQ331" i="18"/>
  <c r="AP331" i="18"/>
  <c r="BM330" i="18"/>
  <c r="BL330" i="18"/>
  <c r="BK330" i="18"/>
  <c r="BJ330" i="18"/>
  <c r="BI330" i="18"/>
  <c r="AU330" i="18"/>
  <c r="AT330" i="18"/>
  <c r="AS330" i="18"/>
  <c r="AR330" i="18"/>
  <c r="AQ330" i="18"/>
  <c r="AP330" i="18"/>
  <c r="BM329" i="18"/>
  <c r="BL329" i="18"/>
  <c r="BK329" i="18"/>
  <c r="BJ329" i="18"/>
  <c r="BI329" i="18"/>
  <c r="AU329" i="18"/>
  <c r="AT329" i="18"/>
  <c r="AS329" i="18"/>
  <c r="AR329" i="18"/>
  <c r="AQ329" i="18"/>
  <c r="AP329" i="18"/>
  <c r="BM328" i="18"/>
  <c r="BL328" i="18"/>
  <c r="BK328" i="18"/>
  <c r="BJ328" i="18"/>
  <c r="BI328" i="18"/>
  <c r="AU328" i="18"/>
  <c r="AT328" i="18"/>
  <c r="AS328" i="18"/>
  <c r="AR328" i="18"/>
  <c r="AQ328" i="18"/>
  <c r="AP328" i="18"/>
  <c r="BM327" i="18"/>
  <c r="BL327" i="18"/>
  <c r="BK327" i="18"/>
  <c r="BJ327" i="18"/>
  <c r="BI327" i="18"/>
  <c r="AU327" i="18"/>
  <c r="AT327" i="18"/>
  <c r="AS327" i="18"/>
  <c r="AR327" i="18"/>
  <c r="AQ327" i="18"/>
  <c r="AP327" i="18"/>
  <c r="BM326" i="18"/>
  <c r="BL326" i="18"/>
  <c r="BK326" i="18"/>
  <c r="BJ326" i="18"/>
  <c r="BI326" i="18"/>
  <c r="AU326" i="18"/>
  <c r="AT326" i="18"/>
  <c r="AS326" i="18"/>
  <c r="AR326" i="18"/>
  <c r="AQ326" i="18"/>
  <c r="AP326" i="18"/>
  <c r="BM325" i="18"/>
  <c r="BL325" i="18"/>
  <c r="BK325" i="18"/>
  <c r="BJ325" i="18"/>
  <c r="BI325" i="18"/>
  <c r="AU325" i="18"/>
  <c r="AT325" i="18"/>
  <c r="AS325" i="18"/>
  <c r="AR325" i="18"/>
  <c r="AQ325" i="18"/>
  <c r="AP325" i="18"/>
  <c r="BM321" i="18"/>
  <c r="BL321" i="18"/>
  <c r="BK321" i="18"/>
  <c r="BJ321" i="18"/>
  <c r="BI321" i="18"/>
  <c r="AU321" i="18"/>
  <c r="AT321" i="18"/>
  <c r="AS321" i="18"/>
  <c r="AR321" i="18"/>
  <c r="AQ321" i="18"/>
  <c r="AP321" i="18"/>
  <c r="BM320" i="18"/>
  <c r="BL320" i="18"/>
  <c r="BK320" i="18"/>
  <c r="BJ320" i="18"/>
  <c r="BI320" i="18"/>
  <c r="AU320" i="18"/>
  <c r="AT320" i="18"/>
  <c r="AS320" i="18"/>
  <c r="AR320" i="18"/>
  <c r="AQ320" i="18"/>
  <c r="AP320" i="18"/>
  <c r="BM319" i="18"/>
  <c r="BL319" i="18"/>
  <c r="BK319" i="18"/>
  <c r="BJ319" i="18"/>
  <c r="BI319" i="18"/>
  <c r="AU319" i="18"/>
  <c r="AT319" i="18"/>
  <c r="AS319" i="18"/>
  <c r="AR319" i="18"/>
  <c r="AQ319" i="18"/>
  <c r="AP319" i="18"/>
  <c r="BM318" i="18"/>
  <c r="BL318" i="18"/>
  <c r="BK318" i="18"/>
  <c r="BJ318" i="18"/>
  <c r="BI318" i="18"/>
  <c r="AU318" i="18"/>
  <c r="AT318" i="18"/>
  <c r="AS318" i="18"/>
  <c r="AR318" i="18"/>
  <c r="AQ318" i="18"/>
  <c r="AP318" i="18"/>
  <c r="BM317" i="18"/>
  <c r="BL317" i="18"/>
  <c r="BK317" i="18"/>
  <c r="BJ317" i="18"/>
  <c r="BI317" i="18"/>
  <c r="AU317" i="18"/>
  <c r="AT317" i="18"/>
  <c r="AS317" i="18"/>
  <c r="AR317" i="18"/>
  <c r="AQ317" i="18"/>
  <c r="AP317" i="18"/>
  <c r="BM316" i="18"/>
  <c r="BL316" i="18"/>
  <c r="BK316" i="18"/>
  <c r="BJ316" i="18"/>
  <c r="BI316" i="18"/>
  <c r="AU316" i="18"/>
  <c r="AT316" i="18"/>
  <c r="AS316" i="18"/>
  <c r="AR316" i="18"/>
  <c r="AQ316" i="18"/>
  <c r="AP316" i="18"/>
  <c r="BM315" i="18"/>
  <c r="BL315" i="18"/>
  <c r="BK315" i="18"/>
  <c r="BJ315" i="18"/>
  <c r="BI315" i="18"/>
  <c r="AU315" i="18"/>
  <c r="AT315" i="18"/>
  <c r="AS315" i="18"/>
  <c r="AR315" i="18"/>
  <c r="AQ315" i="18"/>
  <c r="AP315" i="18"/>
  <c r="BM314" i="18"/>
  <c r="BL314" i="18"/>
  <c r="BK314" i="18"/>
  <c r="BJ314" i="18"/>
  <c r="BI314" i="18"/>
  <c r="AU314" i="18"/>
  <c r="AT314" i="18"/>
  <c r="AS314" i="18"/>
  <c r="AR314" i="18"/>
  <c r="AQ314" i="18"/>
  <c r="AP314" i="18"/>
  <c r="BM313" i="18"/>
  <c r="BL313" i="18"/>
  <c r="BK313" i="18"/>
  <c r="BJ313" i="18"/>
  <c r="BI313" i="18"/>
  <c r="AU313" i="18"/>
  <c r="AT313" i="18"/>
  <c r="AS313" i="18"/>
  <c r="AR313" i="18"/>
  <c r="AQ313" i="18"/>
  <c r="AP313" i="18"/>
  <c r="BM309" i="18"/>
  <c r="BL309" i="18"/>
  <c r="BK309" i="18"/>
  <c r="BJ309" i="18"/>
  <c r="BI309" i="18"/>
  <c r="AU309" i="18"/>
  <c r="AT309" i="18"/>
  <c r="AS309" i="18"/>
  <c r="AR309" i="18"/>
  <c r="AQ309" i="18"/>
  <c r="AP309" i="18"/>
  <c r="BM308" i="18"/>
  <c r="BL308" i="18"/>
  <c r="BK308" i="18"/>
  <c r="BJ308" i="18"/>
  <c r="BI308" i="18"/>
  <c r="AU308" i="18"/>
  <c r="AT308" i="18"/>
  <c r="AS308" i="18"/>
  <c r="AR308" i="18"/>
  <c r="AQ308" i="18"/>
  <c r="AP308" i="18"/>
  <c r="BM307" i="18"/>
  <c r="BL307" i="18"/>
  <c r="BK307" i="18"/>
  <c r="BJ307" i="18"/>
  <c r="BI307" i="18"/>
  <c r="AU307" i="18"/>
  <c r="AT307" i="18"/>
  <c r="AS307" i="18"/>
  <c r="AR307" i="18"/>
  <c r="AQ307" i="18"/>
  <c r="AP307" i="18"/>
  <c r="BM306" i="18"/>
  <c r="BL306" i="18"/>
  <c r="BK306" i="18"/>
  <c r="BJ306" i="18"/>
  <c r="BI306" i="18"/>
  <c r="AU306" i="18"/>
  <c r="AT306" i="18"/>
  <c r="AS306" i="18"/>
  <c r="AR306" i="18"/>
  <c r="AQ306" i="18"/>
  <c r="AP306" i="18"/>
  <c r="BM305" i="18"/>
  <c r="BL305" i="18"/>
  <c r="BK305" i="18"/>
  <c r="BJ305" i="18"/>
  <c r="BI305" i="18"/>
  <c r="AU305" i="18"/>
  <c r="AT305" i="18"/>
  <c r="AS305" i="18"/>
  <c r="AR305" i="18"/>
  <c r="AQ305" i="18"/>
  <c r="AP305" i="18"/>
  <c r="BM304" i="18"/>
  <c r="BL304" i="18"/>
  <c r="BK304" i="18"/>
  <c r="BJ304" i="18"/>
  <c r="BI304" i="18"/>
  <c r="AU304" i="18"/>
  <c r="AT304" i="18"/>
  <c r="AS304" i="18"/>
  <c r="AR304" i="18"/>
  <c r="AQ304" i="18"/>
  <c r="AP304" i="18"/>
  <c r="BM303" i="18"/>
  <c r="BL303" i="18"/>
  <c r="BK303" i="18"/>
  <c r="BJ303" i="18"/>
  <c r="BI303" i="18"/>
  <c r="AU303" i="18"/>
  <c r="AT303" i="18"/>
  <c r="AS303" i="18"/>
  <c r="AR303" i="18"/>
  <c r="AQ303" i="18"/>
  <c r="AP303" i="18"/>
  <c r="BM302" i="18"/>
  <c r="BL302" i="18"/>
  <c r="BK302" i="18"/>
  <c r="BJ302" i="18"/>
  <c r="BI302" i="18"/>
  <c r="AU302" i="18"/>
  <c r="AT302" i="18"/>
  <c r="AS302" i="18"/>
  <c r="AR302" i="18"/>
  <c r="AQ302" i="18"/>
  <c r="AP302" i="18"/>
  <c r="BM301" i="18"/>
  <c r="BL301" i="18"/>
  <c r="BK301" i="18"/>
  <c r="BJ301" i="18"/>
  <c r="BI301" i="18"/>
  <c r="AU301" i="18"/>
  <c r="AT301" i="18"/>
  <c r="AS301" i="18"/>
  <c r="AR301" i="18"/>
  <c r="AQ301" i="18"/>
  <c r="AP301" i="18"/>
  <c r="BM297" i="18"/>
  <c r="BL297" i="18"/>
  <c r="BK297" i="18"/>
  <c r="BJ297" i="18"/>
  <c r="BI297" i="18"/>
  <c r="AU297" i="18"/>
  <c r="AT297" i="18"/>
  <c r="AS297" i="18"/>
  <c r="AR297" i="18"/>
  <c r="AQ297" i="18"/>
  <c r="AP297" i="18"/>
  <c r="BM296" i="18"/>
  <c r="BL296" i="18"/>
  <c r="BK296" i="18"/>
  <c r="BJ296" i="18"/>
  <c r="BI296" i="18"/>
  <c r="AU296" i="18"/>
  <c r="AT296" i="18"/>
  <c r="AS296" i="18"/>
  <c r="AR296" i="18"/>
  <c r="AQ296" i="18"/>
  <c r="AP296" i="18"/>
  <c r="BM295" i="18"/>
  <c r="BL295" i="18"/>
  <c r="BK295" i="18"/>
  <c r="BJ295" i="18"/>
  <c r="BI295" i="18"/>
  <c r="AU295" i="18"/>
  <c r="AT295" i="18"/>
  <c r="AS295" i="18"/>
  <c r="AR295" i="18"/>
  <c r="AQ295" i="18"/>
  <c r="AP295" i="18"/>
  <c r="BM294" i="18"/>
  <c r="BL294" i="18"/>
  <c r="BK294" i="18"/>
  <c r="BJ294" i="18"/>
  <c r="BI294" i="18"/>
  <c r="AU294" i="18"/>
  <c r="AT294" i="18"/>
  <c r="AS294" i="18"/>
  <c r="AR294" i="18"/>
  <c r="AQ294" i="18"/>
  <c r="AP294" i="18"/>
  <c r="BM293" i="18"/>
  <c r="BL293" i="18"/>
  <c r="BK293" i="18"/>
  <c r="BJ293" i="18"/>
  <c r="BI293" i="18"/>
  <c r="AU293" i="18"/>
  <c r="AT293" i="18"/>
  <c r="AS293" i="18"/>
  <c r="AR293" i="18"/>
  <c r="AQ293" i="18"/>
  <c r="AP293" i="18"/>
  <c r="BM292" i="18"/>
  <c r="BL292" i="18"/>
  <c r="BK292" i="18"/>
  <c r="BJ292" i="18"/>
  <c r="BI292" i="18"/>
  <c r="AU292" i="18"/>
  <c r="AT292" i="18"/>
  <c r="AS292" i="18"/>
  <c r="AR292" i="18"/>
  <c r="AQ292" i="18"/>
  <c r="AP292" i="18"/>
  <c r="BM291" i="18"/>
  <c r="BL291" i="18"/>
  <c r="BK291" i="18"/>
  <c r="BJ291" i="18"/>
  <c r="BI291" i="18"/>
  <c r="AU291" i="18"/>
  <c r="AT291" i="18"/>
  <c r="AS291" i="18"/>
  <c r="AR291" i="18"/>
  <c r="AQ291" i="18"/>
  <c r="AP291" i="18"/>
  <c r="BM290" i="18"/>
  <c r="BL290" i="18"/>
  <c r="BK290" i="18"/>
  <c r="BJ290" i="18"/>
  <c r="BI290" i="18"/>
  <c r="AU290" i="18"/>
  <c r="AT290" i="18"/>
  <c r="AS290" i="18"/>
  <c r="AR290" i="18"/>
  <c r="AQ290" i="18"/>
  <c r="AP290" i="18"/>
  <c r="BM289" i="18"/>
  <c r="BL289" i="18"/>
  <c r="BK289" i="18"/>
  <c r="BJ289" i="18"/>
  <c r="BI289" i="18"/>
  <c r="AU289" i="18"/>
  <c r="AT289" i="18"/>
  <c r="AS289" i="18"/>
  <c r="AR289" i="18"/>
  <c r="AQ289" i="18"/>
  <c r="AP289" i="18"/>
  <c r="BM285" i="18"/>
  <c r="BL285" i="18"/>
  <c r="BK285" i="18"/>
  <c r="BJ285" i="18"/>
  <c r="BI285" i="18"/>
  <c r="AU285" i="18"/>
  <c r="AT285" i="18"/>
  <c r="AS285" i="18"/>
  <c r="AR285" i="18"/>
  <c r="AQ285" i="18"/>
  <c r="AP285" i="18"/>
  <c r="BM284" i="18"/>
  <c r="BL284" i="18"/>
  <c r="BK284" i="18"/>
  <c r="BJ284" i="18"/>
  <c r="BI284" i="18"/>
  <c r="AU284" i="18"/>
  <c r="AT284" i="18"/>
  <c r="AS284" i="18"/>
  <c r="AR284" i="18"/>
  <c r="AQ284" i="18"/>
  <c r="AP284" i="18"/>
  <c r="BM283" i="18"/>
  <c r="BL283" i="18"/>
  <c r="BK283" i="18"/>
  <c r="BJ283" i="18"/>
  <c r="BI283" i="18"/>
  <c r="AU283" i="18"/>
  <c r="AT283" i="18"/>
  <c r="AS283" i="18"/>
  <c r="AR283" i="18"/>
  <c r="AQ283" i="18"/>
  <c r="AP283" i="18"/>
  <c r="BM282" i="18"/>
  <c r="BL282" i="18"/>
  <c r="BK282" i="18"/>
  <c r="BJ282" i="18"/>
  <c r="BI282" i="18"/>
  <c r="AU282" i="18"/>
  <c r="AT282" i="18"/>
  <c r="AS282" i="18"/>
  <c r="AR282" i="18"/>
  <c r="AQ282" i="18"/>
  <c r="AP282" i="18"/>
  <c r="BM281" i="18"/>
  <c r="BL281" i="18"/>
  <c r="BK281" i="18"/>
  <c r="BJ281" i="18"/>
  <c r="BI281" i="18"/>
  <c r="AU281" i="18"/>
  <c r="AT281" i="18"/>
  <c r="AS281" i="18"/>
  <c r="AR281" i="18"/>
  <c r="AQ281" i="18"/>
  <c r="AP281" i="18"/>
  <c r="BM280" i="18"/>
  <c r="BL280" i="18"/>
  <c r="BK280" i="18"/>
  <c r="BJ280" i="18"/>
  <c r="BI280" i="18"/>
  <c r="AU280" i="18"/>
  <c r="AT280" i="18"/>
  <c r="AS280" i="18"/>
  <c r="AR280" i="18"/>
  <c r="AQ280" i="18"/>
  <c r="AP280" i="18"/>
  <c r="BM279" i="18"/>
  <c r="BL279" i="18"/>
  <c r="BK279" i="18"/>
  <c r="BJ279" i="18"/>
  <c r="BI279" i="18"/>
  <c r="AU279" i="18"/>
  <c r="AT279" i="18"/>
  <c r="AS279" i="18"/>
  <c r="AR279" i="18"/>
  <c r="AQ279" i="18"/>
  <c r="AP279" i="18"/>
  <c r="BM278" i="18"/>
  <c r="BL278" i="18"/>
  <c r="BK278" i="18"/>
  <c r="BJ278" i="18"/>
  <c r="BI278" i="18"/>
  <c r="AU278" i="18"/>
  <c r="AT278" i="18"/>
  <c r="AS278" i="18"/>
  <c r="AR278" i="18"/>
  <c r="AQ278" i="18"/>
  <c r="AP278" i="18"/>
  <c r="BM277" i="18"/>
  <c r="BL277" i="18"/>
  <c r="BK277" i="18"/>
  <c r="BJ277" i="18"/>
  <c r="BI277" i="18"/>
  <c r="AU277" i="18"/>
  <c r="AT277" i="18"/>
  <c r="AS277" i="18"/>
  <c r="AR277" i="18"/>
  <c r="AQ277" i="18"/>
  <c r="AP277" i="18"/>
  <c r="BM273" i="18"/>
  <c r="BL273" i="18"/>
  <c r="BK273" i="18"/>
  <c r="BJ273" i="18"/>
  <c r="BI273" i="18"/>
  <c r="AU273" i="18"/>
  <c r="AT273" i="18"/>
  <c r="AS273" i="18"/>
  <c r="AR273" i="18"/>
  <c r="AQ273" i="18"/>
  <c r="AP273" i="18"/>
  <c r="BM272" i="18"/>
  <c r="BL272" i="18"/>
  <c r="BK272" i="18"/>
  <c r="BJ272" i="18"/>
  <c r="BI272" i="18"/>
  <c r="AU272" i="18"/>
  <c r="AT272" i="18"/>
  <c r="AS272" i="18"/>
  <c r="AR272" i="18"/>
  <c r="AQ272" i="18"/>
  <c r="AP272" i="18"/>
  <c r="BM271" i="18"/>
  <c r="BL271" i="18"/>
  <c r="BK271" i="18"/>
  <c r="BJ271" i="18"/>
  <c r="BI271" i="18"/>
  <c r="AU271" i="18"/>
  <c r="AT271" i="18"/>
  <c r="AS271" i="18"/>
  <c r="AR271" i="18"/>
  <c r="AQ271" i="18"/>
  <c r="AP271" i="18"/>
  <c r="BM270" i="18"/>
  <c r="BL270" i="18"/>
  <c r="BK270" i="18"/>
  <c r="BJ270" i="18"/>
  <c r="BI270" i="18"/>
  <c r="AU270" i="18"/>
  <c r="AT270" i="18"/>
  <c r="AS270" i="18"/>
  <c r="AR270" i="18"/>
  <c r="AQ270" i="18"/>
  <c r="AP270" i="18"/>
  <c r="BM269" i="18"/>
  <c r="BL269" i="18"/>
  <c r="BK269" i="18"/>
  <c r="BJ269" i="18"/>
  <c r="BI269" i="18"/>
  <c r="AU269" i="18"/>
  <c r="AT269" i="18"/>
  <c r="AS269" i="18"/>
  <c r="AR269" i="18"/>
  <c r="AQ269" i="18"/>
  <c r="AP269" i="18"/>
  <c r="BM268" i="18"/>
  <c r="BL268" i="18"/>
  <c r="BK268" i="18"/>
  <c r="BJ268" i="18"/>
  <c r="BI268" i="18"/>
  <c r="AU268" i="18"/>
  <c r="AT268" i="18"/>
  <c r="AS268" i="18"/>
  <c r="AR268" i="18"/>
  <c r="AQ268" i="18"/>
  <c r="AP268" i="18"/>
  <c r="BM267" i="18"/>
  <c r="BL267" i="18"/>
  <c r="BK267" i="18"/>
  <c r="BJ267" i="18"/>
  <c r="BI267" i="18"/>
  <c r="AU267" i="18"/>
  <c r="AT267" i="18"/>
  <c r="AS267" i="18"/>
  <c r="AR267" i="18"/>
  <c r="AQ267" i="18"/>
  <c r="AP267" i="18"/>
  <c r="BM266" i="18"/>
  <c r="BL266" i="18"/>
  <c r="BK266" i="18"/>
  <c r="BJ266" i="18"/>
  <c r="BI266" i="18"/>
  <c r="AU266" i="18"/>
  <c r="AT266" i="18"/>
  <c r="AS266" i="18"/>
  <c r="AR266" i="18"/>
  <c r="AQ266" i="18"/>
  <c r="AP266" i="18"/>
  <c r="BM265" i="18"/>
  <c r="BL265" i="18"/>
  <c r="BK265" i="18"/>
  <c r="BJ265" i="18"/>
  <c r="BI265" i="18"/>
  <c r="AU265" i="18"/>
  <c r="AT265" i="18"/>
  <c r="AS265" i="18"/>
  <c r="AR265" i="18"/>
  <c r="AQ265" i="18"/>
  <c r="AP265" i="18"/>
  <c r="BM261" i="18"/>
  <c r="BL261" i="18"/>
  <c r="BK261" i="18"/>
  <c r="BJ261" i="18"/>
  <c r="BI261" i="18"/>
  <c r="AU261" i="18"/>
  <c r="AT261" i="18"/>
  <c r="AS261" i="18"/>
  <c r="AR261" i="18"/>
  <c r="AQ261" i="18"/>
  <c r="AP261" i="18"/>
  <c r="BM260" i="18"/>
  <c r="BL260" i="18"/>
  <c r="BK260" i="18"/>
  <c r="BJ260" i="18"/>
  <c r="BI260" i="18"/>
  <c r="AU260" i="18"/>
  <c r="AT260" i="18"/>
  <c r="AS260" i="18"/>
  <c r="AR260" i="18"/>
  <c r="AQ260" i="18"/>
  <c r="AP260" i="18"/>
  <c r="BM259" i="18"/>
  <c r="BL259" i="18"/>
  <c r="BK259" i="18"/>
  <c r="BJ259" i="18"/>
  <c r="BI259" i="18"/>
  <c r="AU259" i="18"/>
  <c r="AT259" i="18"/>
  <c r="AS259" i="18"/>
  <c r="AR259" i="18"/>
  <c r="AQ259" i="18"/>
  <c r="AP259" i="18"/>
  <c r="BM258" i="18"/>
  <c r="BL258" i="18"/>
  <c r="BK258" i="18"/>
  <c r="BJ258" i="18"/>
  <c r="BI258" i="18"/>
  <c r="AU258" i="18"/>
  <c r="AT258" i="18"/>
  <c r="AS258" i="18"/>
  <c r="AR258" i="18"/>
  <c r="AQ258" i="18"/>
  <c r="AP258" i="18"/>
  <c r="BM257" i="18"/>
  <c r="BL257" i="18"/>
  <c r="BK257" i="18"/>
  <c r="BJ257" i="18"/>
  <c r="BI257" i="18"/>
  <c r="AU257" i="18"/>
  <c r="AT257" i="18"/>
  <c r="AS257" i="18"/>
  <c r="AR257" i="18"/>
  <c r="AQ257" i="18"/>
  <c r="AP257" i="18"/>
  <c r="BM256" i="18"/>
  <c r="BL256" i="18"/>
  <c r="BK256" i="18"/>
  <c r="BJ256" i="18"/>
  <c r="BI256" i="18"/>
  <c r="AU256" i="18"/>
  <c r="AT256" i="18"/>
  <c r="AS256" i="18"/>
  <c r="AR256" i="18"/>
  <c r="AQ256" i="18"/>
  <c r="AP256" i="18"/>
  <c r="BM255" i="18"/>
  <c r="BL255" i="18"/>
  <c r="BK255" i="18"/>
  <c r="BJ255" i="18"/>
  <c r="BI255" i="18"/>
  <c r="AU255" i="18"/>
  <c r="AT255" i="18"/>
  <c r="AS255" i="18"/>
  <c r="AR255" i="18"/>
  <c r="AQ255" i="18"/>
  <c r="AP255" i="18"/>
  <c r="BM254" i="18"/>
  <c r="BL254" i="18"/>
  <c r="BK254" i="18"/>
  <c r="BJ254" i="18"/>
  <c r="BI254" i="18"/>
  <c r="AU254" i="18"/>
  <c r="AT254" i="18"/>
  <c r="AS254" i="18"/>
  <c r="AR254" i="18"/>
  <c r="AQ254" i="18"/>
  <c r="AP254" i="18"/>
  <c r="BM253" i="18"/>
  <c r="BL253" i="18"/>
  <c r="BK253" i="18"/>
  <c r="BJ253" i="18"/>
  <c r="BI253" i="18"/>
  <c r="AU253" i="18"/>
  <c r="AT253" i="18"/>
  <c r="AS253" i="18"/>
  <c r="AR253" i="18"/>
  <c r="AQ253" i="18"/>
  <c r="AP253" i="18"/>
  <c r="BH199" i="18" l="1"/>
  <c r="BH162" i="18"/>
  <c r="BF169" i="18"/>
  <c r="BH184" i="18"/>
  <c r="BG241" i="18"/>
  <c r="BF247" i="18"/>
  <c r="BF333" i="18"/>
  <c r="BH340" i="18"/>
  <c r="BF137" i="18"/>
  <c r="BG205" i="18"/>
  <c r="BH321" i="18"/>
  <c r="BG325" i="18"/>
  <c r="BH270" i="18"/>
  <c r="BH281" i="18"/>
  <c r="BG231" i="18"/>
  <c r="BF188" i="18"/>
  <c r="BF199" i="18"/>
  <c r="BG201" i="18"/>
  <c r="BH206" i="18"/>
  <c r="BF303" i="18"/>
  <c r="BF256" i="18"/>
  <c r="BF278" i="18"/>
  <c r="BH282" i="18"/>
  <c r="BF289" i="18"/>
  <c r="BG219" i="18"/>
  <c r="BF174" i="18"/>
  <c r="BF196" i="18"/>
  <c r="BH200" i="18"/>
  <c r="BF172" i="18"/>
  <c r="BF183" i="18"/>
  <c r="BG221" i="18"/>
  <c r="BF260" i="18"/>
  <c r="BF315" i="18"/>
  <c r="BH139" i="18"/>
  <c r="BF209" i="18"/>
  <c r="BF201" i="18"/>
  <c r="BH208" i="18"/>
  <c r="BH236" i="18"/>
  <c r="BG139" i="18"/>
  <c r="BH223" i="18"/>
  <c r="BF249" i="18"/>
  <c r="BG304" i="18"/>
  <c r="BH306" i="18"/>
  <c r="BF318" i="18"/>
  <c r="BH330" i="18"/>
  <c r="BG339" i="18"/>
  <c r="BF345" i="18"/>
  <c r="BF356" i="18"/>
  <c r="BH363" i="18"/>
  <c r="BF367" i="18"/>
  <c r="BG369" i="18"/>
  <c r="BF138" i="18"/>
  <c r="BH175" i="18"/>
  <c r="BF182" i="18"/>
  <c r="BG206" i="18"/>
  <c r="BF294" i="18"/>
  <c r="BG296" i="18"/>
  <c r="BF133" i="18"/>
  <c r="BG236" i="18"/>
  <c r="BG138" i="18"/>
  <c r="BF139" i="18"/>
  <c r="BG196" i="18"/>
  <c r="BF210" i="18"/>
  <c r="BH138" i="18"/>
  <c r="BG158" i="18"/>
  <c r="BH160" i="18"/>
  <c r="BF164" i="18"/>
  <c r="BF208" i="18"/>
  <c r="BG210" i="18"/>
  <c r="BF219" i="18"/>
  <c r="BH242" i="18"/>
  <c r="BF246" i="18"/>
  <c r="BG248" i="18"/>
  <c r="BF309" i="18"/>
  <c r="BG314" i="18"/>
  <c r="BG319" i="18"/>
  <c r="BG326" i="18"/>
  <c r="BG337" i="18"/>
  <c r="BF343" i="18"/>
  <c r="BG356" i="18"/>
  <c r="BF141" i="18"/>
  <c r="BG146" i="18"/>
  <c r="BG165" i="18"/>
  <c r="BG173" i="18"/>
  <c r="BH183" i="18"/>
  <c r="BG224" i="18"/>
  <c r="BG193" i="18"/>
  <c r="BG161" i="18"/>
  <c r="BH176" i="18"/>
  <c r="BG242" i="18"/>
  <c r="BH307" i="18"/>
  <c r="BG137" i="18"/>
  <c r="BH147" i="18"/>
  <c r="BF151" i="18"/>
  <c r="BG153" i="18"/>
  <c r="BH158" i="18"/>
  <c r="BG164" i="18"/>
  <c r="BF175" i="18"/>
  <c r="BG177" i="18"/>
  <c r="BF186" i="18"/>
  <c r="BG223" i="18"/>
  <c r="BG245" i="18"/>
  <c r="BG280" i="18"/>
  <c r="BH344" i="18"/>
  <c r="BH137" i="18"/>
  <c r="BF165" i="18"/>
  <c r="BF189" i="18"/>
  <c r="BF206" i="18"/>
  <c r="BG213" i="18"/>
  <c r="BH218" i="18"/>
  <c r="BF241" i="18"/>
  <c r="BG259" i="18"/>
  <c r="BG270" i="18"/>
  <c r="BF279" i="18"/>
  <c r="BH294" i="18"/>
  <c r="BH313" i="18"/>
  <c r="BG316" i="18"/>
  <c r="BH318" i="18"/>
  <c r="BF325" i="18"/>
  <c r="BH326" i="18"/>
  <c r="BH337" i="18"/>
  <c r="BG343" i="18"/>
  <c r="BF352" i="18"/>
  <c r="BG140" i="18"/>
  <c r="BH145" i="18"/>
  <c r="BF149" i="18"/>
  <c r="BG151" i="18"/>
  <c r="BG175" i="18"/>
  <c r="BG186" i="18"/>
  <c r="BH188" i="18"/>
  <c r="BG194" i="18"/>
  <c r="BH196" i="18"/>
  <c r="BF213" i="18"/>
  <c r="BG218" i="18"/>
  <c r="BF221" i="18"/>
  <c r="BH222" i="18"/>
  <c r="BF231" i="18"/>
  <c r="BG233" i="18"/>
  <c r="BF244" i="18"/>
  <c r="BG301" i="18"/>
  <c r="BH303" i="18"/>
  <c r="BF355" i="18"/>
  <c r="BH140" i="18"/>
  <c r="BF187" i="18"/>
  <c r="BH207" i="18"/>
  <c r="BH233" i="18"/>
  <c r="BF258" i="18"/>
  <c r="BG260" i="18"/>
  <c r="BF269" i="18"/>
  <c r="BF307" i="18"/>
  <c r="BG309" i="18"/>
  <c r="BH327" i="18"/>
  <c r="BF342" i="18"/>
  <c r="BH357" i="18"/>
  <c r="BG134" i="18"/>
  <c r="BH136" i="18"/>
  <c r="BG141" i="18"/>
  <c r="BH146" i="18"/>
  <c r="BF150" i="18"/>
  <c r="BG152" i="18"/>
  <c r="BH157" i="18"/>
  <c r="BF161" i="18"/>
  <c r="BG163" i="18"/>
  <c r="BF185" i="18"/>
  <c r="BG195" i="18"/>
  <c r="BF198" i="18"/>
  <c r="BH205" i="18"/>
  <c r="BG208" i="18"/>
  <c r="BH210" i="18"/>
  <c r="BF217" i="18"/>
  <c r="BF245" i="18"/>
  <c r="BF253" i="18"/>
  <c r="BG255" i="18"/>
  <c r="BF261" i="18"/>
  <c r="BG320" i="18"/>
  <c r="BH352" i="18"/>
  <c r="BG302" i="18"/>
  <c r="BF329" i="18"/>
  <c r="BH333" i="18"/>
  <c r="BG353" i="18"/>
  <c r="BH355" i="18"/>
  <c r="BF362" i="18"/>
  <c r="BH366" i="18"/>
  <c r="BF148" i="18"/>
  <c r="BG150" i="18"/>
  <c r="BH152" i="18"/>
  <c r="BG174" i="18"/>
  <c r="BF222" i="18"/>
  <c r="BH247" i="18"/>
  <c r="BF170" i="18"/>
  <c r="BH182" i="18"/>
  <c r="BF207" i="18"/>
  <c r="BF212" i="18"/>
  <c r="BF218" i="18"/>
  <c r="BH219" i="18"/>
  <c r="BH229" i="18"/>
  <c r="BF265" i="18"/>
  <c r="BH269" i="18"/>
  <c r="BF273" i="18"/>
  <c r="BG278" i="18"/>
  <c r="BH280" i="18"/>
  <c r="BF284" i="18"/>
  <c r="BG289" i="18"/>
  <c r="BF314" i="18"/>
  <c r="BF319" i="18"/>
  <c r="BH320" i="18"/>
  <c r="BG321" i="18"/>
  <c r="BG329" i="18"/>
  <c r="BH331" i="18"/>
  <c r="BF338" i="18"/>
  <c r="BG340" i="18"/>
  <c r="BH342" i="18"/>
  <c r="BH353" i="18"/>
  <c r="BG133" i="18"/>
  <c r="BF146" i="18"/>
  <c r="BH172" i="18"/>
  <c r="BF173" i="18"/>
  <c r="BG183" i="18"/>
  <c r="BH185" i="18"/>
  <c r="BH193" i="18"/>
  <c r="BG220" i="18"/>
  <c r="BF223" i="18"/>
  <c r="BF225" i="18"/>
  <c r="BG230" i="18"/>
  <c r="BH237" i="18"/>
  <c r="BH245" i="18"/>
  <c r="BH232" i="18"/>
  <c r="BH329" i="18"/>
  <c r="BG188" i="18"/>
  <c r="BH220" i="18"/>
  <c r="BH224" i="18"/>
  <c r="BH265" i="18"/>
  <c r="BG292" i="18"/>
  <c r="BH148" i="18"/>
  <c r="BF306" i="18"/>
  <c r="BG249" i="18"/>
  <c r="BF351" i="18"/>
  <c r="BH246" i="18"/>
  <c r="BF268" i="18"/>
  <c r="BF302" i="18"/>
  <c r="BH339" i="18"/>
  <c r="BH165" i="18"/>
  <c r="BH170" i="18"/>
  <c r="BF181" i="18"/>
  <c r="BG247" i="18"/>
  <c r="BH134" i="18"/>
  <c r="BH177" i="18"/>
  <c r="BG258" i="18"/>
  <c r="BG266" i="18"/>
  <c r="BH268" i="18"/>
  <c r="BG271" i="18"/>
  <c r="BH273" i="18"/>
  <c r="BF280" i="18"/>
  <c r="BG282" i="18"/>
  <c r="BH284" i="18"/>
  <c r="BG290" i="18"/>
  <c r="BG295" i="18"/>
  <c r="BF301" i="18"/>
  <c r="BH302" i="18"/>
  <c r="BH304" i="18"/>
  <c r="BH317" i="18"/>
  <c r="BG330" i="18"/>
  <c r="BH332" i="18"/>
  <c r="BF339" i="18"/>
  <c r="BH351" i="18"/>
  <c r="BH356" i="18"/>
  <c r="BG357" i="18"/>
  <c r="BH362" i="18"/>
  <c r="BF136" i="18"/>
  <c r="BF147" i="18"/>
  <c r="BF152" i="18"/>
  <c r="BH153" i="18"/>
  <c r="BH161" i="18"/>
  <c r="BG169" i="18"/>
  <c r="BH171" i="18"/>
  <c r="BH181" i="18"/>
  <c r="BG189" i="18"/>
  <c r="BF195" i="18"/>
  <c r="BH201" i="18"/>
  <c r="BG209" i="18"/>
  <c r="BH213" i="18"/>
  <c r="BH241" i="18"/>
  <c r="BF242" i="18"/>
  <c r="BH243" i="18"/>
  <c r="BH174" i="18"/>
  <c r="BF254" i="18"/>
  <c r="BH258" i="18"/>
  <c r="BG293" i="18"/>
  <c r="BF296" i="18"/>
  <c r="BH297" i="18"/>
  <c r="BF316" i="18"/>
  <c r="BG333" i="18"/>
  <c r="BH343" i="18"/>
  <c r="BF350" i="18"/>
  <c r="BH354" i="18"/>
  <c r="BF361" i="18"/>
  <c r="BF134" i="18"/>
  <c r="BH135" i="18"/>
  <c r="BG145" i="18"/>
  <c r="BG147" i="18"/>
  <c r="BH159" i="18"/>
  <c r="BG162" i="18"/>
  <c r="BH169" i="18"/>
  <c r="BF177" i="18"/>
  <c r="BG182" i="18"/>
  <c r="BH186" i="18"/>
  <c r="BH194" i="18"/>
  <c r="BG197" i="18"/>
  <c r="BH209" i="18"/>
  <c r="BF224" i="18"/>
  <c r="BG229" i="18"/>
  <c r="BF235" i="18"/>
  <c r="BH248" i="18"/>
  <c r="BH253" i="18"/>
  <c r="BG253" i="18"/>
  <c r="BH255" i="18"/>
  <c r="BF266" i="18"/>
  <c r="BG268" i="18"/>
  <c r="BF271" i="18"/>
  <c r="BG273" i="18"/>
  <c r="BH278" i="18"/>
  <c r="BG284" i="18"/>
  <c r="BH289" i="18"/>
  <c r="BF290" i="18"/>
  <c r="BG306" i="18"/>
  <c r="BG308" i="18"/>
  <c r="BH315" i="18"/>
  <c r="BF328" i="18"/>
  <c r="BF330" i="18"/>
  <c r="BG344" i="18"/>
  <c r="BH349" i="18"/>
  <c r="BG352" i="18"/>
  <c r="BF140" i="18"/>
  <c r="BH141" i="18"/>
  <c r="BF145" i="18"/>
  <c r="BH150" i="18"/>
  <c r="BF160" i="18"/>
  <c r="BH163" i="18"/>
  <c r="BF171" i="18"/>
  <c r="BG176" i="18"/>
  <c r="BG181" i="18"/>
  <c r="BG187" i="18"/>
  <c r="BH189" i="18"/>
  <c r="BF193" i="18"/>
  <c r="BF211" i="18"/>
  <c r="BH225" i="18"/>
  <c r="BH230" i="18"/>
  <c r="BF237" i="18"/>
  <c r="BG243" i="18"/>
  <c r="BH256" i="18"/>
  <c r="BF257" i="18"/>
  <c r="BG261" i="18"/>
  <c r="BF267" i="18"/>
  <c r="BG269" i="18"/>
  <c r="BH279" i="18"/>
  <c r="BF283" i="18"/>
  <c r="BG285" i="18"/>
  <c r="BF293" i="18"/>
  <c r="BG297" i="18"/>
  <c r="BF305" i="18"/>
  <c r="BF341" i="18"/>
  <c r="BH350" i="18"/>
  <c r="BG363" i="18"/>
  <c r="BH365" i="18"/>
  <c r="BF369" i="18"/>
  <c r="BH133" i="18"/>
  <c r="BG135" i="18"/>
  <c r="BG149" i="18"/>
  <c r="BG160" i="18"/>
  <c r="BH164" i="18"/>
  <c r="BG171" i="18"/>
  <c r="BH173" i="18"/>
  <c r="BH187" i="18"/>
  <c r="BG222" i="18"/>
  <c r="BG235" i="18"/>
  <c r="BF248" i="18"/>
  <c r="BH249" i="18"/>
  <c r="BG199" i="18"/>
  <c r="BG244" i="18"/>
  <c r="BH325" i="18"/>
  <c r="BF135" i="18"/>
  <c r="BH254" i="18"/>
  <c r="BG257" i="18"/>
  <c r="BG267" i="18"/>
  <c r="BH277" i="18"/>
  <c r="BH290" i="18"/>
  <c r="BG305" i="18"/>
  <c r="BH316" i="18"/>
  <c r="BF337" i="18"/>
  <c r="BG341" i="18"/>
  <c r="BF354" i="18"/>
  <c r="BF364" i="18"/>
  <c r="BH151" i="18"/>
  <c r="BF163" i="18"/>
  <c r="BH195" i="18"/>
  <c r="BF200" i="18"/>
  <c r="BH211" i="18"/>
  <c r="BG212" i="18"/>
  <c r="BF236" i="18"/>
  <c r="BH244" i="18"/>
  <c r="BH260" i="18"/>
  <c r="BH259" i="18"/>
  <c r="BG265" i="18"/>
  <c r="BF292" i="18"/>
  <c r="BH293" i="18"/>
  <c r="BF332" i="18"/>
  <c r="BH149" i="18"/>
  <c r="BF159" i="18"/>
  <c r="BG170" i="18"/>
  <c r="BF194" i="18"/>
  <c r="BH197" i="18"/>
  <c r="BF297" i="18"/>
  <c r="BG254" i="18"/>
  <c r="BH272" i="18"/>
  <c r="BH283" i="18"/>
  <c r="BG313" i="18"/>
  <c r="BG317" i="18"/>
  <c r="BF320" i="18"/>
  <c r="BG148" i="18"/>
  <c r="BG157" i="18"/>
  <c r="BG159" i="18"/>
  <c r="BF162" i="18"/>
  <c r="BF176" i="18"/>
  <c r="BG198" i="18"/>
  <c r="BG200" i="18"/>
  <c r="BH212" i="18"/>
  <c r="BF229" i="18"/>
  <c r="BG232" i="18"/>
  <c r="BG234" i="18"/>
  <c r="BF282" i="18"/>
  <c r="BF259" i="18"/>
  <c r="BG365" i="18"/>
  <c r="BF255" i="18"/>
  <c r="BG328" i="18"/>
  <c r="BG332" i="18"/>
  <c r="BF285" i="18"/>
  <c r="BH291" i="18"/>
  <c r="BH295" i="18"/>
  <c r="BH261" i="18"/>
  <c r="BH266" i="18"/>
  <c r="BF281" i="18"/>
  <c r="BG294" i="18"/>
  <c r="BG303" i="18"/>
  <c r="BG307" i="18"/>
  <c r="BH319" i="18"/>
  <c r="BG256" i="18"/>
  <c r="BH257" i="18"/>
  <c r="BF270" i="18"/>
  <c r="BH271" i="18"/>
  <c r="BF272" i="18"/>
  <c r="BF277" i="18"/>
  <c r="BG281" i="18"/>
  <c r="BG283" i="18"/>
  <c r="BH292" i="18"/>
  <c r="BH296" i="18"/>
  <c r="BH301" i="18"/>
  <c r="BH309" i="18"/>
  <c r="BF313" i="18"/>
  <c r="BH314" i="18"/>
  <c r="BF327" i="18"/>
  <c r="BF331" i="18"/>
  <c r="BG338" i="18"/>
  <c r="BH341" i="18"/>
  <c r="BF344" i="18"/>
  <c r="BH345" i="18"/>
  <c r="BG351" i="18"/>
  <c r="BF353" i="18"/>
  <c r="BG355" i="18"/>
  <c r="BH361" i="18"/>
  <c r="BF365" i="18"/>
  <c r="BH198" i="18"/>
  <c r="BH308" i="18"/>
  <c r="BH267" i="18"/>
  <c r="BG272" i="18"/>
  <c r="BG277" i="18"/>
  <c r="BG279" i="18"/>
  <c r="BH285" i="18"/>
  <c r="BF291" i="18"/>
  <c r="BF295" i="18"/>
  <c r="BF304" i="18"/>
  <c r="BH305" i="18"/>
  <c r="BF308" i="18"/>
  <c r="BF321" i="18"/>
  <c r="BG331" i="18"/>
  <c r="BG342" i="18"/>
  <c r="BG349" i="18"/>
  <c r="BG362" i="18"/>
  <c r="BH364" i="18"/>
  <c r="BF368" i="18"/>
  <c r="BG136" i="18"/>
  <c r="BF153" i="18"/>
  <c r="BG184" i="18"/>
  <c r="BF197" i="18"/>
  <c r="BF232" i="18"/>
  <c r="BF157" i="18"/>
  <c r="BG172" i="18"/>
  <c r="BF184" i="18"/>
  <c r="BF205" i="18"/>
  <c r="BF234" i="18"/>
  <c r="BH235" i="18"/>
  <c r="BG237" i="18"/>
  <c r="BG354" i="18"/>
  <c r="BG366" i="18"/>
  <c r="BF158" i="18"/>
  <c r="BG185" i="18"/>
  <c r="BG207" i="18"/>
  <c r="BG217" i="18"/>
  <c r="BH217" i="18"/>
  <c r="BF243" i="18"/>
  <c r="BG246" i="18"/>
  <c r="BG211" i="18"/>
  <c r="BH221" i="18"/>
  <c r="BG225" i="18"/>
  <c r="BF233" i="18"/>
  <c r="BF220" i="18"/>
  <c r="BF230" i="18"/>
  <c r="BH231" i="18"/>
  <c r="BH234" i="18"/>
  <c r="BG361" i="18"/>
  <c r="BG368" i="18"/>
  <c r="BH369" i="18"/>
  <c r="BF363" i="18"/>
  <c r="BH368" i="18"/>
  <c r="BG367" i="18"/>
  <c r="BG364" i="18"/>
  <c r="BF366" i="18"/>
  <c r="BH367" i="18"/>
  <c r="BG291" i="18"/>
  <c r="BH328" i="18"/>
  <c r="BG315" i="18"/>
  <c r="BG318" i="18"/>
  <c r="BG327" i="18"/>
  <c r="BF317" i="18"/>
  <c r="BF326" i="18"/>
  <c r="BF340" i="18"/>
  <c r="BG350" i="18"/>
  <c r="BH338" i="18"/>
  <c r="BF349" i="18"/>
  <c r="BF357" i="18"/>
  <c r="BG345" i="18"/>
  <c r="BG1" i="18" l="1"/>
  <c r="AQ1" i="18"/>
  <c r="F5" i="18" l="1"/>
  <c r="O6" i="18" s="1"/>
  <c r="I6" i="18" l="1"/>
  <c r="I7" i="18" s="1"/>
  <c r="P6" i="18"/>
  <c r="P7" i="18" s="1"/>
  <c r="H6" i="18"/>
  <c r="H7" i="18" s="1"/>
  <c r="Q6" i="18"/>
  <c r="Q7" i="18" s="1"/>
  <c r="O7" i="18"/>
  <c r="J6" i="18"/>
  <c r="K6" i="18"/>
  <c r="R5" i="18"/>
  <c r="L6" i="18"/>
  <c r="M6" i="18"/>
  <c r="AP5" i="18"/>
  <c r="F6" i="18"/>
  <c r="N6" i="18"/>
  <c r="G6" i="18"/>
  <c r="BF5" i="18"/>
  <c r="BG5" i="18" s="1"/>
  <c r="BH5" i="18" s="1"/>
  <c r="BI5" i="18" s="1"/>
  <c r="BJ5" i="18" s="1"/>
  <c r="BK5" i="18" s="1"/>
  <c r="BL5" i="18" s="1"/>
  <c r="BM5" i="18" s="1"/>
  <c r="P8" i="18" a="1"/>
  <c r="Q8" i="18" a="1"/>
  <c r="H8" i="18" a="1"/>
  <c r="O8" i="18" a="1"/>
  <c r="AP6" i="18" l="1"/>
  <c r="AQ6" i="18"/>
  <c r="O8" i="18"/>
  <c r="P8" i="18"/>
  <c r="H8" i="18"/>
  <c r="Q8" i="18"/>
  <c r="L7" i="18"/>
  <c r="G7" i="18"/>
  <c r="W6" i="18"/>
  <c r="V6" i="18"/>
  <c r="X6" i="18"/>
  <c r="AC6" i="18"/>
  <c r="U6" i="18"/>
  <c r="AD5" i="18"/>
  <c r="AB6" i="18"/>
  <c r="T6" i="18"/>
  <c r="Y6" i="18"/>
  <c r="AA6" i="18"/>
  <c r="S6" i="18"/>
  <c r="Z6" i="18"/>
  <c r="R6" i="18"/>
  <c r="N7" i="18"/>
  <c r="K7" i="18"/>
  <c r="F7" i="18"/>
  <c r="AR5" i="18"/>
  <c r="M7" i="18"/>
  <c r="J7" i="18"/>
  <c r="M8" i="18" a="1"/>
  <c r="I8" i="18" a="1"/>
  <c r="N8" i="18" a="1"/>
  <c r="G8" i="18" a="1"/>
  <c r="F8" i="18" a="1"/>
  <c r="J8" i="18" a="1"/>
  <c r="K8" i="18" a="1"/>
  <c r="AS6" i="18" l="1"/>
  <c r="AR6" i="18"/>
  <c r="I8" i="18"/>
  <c r="N8" i="18"/>
  <c r="J8" i="18"/>
  <c r="G8" i="18"/>
  <c r="M8" i="18"/>
  <c r="F8" i="18"/>
  <c r="K8" i="18"/>
  <c r="AM6" i="18"/>
  <c r="AE6" i="18"/>
  <c r="AO6" i="18"/>
  <c r="AL6" i="18"/>
  <c r="AD6" i="18"/>
  <c r="AK6" i="18"/>
  <c r="AJ6" i="18"/>
  <c r="AI6" i="18"/>
  <c r="AG6" i="18"/>
  <c r="AH6" i="18"/>
  <c r="AN6" i="18"/>
  <c r="AF6" i="18"/>
  <c r="AQ7" i="18"/>
  <c r="AB7" i="18"/>
  <c r="R7" i="18"/>
  <c r="U7" i="18"/>
  <c r="AT5" i="18"/>
  <c r="Z7" i="18"/>
  <c r="AC7" i="18"/>
  <c r="AP7" i="18"/>
  <c r="S7" i="18"/>
  <c r="X7" i="18"/>
  <c r="AA7" i="18"/>
  <c r="V7" i="18"/>
  <c r="Y7" i="18"/>
  <c r="W7" i="18"/>
  <c r="T7" i="18"/>
  <c r="Z8" i="18" a="1"/>
  <c r="AA8" i="18" a="1"/>
  <c r="W8" i="18" a="1"/>
  <c r="S8" i="18" a="1"/>
  <c r="T8" i="18" a="1"/>
  <c r="L8" i="18" a="1"/>
  <c r="AC8" i="18" a="1"/>
  <c r="U8" i="18" a="1"/>
  <c r="X8" i="18" a="1"/>
  <c r="AB8" i="18" a="1"/>
  <c r="V8" i="18" a="1"/>
  <c r="Y8" i="18" a="1"/>
  <c r="AU6" i="18" l="1"/>
  <c r="AT6" i="18"/>
  <c r="AR7" i="18"/>
  <c r="X8" i="18"/>
  <c r="S8" i="18"/>
  <c r="V8" i="18"/>
  <c r="AA8" i="18"/>
  <c r="U8" i="18"/>
  <c r="T8" i="18"/>
  <c r="AC8" i="18"/>
  <c r="Z8" i="18"/>
  <c r="Y8" i="18"/>
  <c r="L8" i="18"/>
  <c r="AQ8" i="18" s="1"/>
  <c r="AB8" i="18"/>
  <c r="W8" i="18"/>
  <c r="AH7" i="18"/>
  <c r="AE7" i="18"/>
  <c r="AG7" i="18"/>
  <c r="AI7" i="18"/>
  <c r="AJ7" i="18"/>
  <c r="AP8" i="18"/>
  <c r="AM7" i="18"/>
  <c r="AV5" i="18"/>
  <c r="AK7" i="18"/>
  <c r="AD7" i="18"/>
  <c r="AL7" i="18"/>
  <c r="AS7" i="18"/>
  <c r="AF7" i="18"/>
  <c r="AN7" i="18"/>
  <c r="AO7" i="18"/>
  <c r="AK8" i="18" a="1"/>
  <c r="AE8" i="18" a="1"/>
  <c r="R8" i="18" a="1"/>
  <c r="AM8" i="18" a="1"/>
  <c r="AG8" i="18" a="1"/>
  <c r="AF8" i="18" a="1"/>
  <c r="AN8" i="18" a="1"/>
  <c r="AH8" i="18" a="1"/>
  <c r="AO8" i="18" a="1"/>
  <c r="AD8" i="18" a="1"/>
  <c r="AL8" i="18" a="1"/>
  <c r="AI8" i="18" a="1"/>
  <c r="AW6" i="18" l="1"/>
  <c r="AV6" i="18"/>
  <c r="AE8" i="18"/>
  <c r="AO8" i="18"/>
  <c r="AF8" i="18"/>
  <c r="AM8" i="18"/>
  <c r="AL8" i="18"/>
  <c r="AK8" i="18"/>
  <c r="AN8" i="18"/>
  <c r="AI8" i="18"/>
  <c r="R8" i="18"/>
  <c r="AR8" i="18" s="1"/>
  <c r="AH8" i="18"/>
  <c r="AG8" i="18"/>
  <c r="AD8" i="18"/>
  <c r="AU7" i="18"/>
  <c r="AW7" i="18"/>
  <c r="AV7" i="18"/>
  <c r="AX5" i="18"/>
  <c r="AT7" i="18"/>
  <c r="AS8" i="18"/>
  <c r="AJ8" i="18" a="1"/>
  <c r="AV8" i="18" a="1"/>
  <c r="AW8" i="18" a="1"/>
  <c r="AX6" i="18" l="1"/>
  <c r="AY6" i="18"/>
  <c r="AV8" i="18"/>
  <c r="AW8" i="18"/>
  <c r="AJ8" i="18"/>
  <c r="AU8" i="18" s="1"/>
  <c r="AY7" i="18"/>
  <c r="AX7" i="18"/>
  <c r="AZ5" i="18"/>
  <c r="AT8" i="18"/>
  <c r="AX8" i="18" a="1"/>
  <c r="AY8" i="18" a="1"/>
  <c r="BA6" i="18" l="1"/>
  <c r="AZ6" i="18"/>
  <c r="AY8" i="18"/>
  <c r="AX8" i="18"/>
  <c r="BA7" i="18"/>
  <c r="BB5" i="18"/>
  <c r="AZ7" i="18"/>
  <c r="BA8" i="18" a="1"/>
  <c r="AZ8" i="18" a="1"/>
  <c r="BC6" i="18" l="1"/>
  <c r="BB6" i="18"/>
  <c r="BA8" i="18"/>
  <c r="AZ8" i="18"/>
  <c r="BD5" i="18"/>
  <c r="BC7" i="18"/>
  <c r="BB7" i="18"/>
  <c r="BC8" i="18" a="1"/>
  <c r="BB8" i="18" a="1"/>
  <c r="BE6" i="18" l="1"/>
  <c r="BD6" i="18"/>
  <c r="BB8" i="18"/>
  <c r="BC8" i="18"/>
  <c r="BE7" i="18"/>
  <c r="BD7" i="18"/>
  <c r="BE8" i="18" a="1"/>
  <c r="BD8" i="18" a="1"/>
  <c r="BE8" i="18" l="1"/>
  <c r="BD8" i="18"/>
  <c r="BM121" i="18" l="1"/>
  <c r="BL121" i="18"/>
  <c r="BK121" i="18"/>
  <c r="BJ121" i="18"/>
  <c r="BI121" i="18"/>
  <c r="AU121" i="18"/>
  <c r="AT121" i="18"/>
  <c r="AS121" i="18"/>
  <c r="AR121" i="18"/>
  <c r="AQ121" i="18"/>
  <c r="AP121" i="18"/>
  <c r="BM109" i="18"/>
  <c r="BL109" i="18"/>
  <c r="BK109" i="18"/>
  <c r="BJ109" i="18"/>
  <c r="BI109" i="18"/>
  <c r="AU109" i="18"/>
  <c r="AT109" i="18"/>
  <c r="AS109" i="18"/>
  <c r="AR109" i="18"/>
  <c r="AQ109" i="18"/>
  <c r="AP109" i="18"/>
  <c r="BM97" i="18"/>
  <c r="BL97" i="18"/>
  <c r="BK97" i="18"/>
  <c r="BJ97" i="18"/>
  <c r="BI97" i="18"/>
  <c r="AU97" i="18"/>
  <c r="AT97" i="18"/>
  <c r="AS97" i="18"/>
  <c r="AR97" i="18"/>
  <c r="AQ97" i="18"/>
  <c r="AP97" i="18"/>
  <c r="BM85" i="18"/>
  <c r="BL85" i="18"/>
  <c r="BK85" i="18"/>
  <c r="BJ85" i="18"/>
  <c r="BI85" i="18"/>
  <c r="AU85" i="18"/>
  <c r="AT85" i="18"/>
  <c r="AS85" i="18"/>
  <c r="AR85" i="18"/>
  <c r="AQ85" i="18"/>
  <c r="AP85" i="18"/>
  <c r="BM73" i="18"/>
  <c r="BL73" i="18"/>
  <c r="BK73" i="18"/>
  <c r="BJ73" i="18"/>
  <c r="BI73" i="18"/>
  <c r="AU73" i="18"/>
  <c r="AT73" i="18"/>
  <c r="AS73" i="18"/>
  <c r="AR73" i="18"/>
  <c r="AQ73" i="18"/>
  <c r="AP73" i="18"/>
  <c r="BM61" i="18"/>
  <c r="BL61" i="18"/>
  <c r="BK61" i="18"/>
  <c r="BJ61" i="18"/>
  <c r="BI61" i="18"/>
  <c r="AU61" i="18"/>
  <c r="AT61" i="18"/>
  <c r="AS61" i="18"/>
  <c r="AR61" i="18"/>
  <c r="AQ61" i="18"/>
  <c r="AP61" i="18"/>
  <c r="BM49" i="18"/>
  <c r="BL49" i="18"/>
  <c r="BK49" i="18"/>
  <c r="BJ49" i="18"/>
  <c r="BI49" i="18"/>
  <c r="AU49" i="18"/>
  <c r="AT49" i="18"/>
  <c r="AS49" i="18"/>
  <c r="AR49" i="18"/>
  <c r="AQ49" i="18"/>
  <c r="AP49" i="18"/>
  <c r="BM37" i="18"/>
  <c r="BL37" i="18"/>
  <c r="BK37" i="18"/>
  <c r="BJ37" i="18"/>
  <c r="BI37" i="18"/>
  <c r="AU37" i="18"/>
  <c r="AT37" i="18"/>
  <c r="AS37" i="18"/>
  <c r="AR37" i="18"/>
  <c r="AQ37" i="18"/>
  <c r="AP37" i="18"/>
  <c r="BM25" i="18"/>
  <c r="BL25" i="18"/>
  <c r="BK25" i="18"/>
  <c r="BJ25" i="18"/>
  <c r="BI25" i="18"/>
  <c r="AU25" i="18"/>
  <c r="AT25" i="18"/>
  <c r="AS25" i="18"/>
  <c r="AR25" i="18"/>
  <c r="AQ25" i="18"/>
  <c r="AP25" i="18"/>
  <c r="BM10" i="18"/>
  <c r="BL10" i="18"/>
  <c r="BK10" i="18"/>
  <c r="BJ10" i="18"/>
  <c r="BI10" i="18"/>
  <c r="AU10" i="18"/>
  <c r="AT10" i="18"/>
  <c r="AS10" i="18"/>
  <c r="AR10" i="18"/>
  <c r="AQ10" i="18"/>
  <c r="AP10" i="18"/>
  <c r="BM129" i="18"/>
  <c r="BL129" i="18"/>
  <c r="BK129" i="18"/>
  <c r="BJ129" i="18"/>
  <c r="BI129" i="18"/>
  <c r="AU129" i="18"/>
  <c r="AT129" i="18"/>
  <c r="AS129" i="18"/>
  <c r="AR129" i="18"/>
  <c r="AQ129" i="18"/>
  <c r="AP129" i="18"/>
  <c r="BM128" i="18"/>
  <c r="BL128" i="18"/>
  <c r="BK128" i="18"/>
  <c r="BJ128" i="18"/>
  <c r="BI128" i="18"/>
  <c r="AU128" i="18"/>
  <c r="AT128" i="18"/>
  <c r="AS128" i="18"/>
  <c r="AR128" i="18"/>
  <c r="AQ128" i="18"/>
  <c r="AP128" i="18"/>
  <c r="BM127" i="18"/>
  <c r="BL127" i="18"/>
  <c r="BK127" i="18"/>
  <c r="BJ127" i="18"/>
  <c r="BI127" i="18"/>
  <c r="AU127" i="18"/>
  <c r="AT127" i="18"/>
  <c r="AS127" i="18"/>
  <c r="AR127" i="18"/>
  <c r="AQ127" i="18"/>
  <c r="AP127" i="18"/>
  <c r="BM126" i="18"/>
  <c r="BL126" i="18"/>
  <c r="BK126" i="18"/>
  <c r="BJ126" i="18"/>
  <c r="BI126" i="18"/>
  <c r="AU126" i="18"/>
  <c r="AT126" i="18"/>
  <c r="AS126" i="18"/>
  <c r="AR126" i="18"/>
  <c r="AQ126" i="18"/>
  <c r="AP126" i="18"/>
  <c r="BM125" i="18"/>
  <c r="BL125" i="18"/>
  <c r="BK125" i="18"/>
  <c r="BJ125" i="18"/>
  <c r="BI125" i="18"/>
  <c r="AU125" i="18"/>
  <c r="AT125" i="18"/>
  <c r="AS125" i="18"/>
  <c r="AR125" i="18"/>
  <c r="AQ125" i="18"/>
  <c r="AP125" i="18"/>
  <c r="BM124" i="18"/>
  <c r="BL124" i="18"/>
  <c r="BK124" i="18"/>
  <c r="BJ124" i="18"/>
  <c r="BI124" i="18"/>
  <c r="AU124" i="18"/>
  <c r="AT124" i="18"/>
  <c r="AS124" i="18"/>
  <c r="AR124" i="18"/>
  <c r="AQ124" i="18"/>
  <c r="AP124" i="18"/>
  <c r="BM123" i="18"/>
  <c r="BL123" i="18"/>
  <c r="BK123" i="18"/>
  <c r="BJ123" i="18"/>
  <c r="BI123" i="18"/>
  <c r="AU123" i="18"/>
  <c r="AT123" i="18"/>
  <c r="AS123" i="18"/>
  <c r="AR123" i="18"/>
  <c r="AQ123" i="18"/>
  <c r="AP123" i="18"/>
  <c r="BM122" i="18"/>
  <c r="BL122" i="18"/>
  <c r="BK122" i="18"/>
  <c r="BJ122" i="18"/>
  <c r="BI122" i="18"/>
  <c r="AU122" i="18"/>
  <c r="AT122" i="18"/>
  <c r="AS122" i="18"/>
  <c r="AR122" i="18"/>
  <c r="AQ122" i="18"/>
  <c r="AP122" i="18"/>
  <c r="BM117" i="18"/>
  <c r="BL117" i="18"/>
  <c r="BK117" i="18"/>
  <c r="BJ117" i="18"/>
  <c r="BI117" i="18"/>
  <c r="AU117" i="18"/>
  <c r="AT117" i="18"/>
  <c r="AS117" i="18"/>
  <c r="AR117" i="18"/>
  <c r="AQ117" i="18"/>
  <c r="AP117" i="18"/>
  <c r="BM116" i="18"/>
  <c r="BL116" i="18"/>
  <c r="BK116" i="18"/>
  <c r="BJ116" i="18"/>
  <c r="BI116" i="18"/>
  <c r="AU116" i="18"/>
  <c r="AT116" i="18"/>
  <c r="AS116" i="18"/>
  <c r="AR116" i="18"/>
  <c r="AQ116" i="18"/>
  <c r="AP116" i="18"/>
  <c r="BM115" i="18"/>
  <c r="BL115" i="18"/>
  <c r="BK115" i="18"/>
  <c r="BJ115" i="18"/>
  <c r="BI115" i="18"/>
  <c r="AU115" i="18"/>
  <c r="AT115" i="18"/>
  <c r="AS115" i="18"/>
  <c r="AR115" i="18"/>
  <c r="AQ115" i="18"/>
  <c r="AP115" i="18"/>
  <c r="BM114" i="18"/>
  <c r="BL114" i="18"/>
  <c r="BK114" i="18"/>
  <c r="BJ114" i="18"/>
  <c r="BI114" i="18"/>
  <c r="AU114" i="18"/>
  <c r="AT114" i="18"/>
  <c r="AS114" i="18"/>
  <c r="AR114" i="18"/>
  <c r="AQ114" i="18"/>
  <c r="AP114" i="18"/>
  <c r="BM113" i="18"/>
  <c r="BL113" i="18"/>
  <c r="BK113" i="18"/>
  <c r="BJ113" i="18"/>
  <c r="BI113" i="18"/>
  <c r="AU113" i="18"/>
  <c r="AT113" i="18"/>
  <c r="AS113" i="18"/>
  <c r="AR113" i="18"/>
  <c r="AQ113" i="18"/>
  <c r="AP113" i="18"/>
  <c r="BM112" i="18"/>
  <c r="BL112" i="18"/>
  <c r="BK112" i="18"/>
  <c r="BJ112" i="18"/>
  <c r="BI112" i="18"/>
  <c r="AU112" i="18"/>
  <c r="AT112" i="18"/>
  <c r="AS112" i="18"/>
  <c r="AR112" i="18"/>
  <c r="AQ112" i="18"/>
  <c r="AP112" i="18"/>
  <c r="BM111" i="18"/>
  <c r="BL111" i="18"/>
  <c r="BK111" i="18"/>
  <c r="BJ111" i="18"/>
  <c r="BI111" i="18"/>
  <c r="AU111" i="18"/>
  <c r="AT111" i="18"/>
  <c r="AS111" i="18"/>
  <c r="AR111" i="18"/>
  <c r="AQ111" i="18"/>
  <c r="AP111" i="18"/>
  <c r="BM110" i="18"/>
  <c r="BL110" i="18"/>
  <c r="BK110" i="18"/>
  <c r="BJ110" i="18"/>
  <c r="BI110" i="18"/>
  <c r="AU110" i="18"/>
  <c r="AT110" i="18"/>
  <c r="AS110" i="18"/>
  <c r="AR110" i="18"/>
  <c r="AQ110" i="18"/>
  <c r="AP110" i="18"/>
  <c r="BM105" i="18"/>
  <c r="BL105" i="18"/>
  <c r="BK105" i="18"/>
  <c r="BJ105" i="18"/>
  <c r="BI105" i="18"/>
  <c r="AU105" i="18"/>
  <c r="AT105" i="18"/>
  <c r="AS105" i="18"/>
  <c r="AR105" i="18"/>
  <c r="AQ105" i="18"/>
  <c r="AP105" i="18"/>
  <c r="BM104" i="18"/>
  <c r="BL104" i="18"/>
  <c r="BK104" i="18"/>
  <c r="BJ104" i="18"/>
  <c r="BI104" i="18"/>
  <c r="AU104" i="18"/>
  <c r="AT104" i="18"/>
  <c r="AS104" i="18"/>
  <c r="AR104" i="18"/>
  <c r="AQ104" i="18"/>
  <c r="AP104" i="18"/>
  <c r="BM103" i="18"/>
  <c r="BL103" i="18"/>
  <c r="BK103" i="18"/>
  <c r="BJ103" i="18"/>
  <c r="BI103" i="18"/>
  <c r="AU103" i="18"/>
  <c r="AT103" i="18"/>
  <c r="AS103" i="18"/>
  <c r="AR103" i="18"/>
  <c r="AQ103" i="18"/>
  <c r="AP103" i="18"/>
  <c r="BM102" i="18"/>
  <c r="BL102" i="18"/>
  <c r="BK102" i="18"/>
  <c r="BJ102" i="18"/>
  <c r="BI102" i="18"/>
  <c r="AU102" i="18"/>
  <c r="AT102" i="18"/>
  <c r="AS102" i="18"/>
  <c r="AR102" i="18"/>
  <c r="AQ102" i="18"/>
  <c r="AP102" i="18"/>
  <c r="BM101" i="18"/>
  <c r="BL101" i="18"/>
  <c r="BK101" i="18"/>
  <c r="BJ101" i="18"/>
  <c r="BI101" i="18"/>
  <c r="AU101" i="18"/>
  <c r="AT101" i="18"/>
  <c r="AS101" i="18"/>
  <c r="AR101" i="18"/>
  <c r="AQ101" i="18"/>
  <c r="AP101" i="18"/>
  <c r="BM100" i="18"/>
  <c r="BL100" i="18"/>
  <c r="BK100" i="18"/>
  <c r="BJ100" i="18"/>
  <c r="BI100" i="18"/>
  <c r="AU100" i="18"/>
  <c r="AT100" i="18"/>
  <c r="AS100" i="18"/>
  <c r="AR100" i="18"/>
  <c r="AQ100" i="18"/>
  <c r="AP100" i="18"/>
  <c r="BM99" i="18"/>
  <c r="BL99" i="18"/>
  <c r="BK99" i="18"/>
  <c r="BJ99" i="18"/>
  <c r="BI99" i="18"/>
  <c r="AU99" i="18"/>
  <c r="AT99" i="18"/>
  <c r="AS99" i="18"/>
  <c r="AR99" i="18"/>
  <c r="AQ99" i="18"/>
  <c r="AP99" i="18"/>
  <c r="BM98" i="18"/>
  <c r="BL98" i="18"/>
  <c r="BK98" i="18"/>
  <c r="BJ98" i="18"/>
  <c r="BI98" i="18"/>
  <c r="AU98" i="18"/>
  <c r="AT98" i="18"/>
  <c r="AS98" i="18"/>
  <c r="AR98" i="18"/>
  <c r="AQ98" i="18"/>
  <c r="AP98" i="18"/>
  <c r="BM93" i="18"/>
  <c r="BL93" i="18"/>
  <c r="BK93" i="18"/>
  <c r="BJ93" i="18"/>
  <c r="BI93" i="18"/>
  <c r="AU93" i="18"/>
  <c r="AT93" i="18"/>
  <c r="AS93" i="18"/>
  <c r="AR93" i="18"/>
  <c r="AQ93" i="18"/>
  <c r="AP93" i="18"/>
  <c r="BM92" i="18"/>
  <c r="BL92" i="18"/>
  <c r="BK92" i="18"/>
  <c r="BJ92" i="18"/>
  <c r="BI92" i="18"/>
  <c r="AU92" i="18"/>
  <c r="AT92" i="18"/>
  <c r="AS92" i="18"/>
  <c r="AR92" i="18"/>
  <c r="AQ92" i="18"/>
  <c r="AP92" i="18"/>
  <c r="BM91" i="18"/>
  <c r="BL91" i="18"/>
  <c r="BK91" i="18"/>
  <c r="BJ91" i="18"/>
  <c r="BI91" i="18"/>
  <c r="AU91" i="18"/>
  <c r="AT91" i="18"/>
  <c r="AS91" i="18"/>
  <c r="AR91" i="18"/>
  <c r="AQ91" i="18"/>
  <c r="AP91" i="18"/>
  <c r="BM90" i="18"/>
  <c r="BL90" i="18"/>
  <c r="BK90" i="18"/>
  <c r="BJ90" i="18"/>
  <c r="BI90" i="18"/>
  <c r="AU90" i="18"/>
  <c r="AT90" i="18"/>
  <c r="AS90" i="18"/>
  <c r="AR90" i="18"/>
  <c r="AQ90" i="18"/>
  <c r="AP90" i="18"/>
  <c r="BM89" i="18"/>
  <c r="BL89" i="18"/>
  <c r="BK89" i="18"/>
  <c r="BJ89" i="18"/>
  <c r="BI89" i="18"/>
  <c r="AU89" i="18"/>
  <c r="AT89" i="18"/>
  <c r="AS89" i="18"/>
  <c r="AR89" i="18"/>
  <c r="AQ89" i="18"/>
  <c r="AP89" i="18"/>
  <c r="BM88" i="18"/>
  <c r="BL88" i="18"/>
  <c r="BK88" i="18"/>
  <c r="BJ88" i="18"/>
  <c r="BI88" i="18"/>
  <c r="AU88" i="18"/>
  <c r="AT88" i="18"/>
  <c r="AS88" i="18"/>
  <c r="AR88" i="18"/>
  <c r="AQ88" i="18"/>
  <c r="AP88" i="18"/>
  <c r="BM87" i="18"/>
  <c r="BL87" i="18"/>
  <c r="BK87" i="18"/>
  <c r="BJ87" i="18"/>
  <c r="BI87" i="18"/>
  <c r="AU87" i="18"/>
  <c r="AT87" i="18"/>
  <c r="AS87" i="18"/>
  <c r="AR87" i="18"/>
  <c r="AQ87" i="18"/>
  <c r="AP87" i="18"/>
  <c r="BM86" i="18"/>
  <c r="BL86" i="18"/>
  <c r="BK86" i="18"/>
  <c r="BJ86" i="18"/>
  <c r="BI86" i="18"/>
  <c r="AU86" i="18"/>
  <c r="AT86" i="18"/>
  <c r="AS86" i="18"/>
  <c r="AR86" i="18"/>
  <c r="AQ86" i="18"/>
  <c r="AP86" i="18"/>
  <c r="BM81" i="18"/>
  <c r="BL81" i="18"/>
  <c r="BK81" i="18"/>
  <c r="BJ81" i="18"/>
  <c r="BI81" i="18"/>
  <c r="AU81" i="18"/>
  <c r="AT81" i="18"/>
  <c r="AS81" i="18"/>
  <c r="AR81" i="18"/>
  <c r="AQ81" i="18"/>
  <c r="AP81" i="18"/>
  <c r="BM80" i="18"/>
  <c r="BL80" i="18"/>
  <c r="BK80" i="18"/>
  <c r="BJ80" i="18"/>
  <c r="BI80" i="18"/>
  <c r="AU80" i="18"/>
  <c r="AT80" i="18"/>
  <c r="AS80" i="18"/>
  <c r="AR80" i="18"/>
  <c r="AQ80" i="18"/>
  <c r="AP80" i="18"/>
  <c r="BM79" i="18"/>
  <c r="BL79" i="18"/>
  <c r="BK79" i="18"/>
  <c r="BJ79" i="18"/>
  <c r="BI79" i="18"/>
  <c r="AU79" i="18"/>
  <c r="AT79" i="18"/>
  <c r="AS79" i="18"/>
  <c r="AR79" i="18"/>
  <c r="AQ79" i="18"/>
  <c r="AP79" i="18"/>
  <c r="BM78" i="18"/>
  <c r="BL78" i="18"/>
  <c r="BK78" i="18"/>
  <c r="BJ78" i="18"/>
  <c r="BI78" i="18"/>
  <c r="AU78" i="18"/>
  <c r="AT78" i="18"/>
  <c r="AS78" i="18"/>
  <c r="AR78" i="18"/>
  <c r="AQ78" i="18"/>
  <c r="AP78" i="18"/>
  <c r="BM77" i="18"/>
  <c r="BL77" i="18"/>
  <c r="BK77" i="18"/>
  <c r="BJ77" i="18"/>
  <c r="BI77" i="18"/>
  <c r="AU77" i="18"/>
  <c r="AT77" i="18"/>
  <c r="AS77" i="18"/>
  <c r="AR77" i="18"/>
  <c r="AQ77" i="18"/>
  <c r="AP77" i="18"/>
  <c r="BM76" i="18"/>
  <c r="BL76" i="18"/>
  <c r="BK76" i="18"/>
  <c r="BJ76" i="18"/>
  <c r="BI76" i="18"/>
  <c r="AU76" i="18"/>
  <c r="AT76" i="18"/>
  <c r="AS76" i="18"/>
  <c r="AR76" i="18"/>
  <c r="AQ76" i="18"/>
  <c r="AP76" i="18"/>
  <c r="BM75" i="18"/>
  <c r="BL75" i="18"/>
  <c r="BK75" i="18"/>
  <c r="BJ75" i="18"/>
  <c r="BI75" i="18"/>
  <c r="AU75" i="18"/>
  <c r="AT75" i="18"/>
  <c r="AS75" i="18"/>
  <c r="AR75" i="18"/>
  <c r="AQ75" i="18"/>
  <c r="AP75" i="18"/>
  <c r="BM74" i="18"/>
  <c r="BL74" i="18"/>
  <c r="BK74" i="18"/>
  <c r="BJ74" i="18"/>
  <c r="BI74" i="18"/>
  <c r="AU74" i="18"/>
  <c r="AT74" i="18"/>
  <c r="AS74" i="18"/>
  <c r="AR74" i="18"/>
  <c r="AQ74" i="18"/>
  <c r="AP74" i="18"/>
  <c r="BM69" i="18"/>
  <c r="BL69" i="18"/>
  <c r="BK69" i="18"/>
  <c r="BJ69" i="18"/>
  <c r="BI69" i="18"/>
  <c r="AU69" i="18"/>
  <c r="AT69" i="18"/>
  <c r="AS69" i="18"/>
  <c r="AR69" i="18"/>
  <c r="AQ69" i="18"/>
  <c r="AP69" i="18"/>
  <c r="BM68" i="18"/>
  <c r="BL68" i="18"/>
  <c r="BK68" i="18"/>
  <c r="BJ68" i="18"/>
  <c r="BI68" i="18"/>
  <c r="AU68" i="18"/>
  <c r="AT68" i="18"/>
  <c r="AS68" i="18"/>
  <c r="AR68" i="18"/>
  <c r="AQ68" i="18"/>
  <c r="AP68" i="18"/>
  <c r="BM67" i="18"/>
  <c r="BL67" i="18"/>
  <c r="BK67" i="18"/>
  <c r="BJ67" i="18"/>
  <c r="BI67" i="18"/>
  <c r="AU67" i="18"/>
  <c r="AT67" i="18"/>
  <c r="AS67" i="18"/>
  <c r="AR67" i="18"/>
  <c r="AQ67" i="18"/>
  <c r="AP67" i="18"/>
  <c r="BM66" i="18"/>
  <c r="BL66" i="18"/>
  <c r="BK66" i="18"/>
  <c r="BJ66" i="18"/>
  <c r="BI66" i="18"/>
  <c r="AU66" i="18"/>
  <c r="AT66" i="18"/>
  <c r="AS66" i="18"/>
  <c r="AR66" i="18"/>
  <c r="AQ66" i="18"/>
  <c r="AP66" i="18"/>
  <c r="BM65" i="18"/>
  <c r="BL65" i="18"/>
  <c r="BK65" i="18"/>
  <c r="BJ65" i="18"/>
  <c r="BI65" i="18"/>
  <c r="AU65" i="18"/>
  <c r="AT65" i="18"/>
  <c r="AS65" i="18"/>
  <c r="AR65" i="18"/>
  <c r="AQ65" i="18"/>
  <c r="AP65" i="18"/>
  <c r="BM64" i="18"/>
  <c r="BL64" i="18"/>
  <c r="BK64" i="18"/>
  <c r="BJ64" i="18"/>
  <c r="BI64" i="18"/>
  <c r="AU64" i="18"/>
  <c r="AT64" i="18"/>
  <c r="AS64" i="18"/>
  <c r="AR64" i="18"/>
  <c r="AQ64" i="18"/>
  <c r="AP64" i="18"/>
  <c r="BM63" i="18"/>
  <c r="BL63" i="18"/>
  <c r="BK63" i="18"/>
  <c r="BJ63" i="18"/>
  <c r="BI63" i="18"/>
  <c r="AU63" i="18"/>
  <c r="AT63" i="18"/>
  <c r="AS63" i="18"/>
  <c r="AR63" i="18"/>
  <c r="AQ63" i="18"/>
  <c r="AP63" i="18"/>
  <c r="BM62" i="18"/>
  <c r="BL62" i="18"/>
  <c r="BK62" i="18"/>
  <c r="BJ62" i="18"/>
  <c r="BI62" i="18"/>
  <c r="AU62" i="18"/>
  <c r="AT62" i="18"/>
  <c r="AS62" i="18"/>
  <c r="AR62" i="18"/>
  <c r="AQ62" i="18"/>
  <c r="AP62" i="18"/>
  <c r="BM57" i="18"/>
  <c r="BL57" i="18"/>
  <c r="BK57" i="18"/>
  <c r="BJ57" i="18"/>
  <c r="BI57" i="18"/>
  <c r="AU57" i="18"/>
  <c r="AT57" i="18"/>
  <c r="AS57" i="18"/>
  <c r="AR57" i="18"/>
  <c r="AQ57" i="18"/>
  <c r="AP57" i="18"/>
  <c r="BM56" i="18"/>
  <c r="BL56" i="18"/>
  <c r="BK56" i="18"/>
  <c r="BJ56" i="18"/>
  <c r="BI56" i="18"/>
  <c r="AU56" i="18"/>
  <c r="AT56" i="18"/>
  <c r="AS56" i="18"/>
  <c r="AR56" i="18"/>
  <c r="AQ56" i="18"/>
  <c r="AP56" i="18"/>
  <c r="BM55" i="18"/>
  <c r="BL55" i="18"/>
  <c r="BK55" i="18"/>
  <c r="BJ55" i="18"/>
  <c r="BI55" i="18"/>
  <c r="AU55" i="18"/>
  <c r="AT55" i="18"/>
  <c r="AS55" i="18"/>
  <c r="AR55" i="18"/>
  <c r="AQ55" i="18"/>
  <c r="AP55" i="18"/>
  <c r="BM54" i="18"/>
  <c r="BL54" i="18"/>
  <c r="BK54" i="18"/>
  <c r="BJ54" i="18"/>
  <c r="BI54" i="18"/>
  <c r="AU54" i="18"/>
  <c r="AT54" i="18"/>
  <c r="AS54" i="18"/>
  <c r="AR54" i="18"/>
  <c r="AQ54" i="18"/>
  <c r="AP54" i="18"/>
  <c r="BM53" i="18"/>
  <c r="BL53" i="18"/>
  <c r="BK53" i="18"/>
  <c r="BJ53" i="18"/>
  <c r="BI53" i="18"/>
  <c r="AU53" i="18"/>
  <c r="AT53" i="18"/>
  <c r="AS53" i="18"/>
  <c r="AR53" i="18"/>
  <c r="AQ53" i="18"/>
  <c r="AP53" i="18"/>
  <c r="BM52" i="18"/>
  <c r="BL52" i="18"/>
  <c r="BK52" i="18"/>
  <c r="BJ52" i="18"/>
  <c r="BI52" i="18"/>
  <c r="AU52" i="18"/>
  <c r="AT52" i="18"/>
  <c r="AS52" i="18"/>
  <c r="AR52" i="18"/>
  <c r="AQ52" i="18"/>
  <c r="AP52" i="18"/>
  <c r="BM51" i="18"/>
  <c r="BL51" i="18"/>
  <c r="BK51" i="18"/>
  <c r="BJ51" i="18"/>
  <c r="BI51" i="18"/>
  <c r="AU51" i="18"/>
  <c r="AT51" i="18"/>
  <c r="AS51" i="18"/>
  <c r="AR51" i="18"/>
  <c r="AQ51" i="18"/>
  <c r="AP51" i="18"/>
  <c r="BM50" i="18"/>
  <c r="BL50" i="18"/>
  <c r="BK50" i="18"/>
  <c r="BJ50" i="18"/>
  <c r="BI50" i="18"/>
  <c r="AU50" i="18"/>
  <c r="AT50" i="18"/>
  <c r="AS50" i="18"/>
  <c r="AR50" i="18"/>
  <c r="AQ50" i="18"/>
  <c r="AP50" i="18"/>
  <c r="BM45" i="18"/>
  <c r="BL45" i="18"/>
  <c r="BK45" i="18"/>
  <c r="BJ45" i="18"/>
  <c r="BI45" i="18"/>
  <c r="AU45" i="18"/>
  <c r="AT45" i="18"/>
  <c r="AS45" i="18"/>
  <c r="AR45" i="18"/>
  <c r="AQ45" i="18"/>
  <c r="AP45" i="18"/>
  <c r="BM44" i="18"/>
  <c r="BL44" i="18"/>
  <c r="BK44" i="18"/>
  <c r="BJ44" i="18"/>
  <c r="BI44" i="18"/>
  <c r="AU44" i="18"/>
  <c r="AT44" i="18"/>
  <c r="AS44" i="18"/>
  <c r="AR44" i="18"/>
  <c r="AQ44" i="18"/>
  <c r="AP44" i="18"/>
  <c r="BM43" i="18"/>
  <c r="BL43" i="18"/>
  <c r="BK43" i="18"/>
  <c r="BJ43" i="18"/>
  <c r="BI43" i="18"/>
  <c r="AU43" i="18"/>
  <c r="AT43" i="18"/>
  <c r="AS43" i="18"/>
  <c r="AR43" i="18"/>
  <c r="AQ43" i="18"/>
  <c r="AP43" i="18"/>
  <c r="BM42" i="18"/>
  <c r="BL42" i="18"/>
  <c r="BK42" i="18"/>
  <c r="BJ42" i="18"/>
  <c r="BI42" i="18"/>
  <c r="AU42" i="18"/>
  <c r="AT42" i="18"/>
  <c r="AS42" i="18"/>
  <c r="AR42" i="18"/>
  <c r="AQ42" i="18"/>
  <c r="AP42" i="18"/>
  <c r="BM41" i="18"/>
  <c r="BL41" i="18"/>
  <c r="BK41" i="18"/>
  <c r="BJ41" i="18"/>
  <c r="BI41" i="18"/>
  <c r="AU41" i="18"/>
  <c r="AT41" i="18"/>
  <c r="AS41" i="18"/>
  <c r="AR41" i="18"/>
  <c r="AQ41" i="18"/>
  <c r="AP41" i="18"/>
  <c r="BM40" i="18"/>
  <c r="BL40" i="18"/>
  <c r="BK40" i="18"/>
  <c r="BJ40" i="18"/>
  <c r="BI40" i="18"/>
  <c r="AU40" i="18"/>
  <c r="AT40" i="18"/>
  <c r="AS40" i="18"/>
  <c r="AR40" i="18"/>
  <c r="AQ40" i="18"/>
  <c r="AP40" i="18"/>
  <c r="BM39" i="18"/>
  <c r="BL39" i="18"/>
  <c r="BK39" i="18"/>
  <c r="BJ39" i="18"/>
  <c r="BI39" i="18"/>
  <c r="AU39" i="18"/>
  <c r="AT39" i="18"/>
  <c r="AS39" i="18"/>
  <c r="AR39" i="18"/>
  <c r="AQ39" i="18"/>
  <c r="AP39" i="18"/>
  <c r="BM38" i="18"/>
  <c r="BL38" i="18"/>
  <c r="BK38" i="18"/>
  <c r="BJ38" i="18"/>
  <c r="BI38" i="18"/>
  <c r="AU38" i="18"/>
  <c r="AT38" i="18"/>
  <c r="AS38" i="18"/>
  <c r="AR38" i="18"/>
  <c r="AQ38" i="18"/>
  <c r="AP38" i="18"/>
  <c r="BM33" i="18"/>
  <c r="BL33" i="18"/>
  <c r="BK33" i="18"/>
  <c r="BJ33" i="18"/>
  <c r="BI33" i="18"/>
  <c r="AU33" i="18"/>
  <c r="AT33" i="18"/>
  <c r="AS33" i="18"/>
  <c r="AR33" i="18"/>
  <c r="AQ33" i="18"/>
  <c r="AP33" i="18"/>
  <c r="BM32" i="18"/>
  <c r="BL32" i="18"/>
  <c r="BK32" i="18"/>
  <c r="BJ32" i="18"/>
  <c r="BI32" i="18"/>
  <c r="AU32" i="18"/>
  <c r="AT32" i="18"/>
  <c r="AS32" i="18"/>
  <c r="AR32" i="18"/>
  <c r="AQ32" i="18"/>
  <c r="AP32" i="18"/>
  <c r="BM31" i="18"/>
  <c r="BL31" i="18"/>
  <c r="BK31" i="18"/>
  <c r="BJ31" i="18"/>
  <c r="BI31" i="18"/>
  <c r="AU31" i="18"/>
  <c r="AT31" i="18"/>
  <c r="AS31" i="18"/>
  <c r="AR31" i="18"/>
  <c r="AQ31" i="18"/>
  <c r="AP31" i="18"/>
  <c r="BM30" i="18"/>
  <c r="BL30" i="18"/>
  <c r="BK30" i="18"/>
  <c r="BJ30" i="18"/>
  <c r="BI30" i="18"/>
  <c r="AU30" i="18"/>
  <c r="AT30" i="18"/>
  <c r="AS30" i="18"/>
  <c r="AR30" i="18"/>
  <c r="AQ30" i="18"/>
  <c r="AP30" i="18"/>
  <c r="BM29" i="18"/>
  <c r="BL29" i="18"/>
  <c r="BK29" i="18"/>
  <c r="BJ29" i="18"/>
  <c r="BI29" i="18"/>
  <c r="AU29" i="18"/>
  <c r="AT29" i="18"/>
  <c r="AS29" i="18"/>
  <c r="AR29" i="18"/>
  <c r="AQ29" i="18"/>
  <c r="AP29" i="18"/>
  <c r="BM28" i="18"/>
  <c r="BL28" i="18"/>
  <c r="BK28" i="18"/>
  <c r="BJ28" i="18"/>
  <c r="BI28" i="18"/>
  <c r="AU28" i="18"/>
  <c r="AT28" i="18"/>
  <c r="AS28" i="18"/>
  <c r="AR28" i="18"/>
  <c r="AQ28" i="18"/>
  <c r="AP28" i="18"/>
  <c r="BM27" i="18"/>
  <c r="BL27" i="18"/>
  <c r="BK27" i="18"/>
  <c r="BJ27" i="18"/>
  <c r="BI27" i="18"/>
  <c r="AU27" i="18"/>
  <c r="AT27" i="18"/>
  <c r="AS27" i="18"/>
  <c r="AR27" i="18"/>
  <c r="AQ27" i="18"/>
  <c r="AP27" i="18"/>
  <c r="BM26" i="18"/>
  <c r="BL26" i="18"/>
  <c r="BK26" i="18"/>
  <c r="BJ26" i="18"/>
  <c r="BI26" i="18"/>
  <c r="AU26" i="18"/>
  <c r="AT26" i="18"/>
  <c r="AS26" i="18"/>
  <c r="AR26" i="18"/>
  <c r="AQ26" i="18"/>
  <c r="AP26" i="18"/>
  <c r="BM21" i="18"/>
  <c r="BL21" i="18"/>
  <c r="BK21" i="18"/>
  <c r="BJ21" i="18"/>
  <c r="BI21" i="18"/>
  <c r="AU21" i="18"/>
  <c r="AT21" i="18"/>
  <c r="AS21" i="18"/>
  <c r="AR21" i="18"/>
  <c r="AQ21" i="18"/>
  <c r="AP21" i="18"/>
  <c r="BM20" i="18"/>
  <c r="BL20" i="18"/>
  <c r="BK20" i="18"/>
  <c r="BJ20" i="18"/>
  <c r="BI20" i="18"/>
  <c r="AU20" i="18"/>
  <c r="AT20" i="18"/>
  <c r="AS20" i="18"/>
  <c r="AR20" i="18"/>
  <c r="AQ20" i="18"/>
  <c r="AP20" i="18"/>
  <c r="BM19" i="18"/>
  <c r="BL19" i="18"/>
  <c r="BK19" i="18"/>
  <c r="BJ19" i="18"/>
  <c r="BI19" i="18"/>
  <c r="AU19" i="18"/>
  <c r="AT19" i="18"/>
  <c r="AS19" i="18"/>
  <c r="AR19" i="18"/>
  <c r="AQ19" i="18"/>
  <c r="AP19" i="18"/>
  <c r="BM18" i="18"/>
  <c r="BL18" i="18"/>
  <c r="BK18" i="18"/>
  <c r="BJ18" i="18"/>
  <c r="BI18" i="18"/>
  <c r="AU18" i="18"/>
  <c r="AT18" i="18"/>
  <c r="AS18" i="18"/>
  <c r="AR18" i="18"/>
  <c r="AQ18" i="18"/>
  <c r="AP18" i="18"/>
  <c r="BM17" i="18"/>
  <c r="BL17" i="18"/>
  <c r="BK17" i="18"/>
  <c r="BJ17" i="18"/>
  <c r="BI17" i="18"/>
  <c r="AU17" i="18"/>
  <c r="AT17" i="18"/>
  <c r="AS17" i="18"/>
  <c r="AR17" i="18"/>
  <c r="AQ17" i="18"/>
  <c r="AP17" i="18"/>
  <c r="BM16" i="18"/>
  <c r="BL16" i="18"/>
  <c r="BK16" i="18"/>
  <c r="BJ16" i="18"/>
  <c r="BI16" i="18"/>
  <c r="AU16" i="18"/>
  <c r="AT16" i="18"/>
  <c r="AS16" i="18"/>
  <c r="AR16" i="18"/>
  <c r="AQ16" i="18"/>
  <c r="AP16" i="18"/>
  <c r="BM15" i="18"/>
  <c r="BL15" i="18"/>
  <c r="BK15" i="18"/>
  <c r="BJ15" i="18"/>
  <c r="BI15" i="18"/>
  <c r="AU15" i="18"/>
  <c r="AT15" i="18"/>
  <c r="AS15" i="18"/>
  <c r="AR15" i="18"/>
  <c r="AQ15" i="18"/>
  <c r="AP15" i="18"/>
  <c r="BM14" i="18"/>
  <c r="BL14" i="18"/>
  <c r="BK14" i="18"/>
  <c r="BJ14" i="18"/>
  <c r="BI14" i="18"/>
  <c r="AU14" i="18"/>
  <c r="AT14" i="18"/>
  <c r="AS14" i="18"/>
  <c r="AR14" i="18"/>
  <c r="AQ14" i="18"/>
  <c r="AP14" i="18"/>
  <c r="BM13" i="18"/>
  <c r="BL13" i="18"/>
  <c r="BK13" i="18"/>
  <c r="BJ13" i="18"/>
  <c r="BI13" i="18"/>
  <c r="AU13" i="18"/>
  <c r="AT13" i="18"/>
  <c r="AS13" i="18"/>
  <c r="AR13" i="18"/>
  <c r="AQ13" i="18"/>
  <c r="AP13" i="18"/>
  <c r="BG97" i="18" l="1"/>
  <c r="BH61" i="18"/>
  <c r="BH121" i="18"/>
  <c r="BH85" i="18"/>
  <c r="BG73" i="18"/>
  <c r="BH97" i="18"/>
  <c r="BG27" i="18"/>
  <c r="BG85" i="18"/>
  <c r="BF105" i="18"/>
  <c r="BH115" i="18"/>
  <c r="BF37" i="18"/>
  <c r="BG61" i="18"/>
  <c r="BF73" i="18"/>
  <c r="BH105" i="18"/>
  <c r="BG50" i="18"/>
  <c r="BF56" i="18"/>
  <c r="BG98" i="18"/>
  <c r="BF104" i="18"/>
  <c r="BG49" i="18"/>
  <c r="BF109" i="18"/>
  <c r="BF74" i="18"/>
  <c r="BH92" i="18"/>
  <c r="BH98" i="18"/>
  <c r="BH117" i="18"/>
  <c r="BH49" i="18"/>
  <c r="BF61" i="18"/>
  <c r="BH124" i="18"/>
  <c r="BH25" i="18"/>
  <c r="BG63" i="18"/>
  <c r="BH93" i="18"/>
  <c r="BF103" i="18"/>
  <c r="BF97" i="18"/>
  <c r="BH10" i="18"/>
  <c r="BF10" i="18"/>
  <c r="BG124" i="18"/>
  <c r="BG121" i="18"/>
  <c r="BH68" i="18"/>
  <c r="BF101" i="18"/>
  <c r="BG103" i="18"/>
  <c r="BG37" i="18"/>
  <c r="BG109" i="18"/>
  <c r="BF99" i="18"/>
  <c r="BG101" i="18"/>
  <c r="BF113" i="18"/>
  <c r="BH37" i="18"/>
  <c r="BF49" i="18"/>
  <c r="BH109" i="18"/>
  <c r="BF121" i="18"/>
  <c r="BH126" i="18"/>
  <c r="BF25" i="18"/>
  <c r="BF100" i="18"/>
  <c r="BH129" i="18"/>
  <c r="BG25" i="18"/>
  <c r="BH73" i="18"/>
  <c r="BF85" i="18"/>
  <c r="BG10" i="18"/>
  <c r="BF80" i="18"/>
  <c r="BH102" i="18"/>
  <c r="BG104" i="18"/>
  <c r="BH110" i="18"/>
  <c r="BH113" i="18"/>
  <c r="BH114" i="18"/>
  <c r="BH112" i="18"/>
  <c r="BF129" i="18"/>
  <c r="BG125" i="18"/>
  <c r="BG128" i="18"/>
  <c r="BH101" i="18"/>
  <c r="BH122" i="18"/>
  <c r="BG80" i="18"/>
  <c r="BF98" i="18"/>
  <c r="BG100" i="18"/>
  <c r="BH104" i="18"/>
  <c r="BF112" i="18"/>
  <c r="BF117" i="18"/>
  <c r="BH125" i="18"/>
  <c r="BG105" i="18"/>
  <c r="BH111" i="18"/>
  <c r="BH116" i="18"/>
  <c r="BH123" i="18"/>
  <c r="BF115" i="18"/>
  <c r="BG117" i="18"/>
  <c r="BF122" i="18"/>
  <c r="BF127" i="18"/>
  <c r="BG129" i="18"/>
  <c r="BF51" i="18"/>
  <c r="BG99" i="18"/>
  <c r="BF111" i="18"/>
  <c r="BG113" i="18"/>
  <c r="BF116" i="18"/>
  <c r="BF75" i="18"/>
  <c r="BG77" i="18"/>
  <c r="BF79" i="18"/>
  <c r="BF90" i="18"/>
  <c r="BH87" i="18"/>
  <c r="BF91" i="18"/>
  <c r="BH88" i="18"/>
  <c r="BG123" i="18"/>
  <c r="BF126" i="18"/>
  <c r="BH127" i="18"/>
  <c r="BF128" i="18"/>
  <c r="BF124" i="18"/>
  <c r="BG126" i="18"/>
  <c r="BH128" i="18"/>
  <c r="BG122" i="18"/>
  <c r="BF123" i="18"/>
  <c r="BF125" i="18"/>
  <c r="BG127" i="18"/>
  <c r="BG111" i="18"/>
  <c r="BG115" i="18"/>
  <c r="BF110" i="18"/>
  <c r="BF114" i="18"/>
  <c r="BG112" i="18"/>
  <c r="BG116" i="18"/>
  <c r="BG110" i="18"/>
  <c r="BG114" i="18"/>
  <c r="BH99" i="18"/>
  <c r="BF102" i="18"/>
  <c r="BH103" i="18"/>
  <c r="BH100" i="18"/>
  <c r="BG102" i="18"/>
  <c r="BG76" i="18"/>
  <c r="BF28" i="18"/>
  <c r="BH51" i="18"/>
  <c r="BG75" i="18"/>
  <c r="BH78" i="18"/>
  <c r="BG81" i="18"/>
  <c r="BG89" i="18"/>
  <c r="BF92" i="18"/>
  <c r="BH45" i="18"/>
  <c r="BG74" i="18"/>
  <c r="BH81" i="18"/>
  <c r="BG92" i="18"/>
  <c r="BH79" i="18"/>
  <c r="BH89" i="18"/>
  <c r="BG90" i="18"/>
  <c r="BF55" i="18"/>
  <c r="BF88" i="18"/>
  <c r="BF76" i="18"/>
  <c r="BH77" i="18"/>
  <c r="BF86" i="18"/>
  <c r="BG88" i="18"/>
  <c r="BH90" i="18"/>
  <c r="BF30" i="18"/>
  <c r="BF40" i="18"/>
  <c r="BF53" i="18"/>
  <c r="BH57" i="18"/>
  <c r="BF66" i="18"/>
  <c r="BH75" i="18"/>
  <c r="BF89" i="18"/>
  <c r="BG91" i="18"/>
  <c r="BF27" i="18"/>
  <c r="BG29" i="18"/>
  <c r="BG39" i="18"/>
  <c r="BG65" i="18"/>
  <c r="BH67" i="18"/>
  <c r="BH74" i="18"/>
  <c r="BH76" i="18"/>
  <c r="BF77" i="18"/>
  <c r="BG79" i="18"/>
  <c r="BH91" i="18"/>
  <c r="BH55" i="18"/>
  <c r="BF78" i="18"/>
  <c r="BG86" i="18"/>
  <c r="BF93" i="18"/>
  <c r="BH53" i="18"/>
  <c r="BG78" i="18"/>
  <c r="BH86" i="18"/>
  <c r="BF87" i="18"/>
  <c r="BG93" i="18"/>
  <c r="BH56" i="18"/>
  <c r="BH80" i="18"/>
  <c r="BF81" i="18"/>
  <c r="BG87" i="18"/>
  <c r="BG68" i="18"/>
  <c r="BG31" i="18"/>
  <c r="BG41" i="18"/>
  <c r="BH43" i="18"/>
  <c r="BG67" i="18"/>
  <c r="BH69" i="18"/>
  <c r="BH64" i="18"/>
  <c r="BF68" i="18"/>
  <c r="BG40" i="18"/>
  <c r="BH63" i="18"/>
  <c r="BF64" i="18"/>
  <c r="BF57" i="18"/>
  <c r="BF50" i="18"/>
  <c r="BH54" i="18"/>
  <c r="BG62" i="18"/>
  <c r="BH52" i="18"/>
  <c r="BH65" i="18"/>
  <c r="BF26" i="18"/>
  <c r="BF41" i="18"/>
  <c r="BF44" i="18"/>
  <c r="BH50" i="18"/>
  <c r="BF54" i="18"/>
  <c r="BG66" i="18"/>
  <c r="BG69" i="18"/>
  <c r="BF42" i="18"/>
  <c r="BG44" i="18"/>
  <c r="BF52" i="18"/>
  <c r="BG54" i="18"/>
  <c r="BF62" i="18"/>
  <c r="BG64" i="18"/>
  <c r="BH62" i="18"/>
  <c r="BF63" i="18"/>
  <c r="BF65" i="18"/>
  <c r="BH66" i="18"/>
  <c r="BF67" i="18"/>
  <c r="BF69" i="18"/>
  <c r="BG52" i="18"/>
  <c r="BG56" i="18"/>
  <c r="BG51" i="18"/>
  <c r="BG53" i="18"/>
  <c r="BG55" i="18"/>
  <c r="BG57" i="18"/>
  <c r="BF38" i="18"/>
  <c r="BF43" i="18"/>
  <c r="BG38" i="18"/>
  <c r="BF39" i="18"/>
  <c r="BH38" i="18"/>
  <c r="BH39" i="18"/>
  <c r="BF33" i="18"/>
  <c r="BH41" i="18"/>
  <c r="BG33" i="18"/>
  <c r="BG28" i="18"/>
  <c r="BH42" i="18"/>
  <c r="BH28" i="18"/>
  <c r="BG42" i="18"/>
  <c r="BH44" i="18"/>
  <c r="BF45" i="18"/>
  <c r="BH40" i="18"/>
  <c r="BG45" i="18"/>
  <c r="BG43" i="18"/>
  <c r="BF32" i="18"/>
  <c r="BG32" i="18"/>
  <c r="BH32" i="18"/>
  <c r="BH27" i="18"/>
  <c r="BH29" i="18"/>
  <c r="BH31" i="18"/>
  <c r="BH33" i="18"/>
  <c r="BG26" i="18"/>
  <c r="BG30" i="18"/>
  <c r="BF29" i="18"/>
  <c r="BF31" i="18"/>
  <c r="BH26" i="18"/>
  <c r="BH30" i="18"/>
  <c r="BF17" i="18"/>
  <c r="BG14" i="18"/>
  <c r="BF20" i="18"/>
  <c r="BH20" i="18"/>
  <c r="BG13" i="18"/>
  <c r="BH15" i="18"/>
  <c r="BH18" i="18"/>
  <c r="BH16" i="18"/>
  <c r="BG17" i="18"/>
  <c r="BF21" i="18"/>
  <c r="BF16" i="18"/>
  <c r="BF14" i="18"/>
  <c r="BG16" i="18"/>
  <c r="BH21" i="18"/>
  <c r="BH14" i="18"/>
  <c r="BF18" i="18"/>
  <c r="BH13" i="18"/>
  <c r="BF19" i="18"/>
  <c r="BG19" i="18"/>
  <c r="BF13" i="18"/>
  <c r="BH19" i="18"/>
  <c r="BH17" i="18"/>
  <c r="BG20" i="18"/>
  <c r="BG15" i="18"/>
  <c r="BG18" i="18"/>
  <c r="BF15" i="18"/>
  <c r="BG21" i="18"/>
  <c r="BC20" i="22" l="1"/>
  <c r="BB20" i="22"/>
  <c r="BA20" i="22"/>
  <c r="AZ20" i="22"/>
  <c r="AY20" i="22"/>
  <c r="AX20" i="22"/>
  <c r="AW20" i="22"/>
  <c r="AV20" i="22"/>
  <c r="AU20" i="22"/>
  <c r="AT20" i="22"/>
  <c r="AS20" i="22"/>
  <c r="AR20" i="22"/>
  <c r="AQ20" i="22"/>
  <c r="AP20" i="22"/>
  <c r="AO20" i="22"/>
  <c r="AN20" i="22"/>
  <c r="AM20" i="22"/>
  <c r="AL20" i="22"/>
  <c r="AK20" i="22"/>
  <c r="AJ20" i="22"/>
  <c r="AI20" i="22"/>
  <c r="AH20" i="22"/>
  <c r="AG20" i="22"/>
  <c r="AF20" i="22"/>
  <c r="AE20" i="22"/>
  <c r="AD20" i="22"/>
  <c r="AC20" i="22"/>
  <c r="AB20" i="22"/>
  <c r="AA20" i="22"/>
  <c r="Z20" i="22"/>
  <c r="Y20" i="22"/>
  <c r="X20" i="22"/>
  <c r="W20" i="22"/>
  <c r="V20" i="22"/>
  <c r="U20" i="22"/>
  <c r="T20" i="22"/>
  <c r="S20" i="22"/>
  <c r="R20" i="22"/>
  <c r="Q20" i="22"/>
  <c r="P20" i="22"/>
  <c r="O20" i="22"/>
  <c r="N20" i="22"/>
  <c r="M20" i="22"/>
  <c r="L20" i="22"/>
  <c r="K20" i="22"/>
  <c r="J20" i="22"/>
  <c r="I20" i="22"/>
  <c r="H20" i="22"/>
  <c r="G20" i="22"/>
  <c r="F20" i="22"/>
  <c r="E20" i="22"/>
  <c r="D20" i="22"/>
  <c r="BC18" i="22"/>
  <c r="BB18" i="22"/>
  <c r="BA18" i="22"/>
  <c r="AZ18" i="22"/>
  <c r="AY18" i="22"/>
  <c r="AX18" i="22"/>
  <c r="AW18" i="22"/>
  <c r="AV18" i="22"/>
  <c r="AU18" i="22"/>
  <c r="AT18" i="22"/>
  <c r="AS18" i="22"/>
  <c r="AR18" i="22"/>
  <c r="AQ18" i="22"/>
  <c r="AP18" i="22"/>
  <c r="AO18" i="22"/>
  <c r="AN18" i="22"/>
  <c r="AM18" i="22"/>
  <c r="AL18" i="22"/>
  <c r="AK18" i="22"/>
  <c r="AJ18" i="22"/>
  <c r="AI18" i="22"/>
  <c r="AH18" i="22"/>
  <c r="AG18" i="22"/>
  <c r="AF18" i="22"/>
  <c r="AE18" i="22"/>
  <c r="AD18" i="22"/>
  <c r="AC18" i="22"/>
  <c r="AB18" i="22"/>
  <c r="AA18" i="22"/>
  <c r="Z18" i="22"/>
  <c r="Y18" i="22"/>
  <c r="X18" i="22"/>
  <c r="W18" i="22"/>
  <c r="V18" i="22"/>
  <c r="U18" i="22"/>
  <c r="T18" i="22"/>
  <c r="S18" i="22"/>
  <c r="R18" i="22"/>
  <c r="Q18" i="22"/>
  <c r="P18" i="22"/>
  <c r="O18" i="22"/>
  <c r="N18" i="22"/>
  <c r="M18" i="22"/>
  <c r="L18" i="22"/>
  <c r="K18" i="22"/>
  <c r="J18" i="22"/>
  <c r="I18" i="22"/>
  <c r="H18" i="22"/>
  <c r="G18" i="22"/>
  <c r="F18" i="22"/>
  <c r="E18" i="22"/>
  <c r="D18" i="22"/>
  <c r="BC16" i="22"/>
  <c r="BB16" i="22"/>
  <c r="BA16" i="22"/>
  <c r="AZ16" i="22"/>
  <c r="AY16" i="22"/>
  <c r="AX16" i="22"/>
  <c r="AW16" i="22"/>
  <c r="AV16" i="22"/>
  <c r="AU16" i="22"/>
  <c r="AT16" i="22"/>
  <c r="AS16" i="22"/>
  <c r="AR16" i="22"/>
  <c r="AQ16" i="22"/>
  <c r="AP16" i="22"/>
  <c r="AO16" i="22"/>
  <c r="AN16" i="22"/>
  <c r="AM16" i="22"/>
  <c r="AL16" i="22"/>
  <c r="AK16" i="22"/>
  <c r="AJ16" i="22"/>
  <c r="AI16" i="22"/>
  <c r="AH16" i="22"/>
  <c r="AG16" i="22"/>
  <c r="AF16" i="22"/>
  <c r="AE16" i="22"/>
  <c r="AD16" i="22"/>
  <c r="AC16" i="22"/>
  <c r="AB16" i="22"/>
  <c r="AA16" i="22"/>
  <c r="Z16" i="22"/>
  <c r="Y16" i="22"/>
  <c r="X16" i="22"/>
  <c r="W16" i="22"/>
  <c r="V16" i="22"/>
  <c r="U16" i="22"/>
  <c r="T16" i="22"/>
  <c r="S16" i="22"/>
  <c r="R16" i="22"/>
  <c r="Q16" i="22"/>
  <c r="P16" i="22"/>
  <c r="O16" i="22"/>
  <c r="N16" i="22"/>
  <c r="M16" i="22"/>
  <c r="L16" i="22"/>
  <c r="K16" i="22"/>
  <c r="J16" i="22"/>
  <c r="I16" i="22"/>
  <c r="H16" i="22"/>
  <c r="G16" i="22"/>
  <c r="F16" i="22"/>
  <c r="E16" i="22"/>
  <c r="D16" i="22"/>
  <c r="BC15" i="22"/>
  <c r="BB15" i="22"/>
  <c r="BA15" i="22"/>
  <c r="AZ15" i="22"/>
  <c r="AY15" i="22"/>
  <c r="AX15" i="22"/>
  <c r="AW15" i="22"/>
  <c r="AV15" i="22"/>
  <c r="AU15" i="22"/>
  <c r="AT15" i="22"/>
  <c r="AS15" i="22"/>
  <c r="AR15" i="22"/>
  <c r="AQ15" i="22"/>
  <c r="AP15" i="22"/>
  <c r="AO15" i="22"/>
  <c r="AN15" i="22"/>
  <c r="AM15" i="22"/>
  <c r="AL15" i="22"/>
  <c r="AK15" i="22"/>
  <c r="AJ15" i="22"/>
  <c r="AI15" i="22"/>
  <c r="AH15" i="22"/>
  <c r="AG15" i="22"/>
  <c r="AF15" i="22"/>
  <c r="AE15" i="22"/>
  <c r="AD15" i="22"/>
  <c r="AC15" i="22"/>
  <c r="AB15" i="22"/>
  <c r="AA15" i="22"/>
  <c r="Z15" i="22"/>
  <c r="Y15" i="22"/>
  <c r="X15" i="22"/>
  <c r="W15" i="22"/>
  <c r="V15" i="22"/>
  <c r="U15" i="22"/>
  <c r="T15" i="22"/>
  <c r="S15" i="22"/>
  <c r="R15" i="22"/>
  <c r="Q15" i="22"/>
  <c r="P15" i="22"/>
  <c r="O15" i="22"/>
  <c r="N15" i="22"/>
  <c r="M15" i="22"/>
  <c r="L15" i="22"/>
  <c r="K15" i="22"/>
  <c r="J15" i="22"/>
  <c r="I15" i="22"/>
  <c r="H15" i="22"/>
  <c r="G15" i="22"/>
  <c r="F15" i="22"/>
  <c r="E15" i="22"/>
  <c r="D15" i="22"/>
  <c r="BS14" i="22"/>
  <c r="BQ14" i="22"/>
  <c r="BO14" i="22"/>
  <c r="BM14" i="22"/>
  <c r="BK14" i="22"/>
  <c r="BI14" i="22"/>
  <c r="BG14" i="22"/>
  <c r="BE14" i="22"/>
  <c r="BT6" i="22"/>
  <c r="BS6" i="22"/>
  <c r="BR6" i="22"/>
  <c r="BQ6" i="22"/>
  <c r="BP6" i="22"/>
  <c r="BO6" i="22"/>
  <c r="BN6" i="22"/>
  <c r="BM6" i="22"/>
  <c r="BL6" i="22"/>
  <c r="BK6" i="22"/>
  <c r="BJ6" i="22"/>
  <c r="BI6" i="22"/>
  <c r="BH6" i="22"/>
  <c r="BG6" i="22"/>
  <c r="BF6" i="22"/>
  <c r="BE6" i="22"/>
  <c r="BC4" i="22"/>
  <c r="BB4" i="22"/>
  <c r="BA4" i="22"/>
  <c r="AZ4" i="22"/>
  <c r="AY4" i="22"/>
  <c r="AX4" i="22"/>
  <c r="AW4" i="22"/>
  <c r="AV4" i="22"/>
  <c r="AU4" i="22"/>
  <c r="AT4" i="22"/>
  <c r="AS4" i="22"/>
  <c r="AR4" i="22"/>
  <c r="AQ4" i="22"/>
  <c r="AP4" i="22"/>
  <c r="AO4" i="22"/>
  <c r="AN4" i="22"/>
  <c r="AM4" i="22"/>
  <c r="AL4" i="22"/>
  <c r="AK4" i="22"/>
  <c r="AJ4" i="22"/>
  <c r="AI4" i="22"/>
  <c r="AH4" i="22"/>
  <c r="AG4" i="22"/>
  <c r="AF4" i="22"/>
  <c r="AE4" i="22"/>
  <c r="AD4" i="22"/>
  <c r="AC4" i="22"/>
  <c r="AB4" i="22"/>
  <c r="AA4" i="22"/>
  <c r="Z4" i="22"/>
  <c r="Y4" i="22"/>
  <c r="X4" i="22"/>
  <c r="W4" i="22"/>
  <c r="V4" i="22"/>
  <c r="U4" i="22"/>
  <c r="T4" i="22"/>
  <c r="S4" i="22"/>
  <c r="R4" i="22"/>
  <c r="Q4" i="22"/>
  <c r="P4" i="22"/>
  <c r="O4" i="22"/>
  <c r="N4" i="22"/>
  <c r="M4" i="22"/>
  <c r="L4" i="22"/>
  <c r="K4" i="22"/>
  <c r="J4" i="22"/>
  <c r="I4" i="22"/>
  <c r="H4" i="22"/>
  <c r="G4" i="22"/>
  <c r="F4" i="22"/>
  <c r="E4" i="22"/>
  <c r="D4" i="22"/>
  <c r="BS3" i="22"/>
  <c r="BQ3" i="22"/>
  <c r="BO3" i="22"/>
  <c r="BM3" i="22"/>
  <c r="BK3" i="22"/>
  <c r="BI3" i="22"/>
  <c r="BG3" i="22"/>
  <c r="BE3" i="22"/>
  <c r="D1" i="22"/>
  <c r="O13" i="22" l="1"/>
  <c r="G13" i="22"/>
  <c r="J2" i="22"/>
  <c r="P1" i="22"/>
  <c r="L13" i="22"/>
  <c r="AN12" i="22"/>
  <c r="AP12" i="22" s="1"/>
  <c r="AR12" i="22" s="1"/>
  <c r="AT12" i="22" s="1"/>
  <c r="AV12" i="22" s="1"/>
  <c r="AX12" i="22" s="1"/>
  <c r="AZ12" i="22" s="1"/>
  <c r="BB12" i="22" s="1"/>
  <c r="O2" i="22"/>
  <c r="N2" i="22"/>
  <c r="N13" i="22"/>
  <c r="F13" i="22"/>
  <c r="I2" i="22"/>
  <c r="D13" i="22"/>
  <c r="G2" i="22"/>
  <c r="M13" i="22"/>
  <c r="E13" i="22"/>
  <c r="H2" i="22"/>
  <c r="BE12" i="22"/>
  <c r="BG12" i="22" s="1"/>
  <c r="BI12" i="22" s="1"/>
  <c r="BK12" i="22" s="1"/>
  <c r="BM12" i="22" s="1"/>
  <c r="BO12" i="22" s="1"/>
  <c r="BQ12" i="22" s="1"/>
  <c r="BS12" i="22" s="1"/>
  <c r="F2" i="22"/>
  <c r="J13" i="22"/>
  <c r="P12" i="22"/>
  <c r="M2" i="22"/>
  <c r="E2" i="22"/>
  <c r="H13" i="22"/>
  <c r="I13" i="22"/>
  <c r="L2" i="22"/>
  <c r="D2" i="22"/>
  <c r="BE1" i="22"/>
  <c r="AN1" i="22"/>
  <c r="K2" i="22"/>
  <c r="K13" i="22"/>
  <c r="D12" i="22"/>
  <c r="W13" i="22" l="1"/>
  <c r="Z2" i="22"/>
  <c r="R2" i="22"/>
  <c r="V13" i="22"/>
  <c r="Y2" i="22"/>
  <c r="Q2" i="22"/>
  <c r="V2" i="22"/>
  <c r="U13" i="22"/>
  <c r="X2" i="22"/>
  <c r="P2" i="22"/>
  <c r="T13" i="22"/>
  <c r="W2" i="22"/>
  <c r="S13" i="22"/>
  <c r="Z13" i="22"/>
  <c r="R13" i="22"/>
  <c r="U2" i="22"/>
  <c r="X13" i="22"/>
  <c r="AA2" i="22"/>
  <c r="S2" i="22"/>
  <c r="Y13" i="22"/>
  <c r="Q13" i="22"/>
  <c r="T2" i="22"/>
  <c r="P13" i="22"/>
  <c r="AB1" i="22"/>
  <c r="AA13" i="22"/>
  <c r="AB12" i="22"/>
  <c r="AO2" i="22"/>
  <c r="AN2" i="22"/>
  <c r="AP1" i="22"/>
  <c r="AN13" i="22"/>
  <c r="AO13" i="22"/>
  <c r="BF2" i="22"/>
  <c r="BE2" i="22"/>
  <c r="BG1" i="22"/>
  <c r="BE13" i="22"/>
  <c r="BF13" i="22"/>
  <c r="AM13" i="22" l="1"/>
  <c r="AE13" i="22"/>
  <c r="AH2" i="22"/>
  <c r="AJ13" i="22"/>
  <c r="AE2" i="22"/>
  <c r="AL13" i="22"/>
  <c r="AD13" i="22"/>
  <c r="AG2" i="22"/>
  <c r="AB13" i="22"/>
  <c r="AM2" i="22"/>
  <c r="AL2" i="22"/>
  <c r="AK13" i="22"/>
  <c r="AC13" i="22"/>
  <c r="AF2" i="22"/>
  <c r="AH13" i="22"/>
  <c r="AK2" i="22"/>
  <c r="AC2" i="22"/>
  <c r="AI2" i="22"/>
  <c r="AI13" i="22"/>
  <c r="AG13" i="22"/>
  <c r="AJ2" i="22"/>
  <c r="AB2" i="22"/>
  <c r="AF13" i="22"/>
  <c r="AD2" i="22"/>
  <c r="AP2" i="22"/>
  <c r="AQ13" i="22"/>
  <c r="AP13" i="22"/>
  <c r="AR1" i="22"/>
  <c r="AQ2" i="22"/>
  <c r="BG2" i="22"/>
  <c r="BI1" i="22"/>
  <c r="BH13" i="22"/>
  <c r="BG13" i="22"/>
  <c r="BH2" i="22"/>
  <c r="AT1" i="22" l="1"/>
  <c r="AS13" i="22"/>
  <c r="AR13" i="22"/>
  <c r="AS2" i="22"/>
  <c r="AR2" i="22"/>
  <c r="BI13" i="22"/>
  <c r="BJ13" i="22"/>
  <c r="BK1" i="22"/>
  <c r="BJ2" i="22"/>
  <c r="BI2" i="22"/>
  <c r="BL13" i="22" l="1"/>
  <c r="BK13" i="22"/>
  <c r="BM1" i="22"/>
  <c r="BL2" i="22"/>
  <c r="BK2" i="22"/>
  <c r="AU13" i="22"/>
  <c r="AT13" i="22"/>
  <c r="AV1" i="22"/>
  <c r="AU2" i="22"/>
  <c r="AT2" i="22"/>
  <c r="AW2" i="22" l="1"/>
  <c r="AX1" i="22"/>
  <c r="AV2" i="22"/>
  <c r="AW13" i="22"/>
  <c r="AV13" i="22"/>
  <c r="BN2" i="22"/>
  <c r="BO1" i="22"/>
  <c r="BM2" i="22"/>
  <c r="BN13" i="22"/>
  <c r="BM13" i="22"/>
  <c r="BO2" i="22" l="1"/>
  <c r="BQ1" i="22"/>
  <c r="BO13" i="22"/>
  <c r="BP2" i="22"/>
  <c r="BP13" i="22"/>
  <c r="AX2" i="22"/>
  <c r="AZ1" i="22"/>
  <c r="AY13" i="22"/>
  <c r="AX13" i="22"/>
  <c r="AY2" i="22"/>
  <c r="BQ13" i="22" l="1"/>
  <c r="BR13" i="22"/>
  <c r="BR2" i="22"/>
  <c r="BS1" i="22"/>
  <c r="BQ2" i="22"/>
  <c r="BA13" i="22"/>
  <c r="AZ13" i="22"/>
  <c r="BA2" i="22"/>
  <c r="BB1" i="22"/>
  <c r="AZ2" i="22"/>
  <c r="BC13" i="22" l="1"/>
  <c r="BC2" i="22"/>
  <c r="BB2" i="22"/>
  <c r="BB13" i="22"/>
  <c r="BT13" i="22"/>
  <c r="BS13" i="22"/>
  <c r="BT2" i="22"/>
  <c r="BS2" i="22"/>
  <c r="D11" i="14" l="1"/>
  <c r="D12" i="14"/>
  <c r="D13" i="14"/>
  <c r="D14" i="14"/>
  <c r="D15" i="14"/>
  <c r="D16" i="14"/>
  <c r="D17" i="14"/>
  <c r="D18" i="14"/>
  <c r="D19" i="14"/>
  <c r="D20" i="14"/>
  <c r="D21" i="14"/>
  <c r="D22" i="14"/>
  <c r="D23" i="14"/>
  <c r="D24" i="14"/>
  <c r="D25" i="14"/>
  <c r="D26" i="14"/>
  <c r="D27" i="14"/>
  <c r="D28" i="14"/>
  <c r="D29" i="14"/>
  <c r="D30" i="14"/>
  <c r="D31" i="14"/>
  <c r="D32" i="14"/>
  <c r="D33" i="14"/>
  <c r="Q11" i="14"/>
  <c r="Q12" i="14"/>
  <c r="Q13" i="14"/>
  <c r="Q14" i="14"/>
  <c r="Q15" i="14"/>
  <c r="Q16" i="14"/>
  <c r="Q17" i="14"/>
  <c r="Q18" i="14"/>
  <c r="Q19" i="14"/>
  <c r="Q20" i="14"/>
  <c r="Q21" i="14"/>
  <c r="Q22" i="14"/>
  <c r="Q23" i="14"/>
  <c r="Q24" i="14"/>
  <c r="Q25" i="14"/>
  <c r="Q26" i="14"/>
  <c r="Q27" i="14"/>
  <c r="Q28" i="14"/>
  <c r="Q29" i="14"/>
  <c r="Q30" i="14"/>
  <c r="Q31" i="14"/>
  <c r="Q32" i="14"/>
  <c r="Q33" i="14"/>
  <c r="Q10" i="14"/>
  <c r="D10" i="14" s="1"/>
  <c r="O32" i="9" l="1"/>
  <c r="N32" i="9"/>
  <c r="J35" i="9"/>
  <c r="I35" i="9"/>
  <c r="D29" i="9"/>
  <c r="J29" i="9"/>
  <c r="I29" i="9"/>
  <c r="O25" i="9"/>
  <c r="N25" i="9"/>
  <c r="E24" i="9"/>
  <c r="E29" i="9" s="1"/>
  <c r="D23" i="9"/>
  <c r="J23" i="9"/>
  <c r="I23" i="9"/>
  <c r="O18" i="9"/>
  <c r="N18" i="9"/>
  <c r="E18" i="9"/>
  <c r="E23" i="9" s="1"/>
  <c r="E17" i="9"/>
  <c r="D17" i="9"/>
  <c r="J17" i="9"/>
  <c r="I17" i="9"/>
  <c r="O9" i="9" l="1"/>
  <c r="N9" i="9"/>
  <c r="I9" i="9"/>
  <c r="I10" i="9" s="1"/>
  <c r="J9" i="9"/>
  <c r="J10" i="9" s="1"/>
  <c r="E9" i="9"/>
  <c r="E10" i="9" s="1"/>
  <c r="N10" i="9"/>
  <c r="D9" i="9"/>
  <c r="D10" i="9" s="1"/>
  <c r="O10" i="9"/>
  <c r="BE11" i="18" l="1"/>
  <c r="BD11" i="18"/>
  <c r="BM8" i="18"/>
  <c r="BC11" i="18"/>
  <c r="BB11" i="18"/>
  <c r="BA11" i="18"/>
  <c r="BL8" i="18"/>
  <c r="AZ11" i="18"/>
  <c r="BM7" i="18"/>
  <c r="BK8" i="18"/>
  <c r="AD11" i="18"/>
  <c r="AX11" i="18"/>
  <c r="AY11" i="18"/>
  <c r="BH8" i="18"/>
  <c r="BL7" i="18"/>
  <c r="BJ8" i="18"/>
  <c r="AW11" i="18"/>
  <c r="R11" i="18"/>
  <c r="AJ11" i="18"/>
  <c r="AN11" i="18"/>
  <c r="AO11" i="18"/>
  <c r="AK11" i="18"/>
  <c r="AL11" i="18"/>
  <c r="AF11" i="18"/>
  <c r="AI11" i="18"/>
  <c r="AM11" i="18"/>
  <c r="AV11" i="18"/>
  <c r="AG11" i="18"/>
  <c r="AE11" i="18"/>
  <c r="AH11" i="18"/>
  <c r="BG8" i="18"/>
  <c r="BK7" i="18"/>
  <c r="BI8" i="18"/>
  <c r="F11" i="18"/>
  <c r="X11" i="18"/>
  <c r="Z11" i="18"/>
  <c r="S11" i="18"/>
  <c r="U11" i="18"/>
  <c r="AC11" i="18"/>
  <c r="T11" i="18"/>
  <c r="V11" i="18"/>
  <c r="Y11" i="18"/>
  <c r="W11" i="18"/>
  <c r="AA11" i="18"/>
  <c r="BJ7" i="18"/>
  <c r="BF8" i="18"/>
  <c r="BH7" i="18"/>
  <c r="L11" i="18"/>
  <c r="K11" i="18"/>
  <c r="M11" i="18"/>
  <c r="N11" i="18"/>
  <c r="O11" i="18"/>
  <c r="J11" i="18"/>
  <c r="P11" i="18"/>
  <c r="I11" i="18"/>
  <c r="AB11" i="18"/>
  <c r="Q11" i="18"/>
  <c r="H11" i="18"/>
  <c r="BG7" i="18"/>
  <c r="BI7" i="18"/>
  <c r="G11" i="18"/>
  <c r="BF7" i="18"/>
  <c r="Q238" i="18" l="1"/>
  <c r="Q239" i="18" s="1"/>
  <c r="Q240" i="18"/>
  <c r="Q216" i="18"/>
  <c r="Q204" i="18"/>
  <c r="Q180" i="18"/>
  <c r="Q178" i="18"/>
  <c r="Q179" i="18" s="1"/>
  <c r="Q192" i="18"/>
  <c r="Q144" i="18"/>
  <c r="Q142" i="18"/>
  <c r="Q143" i="18" s="1"/>
  <c r="Q226" i="18"/>
  <c r="Q227" i="18" s="1"/>
  <c r="Q214" i="18"/>
  <c r="Q215" i="18" s="1"/>
  <c r="Q202" i="18"/>
  <c r="Q203" i="18" s="1"/>
  <c r="Q190" i="18"/>
  <c r="Q191" i="18" s="1"/>
  <c r="Q154" i="18"/>
  <c r="Q155" i="18" s="1"/>
  <c r="Q132" i="18"/>
  <c r="Q250" i="18"/>
  <c r="Q251" i="18" s="1"/>
  <c r="Q168" i="18"/>
  <c r="Q156" i="18"/>
  <c r="Q228" i="18"/>
  <c r="Q166" i="18"/>
  <c r="Q167" i="18" s="1"/>
  <c r="V240" i="18"/>
  <c r="V238" i="18"/>
  <c r="V239" i="18" s="1"/>
  <c r="V228" i="18"/>
  <c r="V226" i="18"/>
  <c r="V227" i="18" s="1"/>
  <c r="V216" i="18"/>
  <c r="V202" i="18"/>
  <c r="V203" i="18" s="1"/>
  <c r="V156" i="18"/>
  <c r="V204" i="18"/>
  <c r="V180" i="18"/>
  <c r="V168" i="18"/>
  <c r="V154" i="18"/>
  <c r="V155" i="18" s="1"/>
  <c r="V214" i="18"/>
  <c r="V215" i="18" s="1"/>
  <c r="V178" i="18"/>
  <c r="V179" i="18" s="1"/>
  <c r="V142" i="18"/>
  <c r="V143" i="18" s="1"/>
  <c r="V132" i="18"/>
  <c r="V190" i="18"/>
  <c r="V191" i="18" s="1"/>
  <c r="V192" i="18"/>
  <c r="V250" i="18"/>
  <c r="V251" i="18" s="1"/>
  <c r="V144" i="18"/>
  <c r="V166" i="18"/>
  <c r="V167" i="18" s="1"/>
  <c r="L250" i="18"/>
  <c r="L240" i="18"/>
  <c r="L238" i="18"/>
  <c r="L216" i="18"/>
  <c r="L204" i="18"/>
  <c r="L168" i="18"/>
  <c r="L166" i="18"/>
  <c r="L228" i="18"/>
  <c r="L214" i="18"/>
  <c r="L180" i="18"/>
  <c r="L178" i="18"/>
  <c r="L192" i="18"/>
  <c r="L142" i="18"/>
  <c r="L156" i="18"/>
  <c r="L144" i="18"/>
  <c r="L154" i="18"/>
  <c r="L226" i="18"/>
  <c r="L202" i="18"/>
  <c r="L190" i="18"/>
  <c r="L132" i="18"/>
  <c r="I250" i="18"/>
  <c r="I251" i="18" s="1"/>
  <c r="I228" i="18"/>
  <c r="I238" i="18"/>
  <c r="I239" i="18" s="1"/>
  <c r="I214" i="18"/>
  <c r="I215" i="18" s="1"/>
  <c r="I180" i="18"/>
  <c r="I178" i="18"/>
  <c r="I179" i="18" s="1"/>
  <c r="I190" i="18"/>
  <c r="I191" i="18" s="1"/>
  <c r="I144" i="18"/>
  <c r="I142" i="18"/>
  <c r="I143" i="18" s="1"/>
  <c r="I216" i="18"/>
  <c r="I168" i="18"/>
  <c r="I156" i="18"/>
  <c r="I240" i="18"/>
  <c r="I204" i="18"/>
  <c r="I226" i="18"/>
  <c r="I227" i="18" s="1"/>
  <c r="I166" i="18"/>
  <c r="I167" i="18" s="1"/>
  <c r="I192" i="18"/>
  <c r="I202" i="18"/>
  <c r="I203" i="18" s="1"/>
  <c r="I154" i="18"/>
  <c r="I155" i="18" s="1"/>
  <c r="I132" i="18"/>
  <c r="AC250" i="18"/>
  <c r="AC251" i="18" s="1"/>
  <c r="AC228" i="18"/>
  <c r="AC204" i="18"/>
  <c r="AC240" i="18"/>
  <c r="AC216" i="18"/>
  <c r="AC202" i="18"/>
  <c r="AC203" i="18" s="1"/>
  <c r="AC156" i="18"/>
  <c r="AC190" i="18"/>
  <c r="AC191" i="18" s="1"/>
  <c r="AC238" i="18"/>
  <c r="AC239" i="18" s="1"/>
  <c r="AC192" i="18"/>
  <c r="AC166" i="18"/>
  <c r="AC167" i="18" s="1"/>
  <c r="AC168" i="18"/>
  <c r="AC154" i="18"/>
  <c r="AC155" i="18" s="1"/>
  <c r="AC132" i="18"/>
  <c r="AC142" i="18"/>
  <c r="AC143" i="18" s="1"/>
  <c r="AC214" i="18"/>
  <c r="AC215" i="18" s="1"/>
  <c r="AC226" i="18"/>
  <c r="AC227" i="18" s="1"/>
  <c r="AC180" i="18"/>
  <c r="AC144" i="18"/>
  <c r="AC178" i="18"/>
  <c r="AC179" i="18" s="1"/>
  <c r="AL240" i="18"/>
  <c r="AL238" i="18"/>
  <c r="AL239" i="18" s="1"/>
  <c r="AL228" i="18"/>
  <c r="AL226" i="18"/>
  <c r="AL227" i="18" s="1"/>
  <c r="AL202" i="18"/>
  <c r="AL203" i="18" s="1"/>
  <c r="AL156" i="18"/>
  <c r="AL204" i="18"/>
  <c r="AL214" i="18"/>
  <c r="AL215" i="18" s="1"/>
  <c r="AL190" i="18"/>
  <c r="AL191" i="18" s="1"/>
  <c r="AL154" i="18"/>
  <c r="AL155" i="18" s="1"/>
  <c r="AL168" i="18"/>
  <c r="AL250" i="18"/>
  <c r="AL251" i="18" s="1"/>
  <c r="AL178" i="18"/>
  <c r="AL179" i="18" s="1"/>
  <c r="AL144" i="18"/>
  <c r="AL216" i="18"/>
  <c r="AL180" i="18"/>
  <c r="AL132" i="18"/>
  <c r="AL166" i="18"/>
  <c r="AL167" i="18" s="1"/>
  <c r="AL142" i="18"/>
  <c r="AL143" i="18" s="1"/>
  <c r="AL192" i="18"/>
  <c r="P228" i="18"/>
  <c r="P226" i="18"/>
  <c r="P227" i="18" s="1"/>
  <c r="P216" i="18"/>
  <c r="P238" i="18"/>
  <c r="P239" i="18" s="1"/>
  <c r="P192" i="18"/>
  <c r="P190" i="18"/>
  <c r="P191" i="18" s="1"/>
  <c r="P240" i="18"/>
  <c r="P204" i="18"/>
  <c r="P144" i="18"/>
  <c r="P142" i="18"/>
  <c r="P143" i="18" s="1"/>
  <c r="P166" i="18"/>
  <c r="P167" i="18" s="1"/>
  <c r="P214" i="18"/>
  <c r="P215" i="18" s="1"/>
  <c r="P180" i="18"/>
  <c r="P202" i="18"/>
  <c r="P203" i="18" s="1"/>
  <c r="P154" i="18"/>
  <c r="P155" i="18" s="1"/>
  <c r="P132" i="18"/>
  <c r="P178" i="18"/>
  <c r="P179" i="18" s="1"/>
  <c r="P250" i="18"/>
  <c r="P251" i="18" s="1"/>
  <c r="P168" i="18"/>
  <c r="P156" i="18"/>
  <c r="U250" i="18"/>
  <c r="U251" i="18" s="1"/>
  <c r="U226" i="18"/>
  <c r="U227" i="18" s="1"/>
  <c r="U204" i="18"/>
  <c r="U216" i="18"/>
  <c r="U214" i="18"/>
  <c r="U215" i="18" s="1"/>
  <c r="U238" i="18"/>
  <c r="U239" i="18" s="1"/>
  <c r="U202" i="18"/>
  <c r="U203" i="18" s="1"/>
  <c r="U156" i="18"/>
  <c r="U180" i="18"/>
  <c r="U168" i="18"/>
  <c r="U190" i="18"/>
  <c r="U191" i="18" s="1"/>
  <c r="U154" i="18"/>
  <c r="U155" i="18" s="1"/>
  <c r="U178" i="18"/>
  <c r="U179" i="18" s="1"/>
  <c r="U166" i="18"/>
  <c r="U167" i="18" s="1"/>
  <c r="U142" i="18"/>
  <c r="U143" i="18" s="1"/>
  <c r="U144" i="18"/>
  <c r="U240" i="18"/>
  <c r="U192" i="18"/>
  <c r="U228" i="18"/>
  <c r="U132" i="18"/>
  <c r="AH216" i="18"/>
  <c r="AH250" i="18"/>
  <c r="AH251" i="18" s="1"/>
  <c r="AH240" i="18"/>
  <c r="AH214" i="18"/>
  <c r="AH215" i="18" s="1"/>
  <c r="AH180" i="18"/>
  <c r="AH178" i="18"/>
  <c r="AH179" i="18" s="1"/>
  <c r="AH238" i="18"/>
  <c r="AH239" i="18" s="1"/>
  <c r="AH226" i="18"/>
  <c r="AH227" i="18" s="1"/>
  <c r="AH228" i="18"/>
  <c r="AH204" i="18"/>
  <c r="AH166" i="18"/>
  <c r="AH167" i="18" s="1"/>
  <c r="AH132" i="18"/>
  <c r="AH202" i="18"/>
  <c r="AH203" i="18" s="1"/>
  <c r="AH190" i="18"/>
  <c r="AH191" i="18" s="1"/>
  <c r="AH168" i="18"/>
  <c r="AH192" i="18"/>
  <c r="AH142" i="18"/>
  <c r="AH143" i="18" s="1"/>
  <c r="AH144" i="18"/>
  <c r="AH156" i="18"/>
  <c r="AH154" i="18"/>
  <c r="AH155" i="18" s="1"/>
  <c r="AK250" i="18"/>
  <c r="AK251" i="18" s="1"/>
  <c r="AK204" i="18"/>
  <c r="AK238" i="18"/>
  <c r="AK239" i="18" s="1"/>
  <c r="AK202" i="18"/>
  <c r="AK203" i="18" s="1"/>
  <c r="AK156" i="18"/>
  <c r="AK192" i="18"/>
  <c r="AK226" i="18"/>
  <c r="AK227" i="18" s="1"/>
  <c r="AK214" i="18"/>
  <c r="AK215" i="18" s="1"/>
  <c r="AK240" i="18"/>
  <c r="AK168" i="18"/>
  <c r="AK166" i="18"/>
  <c r="AK167" i="18" s="1"/>
  <c r="AK142" i="18"/>
  <c r="AK143" i="18" s="1"/>
  <c r="AK190" i="18"/>
  <c r="AK191" i="18" s="1"/>
  <c r="AK144" i="18"/>
  <c r="AK178" i="18"/>
  <c r="AK179" i="18" s="1"/>
  <c r="AK154" i="18"/>
  <c r="AK155" i="18" s="1"/>
  <c r="AK228" i="18"/>
  <c r="AK216" i="18"/>
  <c r="AK180" i="18"/>
  <c r="AK132" i="18"/>
  <c r="BA250" i="18"/>
  <c r="BA251" i="18" s="1"/>
  <c r="BA226" i="18"/>
  <c r="BA227" i="18" s="1"/>
  <c r="BA204" i="18"/>
  <c r="BA216" i="18"/>
  <c r="BA214" i="18"/>
  <c r="BA215" i="18" s="1"/>
  <c r="BA202" i="18"/>
  <c r="BA203" i="18" s="1"/>
  <c r="BA156" i="18"/>
  <c r="BA238" i="18"/>
  <c r="BA239" i="18" s="1"/>
  <c r="BA180" i="18"/>
  <c r="BA168" i="18"/>
  <c r="BA154" i="18"/>
  <c r="BA155" i="18" s="1"/>
  <c r="BA178" i="18"/>
  <c r="BA179" i="18" s="1"/>
  <c r="BA240" i="18"/>
  <c r="BA192" i="18"/>
  <c r="BA166" i="18"/>
  <c r="BA167" i="18" s="1"/>
  <c r="BA142" i="18"/>
  <c r="BA143" i="18" s="1"/>
  <c r="BA190" i="18"/>
  <c r="BA191" i="18" s="1"/>
  <c r="BA228" i="18"/>
  <c r="BA132" i="18"/>
  <c r="BA144" i="18"/>
  <c r="G238" i="18"/>
  <c r="G239" i="18" s="1"/>
  <c r="G228" i="18"/>
  <c r="G204" i="18"/>
  <c r="G192" i="18"/>
  <c r="G190" i="18"/>
  <c r="G191" i="18" s="1"/>
  <c r="G154" i="18"/>
  <c r="G155" i="18" s="1"/>
  <c r="G240" i="18"/>
  <c r="G214" i="18"/>
  <c r="G215" i="18" s="1"/>
  <c r="G226" i="18"/>
  <c r="G227" i="18" s="1"/>
  <c r="G202" i="18"/>
  <c r="G203" i="18" s="1"/>
  <c r="G168" i="18"/>
  <c r="G156" i="18"/>
  <c r="G132" i="18"/>
  <c r="G178" i="18"/>
  <c r="G179" i="18" s="1"/>
  <c r="G142" i="18"/>
  <c r="G143" i="18" s="1"/>
  <c r="G250" i="18"/>
  <c r="G251" i="18" s="1"/>
  <c r="G166" i="18"/>
  <c r="G167" i="18" s="1"/>
  <c r="G216" i="18"/>
  <c r="G180" i="18"/>
  <c r="G144" i="18"/>
  <c r="J216" i="18"/>
  <c r="J250" i="18"/>
  <c r="J251" i="18" s="1"/>
  <c r="J226" i="18"/>
  <c r="J227" i="18" s="1"/>
  <c r="J214" i="18"/>
  <c r="J215" i="18" s="1"/>
  <c r="J180" i="18"/>
  <c r="J178" i="18"/>
  <c r="J179" i="18" s="1"/>
  <c r="J168" i="18"/>
  <c r="J156" i="18"/>
  <c r="J202" i="18"/>
  <c r="J203" i="18" s="1"/>
  <c r="J132" i="18"/>
  <c r="J240" i="18"/>
  <c r="J228" i="18"/>
  <c r="J204" i="18"/>
  <c r="J154" i="18"/>
  <c r="J155" i="18" s="1"/>
  <c r="J166" i="18"/>
  <c r="J167" i="18" s="1"/>
  <c r="J192" i="18"/>
  <c r="J144" i="18"/>
  <c r="J190" i="18"/>
  <c r="J191" i="18" s="1"/>
  <c r="J238" i="18"/>
  <c r="J239" i="18" s="1"/>
  <c r="J142" i="18"/>
  <c r="J143" i="18" s="1"/>
  <c r="S250" i="18"/>
  <c r="S251" i="18" s="1"/>
  <c r="S228" i="18"/>
  <c r="S214" i="18"/>
  <c r="S215" i="18" s="1"/>
  <c r="S226" i="18"/>
  <c r="S227" i="18" s="1"/>
  <c r="S168" i="18"/>
  <c r="S166" i="18"/>
  <c r="S167" i="18" s="1"/>
  <c r="S190" i="18"/>
  <c r="S191" i="18" s="1"/>
  <c r="S132" i="18"/>
  <c r="S204" i="18"/>
  <c r="S156" i="18"/>
  <c r="S202" i="18"/>
  <c r="S203" i="18" s="1"/>
  <c r="S180" i="18"/>
  <c r="S240" i="18"/>
  <c r="S144" i="18"/>
  <c r="S192" i="18"/>
  <c r="S142" i="18"/>
  <c r="S143" i="18" s="1"/>
  <c r="S178" i="18"/>
  <c r="S179" i="18" s="1"/>
  <c r="S154" i="18"/>
  <c r="S155" i="18" s="1"/>
  <c r="S238" i="18"/>
  <c r="S239" i="18" s="1"/>
  <c r="S216" i="18"/>
  <c r="AE226" i="18"/>
  <c r="AE227" i="18" s="1"/>
  <c r="AE216" i="18"/>
  <c r="AE240" i="18"/>
  <c r="AE214" i="18"/>
  <c r="AE215" i="18" s="1"/>
  <c r="AE192" i="18"/>
  <c r="AE190" i="18"/>
  <c r="AE191" i="18" s="1"/>
  <c r="AE250" i="18"/>
  <c r="AE251" i="18" s="1"/>
  <c r="AE154" i="18"/>
  <c r="AE155" i="18" s="1"/>
  <c r="AE238" i="18"/>
  <c r="AE239" i="18" s="1"/>
  <c r="AE180" i="18"/>
  <c r="AE168" i="18"/>
  <c r="AE156" i="18"/>
  <c r="AE228" i="18"/>
  <c r="AE202" i="18"/>
  <c r="AE203" i="18" s="1"/>
  <c r="AE142" i="18"/>
  <c r="AE143" i="18" s="1"/>
  <c r="AE178" i="18"/>
  <c r="AE179" i="18" s="1"/>
  <c r="AE166" i="18"/>
  <c r="AE167" i="18" s="1"/>
  <c r="AE132" i="18"/>
  <c r="AE204" i="18"/>
  <c r="AE144" i="18"/>
  <c r="AO250" i="18"/>
  <c r="AO251" i="18" s="1"/>
  <c r="AO228" i="18"/>
  <c r="AO214" i="18"/>
  <c r="AO215" i="18" s="1"/>
  <c r="AO180" i="18"/>
  <c r="AO178" i="18"/>
  <c r="AO179" i="18" s="1"/>
  <c r="AO190" i="18"/>
  <c r="AO191" i="18" s="1"/>
  <c r="AO144" i="18"/>
  <c r="AO142" i="18"/>
  <c r="AO143" i="18" s="1"/>
  <c r="AO240" i="18"/>
  <c r="AO168" i="18"/>
  <c r="AO156" i="18"/>
  <c r="AO166" i="18"/>
  <c r="AO167" i="18" s="1"/>
  <c r="AO192" i="18"/>
  <c r="AO132" i="18"/>
  <c r="AO202" i="18"/>
  <c r="AO203" i="18" s="1"/>
  <c r="AO238" i="18"/>
  <c r="AO239" i="18" s="1"/>
  <c r="AO226" i="18"/>
  <c r="AO227" i="18" s="1"/>
  <c r="AO204" i="18"/>
  <c r="AO154" i="18"/>
  <c r="AO155" i="18" s="1"/>
  <c r="AO216" i="18"/>
  <c r="AY250" i="18"/>
  <c r="AY251" i="18" s="1"/>
  <c r="AY228" i="18"/>
  <c r="AY214" i="18"/>
  <c r="AY215" i="18" s="1"/>
  <c r="AY238" i="18"/>
  <c r="AY239" i="18" s="1"/>
  <c r="AY168" i="18"/>
  <c r="AY166" i="18"/>
  <c r="AY167" i="18" s="1"/>
  <c r="AY216" i="18"/>
  <c r="AY190" i="18"/>
  <c r="AY191" i="18" s="1"/>
  <c r="AY132" i="18"/>
  <c r="AY156" i="18"/>
  <c r="AY226" i="18"/>
  <c r="AY227" i="18" s="1"/>
  <c r="AY142" i="18"/>
  <c r="AY143" i="18" s="1"/>
  <c r="AY180" i="18"/>
  <c r="AY178" i="18"/>
  <c r="AY179" i="18" s="1"/>
  <c r="AY144" i="18"/>
  <c r="AY202" i="18"/>
  <c r="AY203" i="18" s="1"/>
  <c r="AY240" i="18"/>
  <c r="AY204" i="18"/>
  <c r="AY192" i="18"/>
  <c r="AY154" i="18"/>
  <c r="AY155" i="18" s="1"/>
  <c r="BB240" i="18"/>
  <c r="BB238" i="18"/>
  <c r="BB228" i="18"/>
  <c r="BB226" i="18"/>
  <c r="BB216" i="18"/>
  <c r="BB202" i="18"/>
  <c r="BB156" i="18"/>
  <c r="BB250" i="18"/>
  <c r="BB214" i="18"/>
  <c r="BB180" i="18"/>
  <c r="BB168" i="18"/>
  <c r="BB154" i="18"/>
  <c r="BB178" i="18"/>
  <c r="BB192" i="18"/>
  <c r="BB144" i="18"/>
  <c r="BB166" i="18"/>
  <c r="BB142" i="18"/>
  <c r="BB204" i="18"/>
  <c r="BB190" i="18"/>
  <c r="BB132" i="18"/>
  <c r="AW238" i="18"/>
  <c r="AW239" i="18" s="1"/>
  <c r="AW226" i="18"/>
  <c r="AW227" i="18" s="1"/>
  <c r="AW204" i="18"/>
  <c r="AW180" i="18"/>
  <c r="AW178" i="18"/>
  <c r="AW179" i="18" s="1"/>
  <c r="AW192" i="18"/>
  <c r="AW144" i="18"/>
  <c r="AW142" i="18"/>
  <c r="AW143" i="18" s="1"/>
  <c r="AW228" i="18"/>
  <c r="AW216" i="18"/>
  <c r="AW214" i="18"/>
  <c r="AW215" i="18" s="1"/>
  <c r="AW202" i="18"/>
  <c r="AW203" i="18" s="1"/>
  <c r="AW190" i="18"/>
  <c r="AW191" i="18" s="1"/>
  <c r="AW168" i="18"/>
  <c r="AW156" i="18"/>
  <c r="AW240" i="18"/>
  <c r="AW132" i="18"/>
  <c r="AW166" i="18"/>
  <c r="AW167" i="18" s="1"/>
  <c r="AW154" i="18"/>
  <c r="AW155" i="18" s="1"/>
  <c r="AW250" i="18"/>
  <c r="AW251" i="18" s="1"/>
  <c r="AB250" i="18"/>
  <c r="AB251" i="18" s="1"/>
  <c r="AB240" i="18"/>
  <c r="AB238" i="18"/>
  <c r="AB239" i="18" s="1"/>
  <c r="AB228" i="18"/>
  <c r="AB204" i="18"/>
  <c r="AB168" i="18"/>
  <c r="AB166" i="18"/>
  <c r="AB167" i="18" s="1"/>
  <c r="AB216" i="18"/>
  <c r="AB190" i="18"/>
  <c r="AB191" i="18" s="1"/>
  <c r="AB226" i="18"/>
  <c r="AB227" i="18" s="1"/>
  <c r="AB178" i="18"/>
  <c r="AB179" i="18" s="1"/>
  <c r="AB192" i="18"/>
  <c r="AB214" i="18"/>
  <c r="AB215" i="18" s="1"/>
  <c r="AB154" i="18"/>
  <c r="AB155" i="18" s="1"/>
  <c r="AB132" i="18"/>
  <c r="AB202" i="18"/>
  <c r="AB203" i="18" s="1"/>
  <c r="AB142" i="18"/>
  <c r="AB143" i="18" s="1"/>
  <c r="AB144" i="18"/>
  <c r="AB180" i="18"/>
  <c r="AB156" i="18"/>
  <c r="T250" i="18"/>
  <c r="T251" i="18" s="1"/>
  <c r="T240" i="18"/>
  <c r="T238" i="18"/>
  <c r="T239" i="18" s="1"/>
  <c r="T226" i="18"/>
  <c r="T227" i="18" s="1"/>
  <c r="T204" i="18"/>
  <c r="T168" i="18"/>
  <c r="T166" i="18"/>
  <c r="T167" i="18" s="1"/>
  <c r="T214" i="18"/>
  <c r="T215" i="18" s="1"/>
  <c r="T156" i="18"/>
  <c r="T202" i="18"/>
  <c r="T203" i="18" s="1"/>
  <c r="T180" i="18"/>
  <c r="T190" i="18"/>
  <c r="T191" i="18" s="1"/>
  <c r="T154" i="18"/>
  <c r="T155" i="18" s="1"/>
  <c r="T192" i="18"/>
  <c r="T178" i="18"/>
  <c r="T179" i="18" s="1"/>
  <c r="T216" i="18"/>
  <c r="T144" i="18"/>
  <c r="T142" i="18"/>
  <c r="T143" i="18" s="1"/>
  <c r="T228" i="18"/>
  <c r="T132" i="18"/>
  <c r="AF228" i="18"/>
  <c r="AF226" i="18"/>
  <c r="AF227" i="18" s="1"/>
  <c r="AF216" i="18"/>
  <c r="AF192" i="18"/>
  <c r="AF190" i="18"/>
  <c r="AF191" i="18" s="1"/>
  <c r="AF250" i="18"/>
  <c r="AF251" i="18" s="1"/>
  <c r="AF238" i="18"/>
  <c r="AF239" i="18" s="1"/>
  <c r="AF180" i="18"/>
  <c r="AF168" i="18"/>
  <c r="AF156" i="18"/>
  <c r="AF202" i="18"/>
  <c r="AF203" i="18" s="1"/>
  <c r="AF144" i="18"/>
  <c r="AF142" i="18"/>
  <c r="AF143" i="18" s="1"/>
  <c r="AF154" i="18"/>
  <c r="AF155" i="18" s="1"/>
  <c r="AF240" i="18"/>
  <c r="AF166" i="18"/>
  <c r="AF167" i="18" s="1"/>
  <c r="AF178" i="18"/>
  <c r="AF179" i="18" s="1"/>
  <c r="AF132" i="18"/>
  <c r="AF214" i="18"/>
  <c r="AF215" i="18" s="1"/>
  <c r="AF204" i="18"/>
  <c r="AA250" i="18"/>
  <c r="AA251" i="18" s="1"/>
  <c r="AA238" i="18"/>
  <c r="AA239" i="18" s="1"/>
  <c r="AA214" i="18"/>
  <c r="AA215" i="18" s="1"/>
  <c r="AA228" i="18"/>
  <c r="AA204" i="18"/>
  <c r="AA168" i="18"/>
  <c r="AA166" i="18"/>
  <c r="AA167" i="18" s="1"/>
  <c r="AA192" i="18"/>
  <c r="AA132" i="18"/>
  <c r="AA216" i="18"/>
  <c r="AA226" i="18"/>
  <c r="AA227" i="18" s="1"/>
  <c r="AA178" i="18"/>
  <c r="AA179" i="18" s="1"/>
  <c r="AA144" i="18"/>
  <c r="AA180" i="18"/>
  <c r="AA240" i="18"/>
  <c r="AA142" i="18"/>
  <c r="AA143" i="18" s="1"/>
  <c r="AA156" i="18"/>
  <c r="AA154" i="18"/>
  <c r="AA155" i="18" s="1"/>
  <c r="AA202" i="18"/>
  <c r="AA203" i="18" s="1"/>
  <c r="AA190" i="18"/>
  <c r="AA191" i="18" s="1"/>
  <c r="Z216" i="18"/>
  <c r="Z250" i="18"/>
  <c r="Z251" i="18" s="1"/>
  <c r="Z238" i="18"/>
  <c r="Z239" i="18" s="1"/>
  <c r="Z214" i="18"/>
  <c r="Z215" i="18" s="1"/>
  <c r="Z180" i="18"/>
  <c r="Z178" i="18"/>
  <c r="Z179" i="18" s="1"/>
  <c r="Z228" i="18"/>
  <c r="Z204" i="18"/>
  <c r="Z240" i="18"/>
  <c r="Z192" i="18"/>
  <c r="Z132" i="18"/>
  <c r="Z226" i="18"/>
  <c r="Z227" i="18" s="1"/>
  <c r="Z166" i="18"/>
  <c r="Z167" i="18" s="1"/>
  <c r="Z156" i="18"/>
  <c r="Z190" i="18"/>
  <c r="Z191" i="18" s="1"/>
  <c r="Z168" i="18"/>
  <c r="Z144" i="18"/>
  <c r="Z154" i="18"/>
  <c r="Z155" i="18" s="1"/>
  <c r="Z202" i="18"/>
  <c r="Z203" i="18" s="1"/>
  <c r="Z142" i="18"/>
  <c r="Z143" i="18" s="1"/>
  <c r="AG226" i="18"/>
  <c r="AG227" i="18" s="1"/>
  <c r="AG216" i="18"/>
  <c r="AG250" i="18"/>
  <c r="AG251" i="18" s="1"/>
  <c r="AG180" i="18"/>
  <c r="AG178" i="18"/>
  <c r="AG179" i="18" s="1"/>
  <c r="AG202" i="18"/>
  <c r="AG203" i="18" s="1"/>
  <c r="AG144" i="18"/>
  <c r="AG142" i="18"/>
  <c r="AG143" i="18" s="1"/>
  <c r="AG228" i="18"/>
  <c r="AG204" i="18"/>
  <c r="AG166" i="18"/>
  <c r="AG167" i="18" s="1"/>
  <c r="AG154" i="18"/>
  <c r="AG155" i="18" s="1"/>
  <c r="AG240" i="18"/>
  <c r="AG190" i="18"/>
  <c r="AG191" i="18" s="1"/>
  <c r="AG214" i="18"/>
  <c r="AG215" i="18" s="1"/>
  <c r="AG192" i="18"/>
  <c r="AG238" i="18"/>
  <c r="AG239" i="18" s="1"/>
  <c r="AG132" i="18"/>
  <c r="AG156" i="18"/>
  <c r="AG168" i="18"/>
  <c r="AN228" i="18"/>
  <c r="AN226" i="18"/>
  <c r="AN227" i="18" s="1"/>
  <c r="AN216" i="18"/>
  <c r="AN250" i="18"/>
  <c r="AN251" i="18" s="1"/>
  <c r="AN192" i="18"/>
  <c r="AN190" i="18"/>
  <c r="AN191" i="18" s="1"/>
  <c r="AN214" i="18"/>
  <c r="AN215" i="18" s="1"/>
  <c r="AN144" i="18"/>
  <c r="AN142" i="18"/>
  <c r="AN143" i="18" s="1"/>
  <c r="AN178" i="18"/>
  <c r="AN179" i="18" s="1"/>
  <c r="AN166" i="18"/>
  <c r="AN167" i="18" s="1"/>
  <c r="AN202" i="18"/>
  <c r="AN203" i="18" s="1"/>
  <c r="AN240" i="18"/>
  <c r="AN154" i="18"/>
  <c r="AN155" i="18" s="1"/>
  <c r="AN204" i="18"/>
  <c r="AN168" i="18"/>
  <c r="AN238" i="18"/>
  <c r="AN239" i="18" s="1"/>
  <c r="AN156" i="18"/>
  <c r="AN180" i="18"/>
  <c r="AN132" i="18"/>
  <c r="AX216" i="18"/>
  <c r="AX250" i="18"/>
  <c r="AX228" i="18"/>
  <c r="AX214" i="18"/>
  <c r="AX180" i="18"/>
  <c r="BJ180" i="18" s="1"/>
  <c r="AX178" i="18"/>
  <c r="AX238" i="18"/>
  <c r="AX204" i="18"/>
  <c r="AX190" i="18"/>
  <c r="AX132" i="18"/>
  <c r="AX168" i="18"/>
  <c r="AX156" i="18"/>
  <c r="AX226" i="18"/>
  <c r="AX202" i="18"/>
  <c r="AX192" i="18"/>
  <c r="AX154" i="18"/>
  <c r="AX166" i="18"/>
  <c r="AX144" i="18"/>
  <c r="AX240" i="18"/>
  <c r="AX142" i="18"/>
  <c r="BC250" i="18"/>
  <c r="BC251" i="18" s="1"/>
  <c r="BC228" i="18"/>
  <c r="BC192" i="18"/>
  <c r="BC190" i="18"/>
  <c r="BC191" i="18" s="1"/>
  <c r="BC202" i="18"/>
  <c r="BC203" i="18" s="1"/>
  <c r="BC154" i="18"/>
  <c r="BC155" i="18" s="1"/>
  <c r="BC178" i="18"/>
  <c r="BC179" i="18" s="1"/>
  <c r="BC166" i="18"/>
  <c r="BC167" i="18" s="1"/>
  <c r="BC226" i="18"/>
  <c r="BC227" i="18" s="1"/>
  <c r="BC216" i="18"/>
  <c r="BC144" i="18"/>
  <c r="BC240" i="18"/>
  <c r="BC238" i="18"/>
  <c r="BC239" i="18" s="1"/>
  <c r="BC214" i="18"/>
  <c r="BC215" i="18" s="1"/>
  <c r="BC204" i="18"/>
  <c r="BC168" i="18"/>
  <c r="BC180" i="18"/>
  <c r="BC132" i="18"/>
  <c r="BC156" i="18"/>
  <c r="BC142" i="18"/>
  <c r="BC143" i="18" s="1"/>
  <c r="N240" i="18"/>
  <c r="N238" i="18"/>
  <c r="N239" i="18" s="1"/>
  <c r="N228" i="18"/>
  <c r="N226" i="18"/>
  <c r="N227" i="18" s="1"/>
  <c r="N202" i="18"/>
  <c r="N203" i="18" s="1"/>
  <c r="N156" i="18"/>
  <c r="N250" i="18"/>
  <c r="N251" i="18" s="1"/>
  <c r="N178" i="18"/>
  <c r="N179" i="18" s="1"/>
  <c r="N166" i="18"/>
  <c r="N167" i="18" s="1"/>
  <c r="N192" i="18"/>
  <c r="N154" i="18"/>
  <c r="N155" i="18" s="1"/>
  <c r="N190" i="18"/>
  <c r="N191" i="18" s="1"/>
  <c r="N144" i="18"/>
  <c r="N142" i="18"/>
  <c r="N143" i="18" s="1"/>
  <c r="N180" i="18"/>
  <c r="N214" i="18"/>
  <c r="N215" i="18" s="1"/>
  <c r="N204" i="18"/>
  <c r="N132" i="18"/>
  <c r="N216" i="18"/>
  <c r="N168" i="18"/>
  <c r="W238" i="18"/>
  <c r="W239" i="18" s="1"/>
  <c r="W192" i="18"/>
  <c r="W190" i="18"/>
  <c r="W191" i="18" s="1"/>
  <c r="W226" i="18"/>
  <c r="W227" i="18" s="1"/>
  <c r="W202" i="18"/>
  <c r="W203" i="18" s="1"/>
  <c r="W154" i="18"/>
  <c r="W155" i="18" s="1"/>
  <c r="W240" i="18"/>
  <c r="W214" i="18"/>
  <c r="W215" i="18" s="1"/>
  <c r="W178" i="18"/>
  <c r="W179" i="18" s="1"/>
  <c r="W166" i="18"/>
  <c r="W167" i="18" s="1"/>
  <c r="W144" i="18"/>
  <c r="W168" i="18"/>
  <c r="W156" i="18"/>
  <c r="W250" i="18"/>
  <c r="W251" i="18" s="1"/>
  <c r="W216" i="18"/>
  <c r="W204" i="18"/>
  <c r="W132" i="18"/>
  <c r="W180" i="18"/>
  <c r="W228" i="18"/>
  <c r="W142" i="18"/>
  <c r="W143" i="18" s="1"/>
  <c r="X228" i="18"/>
  <c r="X226" i="18"/>
  <c r="X216" i="18"/>
  <c r="X250" i="18"/>
  <c r="X240" i="18"/>
  <c r="X192" i="18"/>
  <c r="X190" i="18"/>
  <c r="X214" i="18"/>
  <c r="X178" i="18"/>
  <c r="X166" i="18"/>
  <c r="X144" i="18"/>
  <c r="X142" i="18"/>
  <c r="X168" i="18"/>
  <c r="X156" i="18"/>
  <c r="X238" i="18"/>
  <c r="X204" i="18"/>
  <c r="X132" i="18"/>
  <c r="X180" i="18"/>
  <c r="X202" i="18"/>
  <c r="X154" i="18"/>
  <c r="AV228" i="18"/>
  <c r="AV226" i="18"/>
  <c r="AV216" i="18"/>
  <c r="AV238" i="18"/>
  <c r="AV192" i="18"/>
  <c r="AV190" i="18"/>
  <c r="AV204" i="18"/>
  <c r="BI204" i="18" s="1"/>
  <c r="AV240" i="18"/>
  <c r="AV144" i="18"/>
  <c r="AV142" i="18"/>
  <c r="AV180" i="18"/>
  <c r="AV202" i="18"/>
  <c r="AV168" i="18"/>
  <c r="AV156" i="18"/>
  <c r="AV214" i="18"/>
  <c r="AV132" i="18"/>
  <c r="AV166" i="18"/>
  <c r="AV178" i="18"/>
  <c r="AV154" i="18"/>
  <c r="AV250" i="18"/>
  <c r="AJ250" i="18"/>
  <c r="AJ240" i="18"/>
  <c r="AJ238" i="18"/>
  <c r="AJ204" i="18"/>
  <c r="AJ168" i="18"/>
  <c r="AJ166" i="18"/>
  <c r="AJ178" i="18"/>
  <c r="AJ192" i="18"/>
  <c r="AJ228" i="18"/>
  <c r="AJ180" i="18"/>
  <c r="AJ156" i="18"/>
  <c r="AJ214" i="18"/>
  <c r="AJ132" i="18"/>
  <c r="AJ216" i="18"/>
  <c r="AJ154" i="18"/>
  <c r="AJ142" i="18"/>
  <c r="AJ226" i="18"/>
  <c r="AJ202" i="18"/>
  <c r="AJ190" i="18"/>
  <c r="AJ144" i="18"/>
  <c r="AD240" i="18"/>
  <c r="AD238" i="18"/>
  <c r="AD228" i="18"/>
  <c r="AD226" i="18"/>
  <c r="AD216" i="18"/>
  <c r="AD202" i="18"/>
  <c r="AD156" i="18"/>
  <c r="AD214" i="18"/>
  <c r="AD250" i="18"/>
  <c r="AD154" i="18"/>
  <c r="AD204" i="18"/>
  <c r="AD166" i="18"/>
  <c r="AD180" i="18"/>
  <c r="AD168" i="18"/>
  <c r="AD190" i="18"/>
  <c r="AD144" i="18"/>
  <c r="AD192" i="18"/>
  <c r="AD142" i="18"/>
  <c r="AD178" i="18"/>
  <c r="AD132" i="18"/>
  <c r="K250" i="18"/>
  <c r="K251" i="18" s="1"/>
  <c r="K226" i="18"/>
  <c r="K227" i="18" s="1"/>
  <c r="K214" i="18"/>
  <c r="K215" i="18" s="1"/>
  <c r="K216" i="18"/>
  <c r="K168" i="18"/>
  <c r="K166" i="18"/>
  <c r="K167" i="18" s="1"/>
  <c r="K202" i="18"/>
  <c r="K203" i="18" s="1"/>
  <c r="K132" i="18"/>
  <c r="K238" i="18"/>
  <c r="K239" i="18" s="1"/>
  <c r="K228" i="18"/>
  <c r="K180" i="18"/>
  <c r="K154" i="18"/>
  <c r="K155" i="18" s="1"/>
  <c r="K178" i="18"/>
  <c r="K179" i="18" s="1"/>
  <c r="K192" i="18"/>
  <c r="K156" i="18"/>
  <c r="K142" i="18"/>
  <c r="K143" i="18" s="1"/>
  <c r="K190" i="18"/>
  <c r="K191" i="18" s="1"/>
  <c r="K204" i="18"/>
  <c r="K240" i="18"/>
  <c r="K144" i="18"/>
  <c r="AI250" i="18"/>
  <c r="AI251" i="18" s="1"/>
  <c r="AI240" i="18"/>
  <c r="AI214" i="18"/>
  <c r="AI215" i="18" s="1"/>
  <c r="AI238" i="18"/>
  <c r="AI239" i="18" s="1"/>
  <c r="AI226" i="18"/>
  <c r="AI227" i="18" s="1"/>
  <c r="AI168" i="18"/>
  <c r="AI166" i="18"/>
  <c r="AI167" i="18" s="1"/>
  <c r="AI216" i="18"/>
  <c r="AI132" i="18"/>
  <c r="AI178" i="18"/>
  <c r="AI179" i="18" s="1"/>
  <c r="AI202" i="18"/>
  <c r="AI203" i="18" s="1"/>
  <c r="AI190" i="18"/>
  <c r="AI191" i="18" s="1"/>
  <c r="AI144" i="18"/>
  <c r="AI228" i="18"/>
  <c r="AI180" i="18"/>
  <c r="AI156" i="18"/>
  <c r="AI204" i="18"/>
  <c r="AI154" i="18"/>
  <c r="AI155" i="18" s="1"/>
  <c r="AI142" i="18"/>
  <c r="AI143" i="18" s="1"/>
  <c r="AI192" i="18"/>
  <c r="BE250" i="18"/>
  <c r="BE251" i="18" s="1"/>
  <c r="BE240" i="18"/>
  <c r="BE228" i="18"/>
  <c r="BE180" i="18"/>
  <c r="BE178" i="18"/>
  <c r="BE179" i="18" s="1"/>
  <c r="BE144" i="18"/>
  <c r="BE142" i="18"/>
  <c r="BE143" i="18" s="1"/>
  <c r="BE226" i="18"/>
  <c r="BE227" i="18" s="1"/>
  <c r="BE192" i="18"/>
  <c r="BE214" i="18"/>
  <c r="BE215" i="18" s="1"/>
  <c r="BE166" i="18"/>
  <c r="BE167" i="18" s="1"/>
  <c r="BE216" i="18"/>
  <c r="BE168" i="18"/>
  <c r="BE238" i="18"/>
  <c r="BE239" i="18" s="1"/>
  <c r="BE202" i="18"/>
  <c r="BE203" i="18" s="1"/>
  <c r="BE190" i="18"/>
  <c r="BE191" i="18" s="1"/>
  <c r="BE154" i="18"/>
  <c r="BE155" i="18" s="1"/>
  <c r="BE132" i="18"/>
  <c r="BE204" i="18"/>
  <c r="BE156" i="18"/>
  <c r="AZ250" i="18"/>
  <c r="AZ240" i="18"/>
  <c r="AZ238" i="18"/>
  <c r="AZ226" i="18"/>
  <c r="AZ204" i="18"/>
  <c r="AZ168" i="18"/>
  <c r="BK168" i="18" s="1"/>
  <c r="AZ166" i="18"/>
  <c r="AZ214" i="18"/>
  <c r="AZ228" i="18"/>
  <c r="AZ156" i="18"/>
  <c r="AZ202" i="18"/>
  <c r="AZ216" i="18"/>
  <c r="AZ154" i="18"/>
  <c r="AZ178" i="18"/>
  <c r="AZ144" i="18"/>
  <c r="AZ192" i="18"/>
  <c r="AZ190" i="18"/>
  <c r="AZ142" i="18"/>
  <c r="AZ180" i="18"/>
  <c r="BK180" i="18" s="1"/>
  <c r="AZ132" i="18"/>
  <c r="O240" i="18"/>
  <c r="O250" i="18"/>
  <c r="O251" i="18" s="1"/>
  <c r="O216" i="18"/>
  <c r="O192" i="18"/>
  <c r="O190" i="18"/>
  <c r="O191" i="18" s="1"/>
  <c r="O228" i="18"/>
  <c r="O154" i="18"/>
  <c r="O155" i="18" s="1"/>
  <c r="O166" i="18"/>
  <c r="O167" i="18" s="1"/>
  <c r="O180" i="18"/>
  <c r="O142" i="18"/>
  <c r="O143" i="18" s="1"/>
  <c r="O144" i="18"/>
  <c r="O202" i="18"/>
  <c r="O203" i="18" s="1"/>
  <c r="O178" i="18"/>
  <c r="O179" i="18" s="1"/>
  <c r="O226" i="18"/>
  <c r="O227" i="18" s="1"/>
  <c r="O168" i="18"/>
  <c r="O156" i="18"/>
  <c r="O214" i="18"/>
  <c r="O215" i="18" s="1"/>
  <c r="O204" i="18"/>
  <c r="O132" i="18"/>
  <c r="O238" i="18"/>
  <c r="O239" i="18" s="1"/>
  <c r="H228" i="18"/>
  <c r="H226" i="18"/>
  <c r="H227" i="18" s="1"/>
  <c r="H216" i="18"/>
  <c r="H250" i="18"/>
  <c r="H251" i="18" s="1"/>
  <c r="H192" i="18"/>
  <c r="H190" i="18"/>
  <c r="H191" i="18" s="1"/>
  <c r="H238" i="18"/>
  <c r="H239" i="18" s="1"/>
  <c r="H214" i="18"/>
  <c r="H215" i="18" s="1"/>
  <c r="H240" i="18"/>
  <c r="H204" i="18"/>
  <c r="H144" i="18"/>
  <c r="H142" i="18"/>
  <c r="H143" i="18" s="1"/>
  <c r="H168" i="18"/>
  <c r="H156" i="18"/>
  <c r="H178" i="18"/>
  <c r="H179" i="18" s="1"/>
  <c r="H166" i="18"/>
  <c r="H167" i="18" s="1"/>
  <c r="H180" i="18"/>
  <c r="H202" i="18"/>
  <c r="H203" i="18" s="1"/>
  <c r="H154" i="18"/>
  <c r="H155" i="18" s="1"/>
  <c r="H132" i="18"/>
  <c r="M250" i="18"/>
  <c r="M251" i="18" s="1"/>
  <c r="M204" i="18"/>
  <c r="M240" i="18"/>
  <c r="M228" i="18"/>
  <c r="M202" i="18"/>
  <c r="M203" i="18" s="1"/>
  <c r="M156" i="18"/>
  <c r="M238" i="18"/>
  <c r="M239" i="18" s="1"/>
  <c r="M216" i="18"/>
  <c r="M178" i="18"/>
  <c r="M179" i="18" s="1"/>
  <c r="M166" i="18"/>
  <c r="M167" i="18" s="1"/>
  <c r="M192" i="18"/>
  <c r="M144" i="18"/>
  <c r="M190" i="18"/>
  <c r="M191" i="18" s="1"/>
  <c r="M180" i="18"/>
  <c r="M154" i="18"/>
  <c r="M155" i="18" s="1"/>
  <c r="M226" i="18"/>
  <c r="M227" i="18" s="1"/>
  <c r="M168" i="18"/>
  <c r="M214" i="18"/>
  <c r="M215" i="18" s="1"/>
  <c r="M132" i="18"/>
  <c r="M142" i="18"/>
  <c r="M143" i="18" s="1"/>
  <c r="Y250" i="18"/>
  <c r="Y251" i="18" s="1"/>
  <c r="Y240" i="18"/>
  <c r="Y180" i="18"/>
  <c r="Y178" i="18"/>
  <c r="Y179" i="18" s="1"/>
  <c r="Y144" i="18"/>
  <c r="Y142" i="18"/>
  <c r="Y143" i="18" s="1"/>
  <c r="Y238" i="18"/>
  <c r="Y239" i="18" s="1"/>
  <c r="Y216" i="18"/>
  <c r="Y204" i="18"/>
  <c r="Y192" i="18"/>
  <c r="Y202" i="18"/>
  <c r="Y203" i="18" s="1"/>
  <c r="Y214" i="18"/>
  <c r="Y215" i="18" s="1"/>
  <c r="Y156" i="18"/>
  <c r="Y228" i="18"/>
  <c r="Y166" i="18"/>
  <c r="Y167" i="18" s="1"/>
  <c r="Y190" i="18"/>
  <c r="Y191" i="18" s="1"/>
  <c r="Y168" i="18"/>
  <c r="Y132" i="18"/>
  <c r="Y226" i="18"/>
  <c r="Y227" i="18" s="1"/>
  <c r="Y154" i="18"/>
  <c r="Y155" i="18" s="1"/>
  <c r="F240" i="18"/>
  <c r="F238" i="18"/>
  <c r="F228" i="18"/>
  <c r="F226" i="18"/>
  <c r="F202" i="18"/>
  <c r="F156" i="18"/>
  <c r="F204" i="18"/>
  <c r="F190" i="18"/>
  <c r="F154" i="18"/>
  <c r="F180" i="18"/>
  <c r="F168" i="18"/>
  <c r="F216" i="18"/>
  <c r="F178" i="18"/>
  <c r="F132" i="18"/>
  <c r="F166" i="18"/>
  <c r="F142" i="18"/>
  <c r="F192" i="18"/>
  <c r="F144" i="18"/>
  <c r="F250" i="18"/>
  <c r="F214" i="18"/>
  <c r="AM238" i="18"/>
  <c r="AM239" i="18" s="1"/>
  <c r="AM228" i="18"/>
  <c r="AM204" i="18"/>
  <c r="AM192" i="18"/>
  <c r="AM190" i="18"/>
  <c r="AM191" i="18" s="1"/>
  <c r="AM226" i="18"/>
  <c r="AM227" i="18" s="1"/>
  <c r="AM154" i="18"/>
  <c r="AM155" i="18" s="1"/>
  <c r="AM250" i="18"/>
  <c r="AM251" i="18" s="1"/>
  <c r="AM214" i="18"/>
  <c r="AM215" i="18" s="1"/>
  <c r="AM178" i="18"/>
  <c r="AM179" i="18" s="1"/>
  <c r="AM216" i="18"/>
  <c r="AM180" i="18"/>
  <c r="AM132" i="18"/>
  <c r="AM144" i="18"/>
  <c r="AM202" i="18"/>
  <c r="AM203" i="18" s="1"/>
  <c r="AM156" i="18"/>
  <c r="AM142" i="18"/>
  <c r="AM143" i="18" s="1"/>
  <c r="AM168" i="18"/>
  <c r="AM166" i="18"/>
  <c r="AM167" i="18" s="1"/>
  <c r="AM240" i="18"/>
  <c r="R216" i="18"/>
  <c r="R250" i="18"/>
  <c r="R228" i="18"/>
  <c r="R214" i="18"/>
  <c r="R180" i="18"/>
  <c r="R178" i="18"/>
  <c r="R226" i="18"/>
  <c r="R190" i="18"/>
  <c r="R132" i="18"/>
  <c r="R202" i="18"/>
  <c r="R168" i="18"/>
  <c r="R238" i="18"/>
  <c r="R144" i="18"/>
  <c r="R192" i="18"/>
  <c r="R204" i="18"/>
  <c r="R166" i="18"/>
  <c r="R154" i="18"/>
  <c r="R156" i="18"/>
  <c r="R240" i="18"/>
  <c r="R142" i="18"/>
  <c r="BD228" i="18"/>
  <c r="BD226" i="18"/>
  <c r="BD216" i="18"/>
  <c r="BD250" i="18"/>
  <c r="BD240" i="18"/>
  <c r="BD192" i="18"/>
  <c r="BD190" i="18"/>
  <c r="BD178" i="18"/>
  <c r="BD166" i="18"/>
  <c r="BD144" i="18"/>
  <c r="BM144" i="18" s="1"/>
  <c r="BD142" i="18"/>
  <c r="BD238" i="18"/>
  <c r="BD214" i="18"/>
  <c r="BD132" i="18"/>
  <c r="BM132" i="18" s="1"/>
  <c r="BD156" i="18"/>
  <c r="BD202" i="18"/>
  <c r="BD154" i="18"/>
  <c r="BD204" i="18"/>
  <c r="BD180" i="18"/>
  <c r="BD168" i="18"/>
  <c r="AZ370" i="18"/>
  <c r="AZ360" i="18"/>
  <c r="AZ358" i="18"/>
  <c r="AZ334" i="18"/>
  <c r="AZ348" i="18"/>
  <c r="AZ336" i="18"/>
  <c r="AZ324" i="18"/>
  <c r="AZ310" i="18"/>
  <c r="AZ346" i="18"/>
  <c r="AZ312" i="18"/>
  <c r="AZ288" i="18"/>
  <c r="AZ264" i="18"/>
  <c r="AZ262" i="18"/>
  <c r="AZ322" i="18"/>
  <c r="AZ300" i="18"/>
  <c r="AZ252" i="18"/>
  <c r="AZ286" i="18"/>
  <c r="AZ276" i="18"/>
  <c r="AZ274" i="18"/>
  <c r="AZ298" i="18"/>
  <c r="H348" i="18"/>
  <c r="H346" i="18"/>
  <c r="H347" i="18" s="1"/>
  <c r="H336" i="18"/>
  <c r="H370" i="18"/>
  <c r="H371" i="18" s="1"/>
  <c r="H312" i="18"/>
  <c r="H360" i="18"/>
  <c r="H322" i="18"/>
  <c r="H323" i="18" s="1"/>
  <c r="H300" i="18"/>
  <c r="H298" i="18"/>
  <c r="H299" i="18" s="1"/>
  <c r="H358" i="18"/>
  <c r="H359" i="18" s="1"/>
  <c r="H324" i="18"/>
  <c r="H310" i="18"/>
  <c r="H311" i="18" s="1"/>
  <c r="H334" i="18"/>
  <c r="H335" i="18" s="1"/>
  <c r="H286" i="18"/>
  <c r="H287" i="18" s="1"/>
  <c r="H264" i="18"/>
  <c r="H262" i="18"/>
  <c r="H263" i="18" s="1"/>
  <c r="H276" i="18"/>
  <c r="H274" i="18"/>
  <c r="H275" i="18" s="1"/>
  <c r="H252" i="18"/>
  <c r="H288" i="18"/>
  <c r="Q348" i="18"/>
  <c r="Q346" i="18"/>
  <c r="Q347" i="18" s="1"/>
  <c r="Q336" i="18"/>
  <c r="Q370" i="18"/>
  <c r="Q371" i="18" s="1"/>
  <c r="Q358" i="18"/>
  <c r="Q359" i="18" s="1"/>
  <c r="Q334" i="18"/>
  <c r="Q335" i="18" s="1"/>
  <c r="Q322" i="18"/>
  <c r="Q323" i="18" s="1"/>
  <c r="Q312" i="18"/>
  <c r="Q310" i="18"/>
  <c r="Q311" i="18" s="1"/>
  <c r="Q298" i="18"/>
  <c r="Q299" i="18" s="1"/>
  <c r="Q360" i="18"/>
  <c r="Q276" i="18"/>
  <c r="Q274" i="18"/>
  <c r="Q275" i="18" s="1"/>
  <c r="Q300" i="18"/>
  <c r="Q288" i="18"/>
  <c r="Q264" i="18"/>
  <c r="Q262" i="18"/>
  <c r="Q263" i="18" s="1"/>
  <c r="Q252" i="18"/>
  <c r="Q286" i="18"/>
  <c r="Q287" i="18" s="1"/>
  <c r="Q324" i="18"/>
  <c r="AW348" i="18"/>
  <c r="AW346" i="18"/>
  <c r="AW347" i="18" s="1"/>
  <c r="AW336" i="18"/>
  <c r="AW370" i="18"/>
  <c r="AW371" i="18" s="1"/>
  <c r="AW360" i="18"/>
  <c r="AW334" i="18"/>
  <c r="AW335" i="18" s="1"/>
  <c r="AW312" i="18"/>
  <c r="AW324" i="18"/>
  <c r="AW322" i="18"/>
  <c r="AW323" i="18" s="1"/>
  <c r="AW298" i="18"/>
  <c r="AW299" i="18" s="1"/>
  <c r="AW276" i="18"/>
  <c r="AW274" i="18"/>
  <c r="AW275" i="18" s="1"/>
  <c r="AW300" i="18"/>
  <c r="AW288" i="18"/>
  <c r="AW264" i="18"/>
  <c r="AW262" i="18"/>
  <c r="AW263" i="18" s="1"/>
  <c r="AW358" i="18"/>
  <c r="AW359" i="18" s="1"/>
  <c r="AW252" i="18"/>
  <c r="AW286" i="18"/>
  <c r="AW287" i="18" s="1"/>
  <c r="AW310" i="18"/>
  <c r="AW311" i="18" s="1"/>
  <c r="BE348" i="18"/>
  <c r="BE346" i="18"/>
  <c r="BE347" i="18" s="1"/>
  <c r="BE336" i="18"/>
  <c r="BE370" i="18"/>
  <c r="BE371" i="18" s="1"/>
  <c r="BE360" i="18"/>
  <c r="BE334" i="18"/>
  <c r="BE335" i="18" s="1"/>
  <c r="BE322" i="18"/>
  <c r="BE323" i="18" s="1"/>
  <c r="BE358" i="18"/>
  <c r="BE359" i="18" s="1"/>
  <c r="BE324" i="18"/>
  <c r="BE300" i="18"/>
  <c r="BE276" i="18"/>
  <c r="BE274" i="18"/>
  <c r="BE275" i="18" s="1"/>
  <c r="BE312" i="18"/>
  <c r="BE264" i="18"/>
  <c r="BE262" i="18"/>
  <c r="BE263" i="18" s="1"/>
  <c r="BE310" i="18"/>
  <c r="BE311" i="18" s="1"/>
  <c r="BE252" i="18"/>
  <c r="BE286" i="18"/>
  <c r="BE287" i="18" s="1"/>
  <c r="BE298" i="18"/>
  <c r="BE299" i="18" s="1"/>
  <c r="BE288" i="18"/>
  <c r="AB370" i="18"/>
  <c r="AB371" i="18" s="1"/>
  <c r="AB360" i="18"/>
  <c r="AB358" i="18"/>
  <c r="AB359" i="18" s="1"/>
  <c r="AB334" i="18"/>
  <c r="AB335" i="18" s="1"/>
  <c r="AB348" i="18"/>
  <c r="AB336" i="18"/>
  <c r="AB324" i="18"/>
  <c r="AB310" i="18"/>
  <c r="AB311" i="18" s="1"/>
  <c r="AB322" i="18"/>
  <c r="AB323" i="18" s="1"/>
  <c r="AB312" i="18"/>
  <c r="AB288" i="18"/>
  <c r="AB264" i="18"/>
  <c r="AB262" i="18"/>
  <c r="AB263" i="18" s="1"/>
  <c r="AB346" i="18"/>
  <c r="AB347" i="18" s="1"/>
  <c r="AB252" i="18"/>
  <c r="AB286" i="18"/>
  <c r="AB287" i="18" s="1"/>
  <c r="AB298" i="18"/>
  <c r="AB299" i="18" s="1"/>
  <c r="AB300" i="18"/>
  <c r="AB276" i="18"/>
  <c r="AB274" i="18"/>
  <c r="AB275" i="18" s="1"/>
  <c r="AF348" i="18"/>
  <c r="AF346" i="18"/>
  <c r="AF347" i="18" s="1"/>
  <c r="AF336" i="18"/>
  <c r="AF370" i="18"/>
  <c r="AF371" i="18" s="1"/>
  <c r="AF312" i="18"/>
  <c r="AF360" i="18"/>
  <c r="AF300" i="18"/>
  <c r="AF298" i="18"/>
  <c r="AF299" i="18" s="1"/>
  <c r="AF322" i="18"/>
  <c r="AF323" i="18" s="1"/>
  <c r="AF334" i="18"/>
  <c r="AF335" i="18" s="1"/>
  <c r="AF358" i="18"/>
  <c r="AF359" i="18" s="1"/>
  <c r="AF324" i="18"/>
  <c r="AF286" i="18"/>
  <c r="AF287" i="18" s="1"/>
  <c r="AF262" i="18"/>
  <c r="AF263" i="18" s="1"/>
  <c r="AF310" i="18"/>
  <c r="AF311" i="18" s="1"/>
  <c r="AF264" i="18"/>
  <c r="AF276" i="18"/>
  <c r="AF274" i="18"/>
  <c r="AF275" i="18" s="1"/>
  <c r="AF288" i="18"/>
  <c r="AF252" i="18"/>
  <c r="AC370" i="18"/>
  <c r="AC371" i="18" s="1"/>
  <c r="AC360" i="18"/>
  <c r="AC358" i="18"/>
  <c r="AC359" i="18" s="1"/>
  <c r="AC348" i="18"/>
  <c r="AC346" i="18"/>
  <c r="AC347" i="18" s="1"/>
  <c r="AC324" i="18"/>
  <c r="AC322" i="18"/>
  <c r="AC323" i="18" s="1"/>
  <c r="AC336" i="18"/>
  <c r="AC312" i="18"/>
  <c r="AC310" i="18"/>
  <c r="AC311" i="18" s="1"/>
  <c r="AC300" i="18"/>
  <c r="AC298" i="18"/>
  <c r="AC299" i="18" s="1"/>
  <c r="AC334" i="18"/>
  <c r="AC335" i="18" s="1"/>
  <c r="AC288" i="18"/>
  <c r="AC252" i="18"/>
  <c r="AC286" i="18"/>
  <c r="AC287" i="18" s="1"/>
  <c r="AC276" i="18"/>
  <c r="AC274" i="18"/>
  <c r="AC275" i="18" s="1"/>
  <c r="AC264" i="18"/>
  <c r="AC262" i="18"/>
  <c r="AC263" i="18" s="1"/>
  <c r="P348" i="18"/>
  <c r="P346" i="18"/>
  <c r="P347" i="18" s="1"/>
  <c r="P336" i="18"/>
  <c r="P370" i="18"/>
  <c r="P371" i="18" s="1"/>
  <c r="P312" i="18"/>
  <c r="P360" i="18"/>
  <c r="P358" i="18"/>
  <c r="P359" i="18" s="1"/>
  <c r="P324" i="18"/>
  <c r="P300" i="18"/>
  <c r="P298" i="18"/>
  <c r="P299" i="18" s="1"/>
  <c r="P334" i="18"/>
  <c r="P335" i="18" s="1"/>
  <c r="P322" i="18"/>
  <c r="P323" i="18" s="1"/>
  <c r="P310" i="18"/>
  <c r="P311" i="18" s="1"/>
  <c r="P286" i="18"/>
  <c r="P287" i="18" s="1"/>
  <c r="P264" i="18"/>
  <c r="P262" i="18"/>
  <c r="P263" i="18" s="1"/>
  <c r="P276" i="18"/>
  <c r="P274" i="18"/>
  <c r="P275" i="18" s="1"/>
  <c r="P288" i="18"/>
  <c r="P252" i="18"/>
  <c r="U370" i="18"/>
  <c r="U371" i="18" s="1"/>
  <c r="U360" i="18"/>
  <c r="U358" i="18"/>
  <c r="U359" i="18" s="1"/>
  <c r="U348" i="18"/>
  <c r="U346" i="18"/>
  <c r="U347" i="18" s="1"/>
  <c r="U324" i="18"/>
  <c r="U322" i="18"/>
  <c r="U323" i="18" s="1"/>
  <c r="U312" i="18"/>
  <c r="U336" i="18"/>
  <c r="U334" i="18"/>
  <c r="U335" i="18" s="1"/>
  <c r="U310" i="18"/>
  <c r="U311" i="18" s="1"/>
  <c r="U300" i="18"/>
  <c r="U298" i="18"/>
  <c r="U299" i="18" s="1"/>
  <c r="U288" i="18"/>
  <c r="U252" i="18"/>
  <c r="U286" i="18"/>
  <c r="U287" i="18" s="1"/>
  <c r="U276" i="18"/>
  <c r="U274" i="18"/>
  <c r="U275" i="18" s="1"/>
  <c r="U264" i="18"/>
  <c r="U262" i="18"/>
  <c r="U263" i="18" s="1"/>
  <c r="AH336" i="18"/>
  <c r="AH370" i="18"/>
  <c r="AH371" i="18" s="1"/>
  <c r="AH348" i="18"/>
  <c r="AH334" i="18"/>
  <c r="AH335" i="18" s="1"/>
  <c r="AH288" i="18"/>
  <c r="AH312" i="18"/>
  <c r="AH360" i="18"/>
  <c r="AH358" i="18"/>
  <c r="AH359" i="18" s="1"/>
  <c r="AH310" i="18"/>
  <c r="AH311" i="18" s="1"/>
  <c r="AH346" i="18"/>
  <c r="AH347" i="18" s="1"/>
  <c r="AH300" i="18"/>
  <c r="AH298" i="18"/>
  <c r="AH299" i="18" s="1"/>
  <c r="AH276" i="18"/>
  <c r="AH274" i="18"/>
  <c r="AH275" i="18" s="1"/>
  <c r="AH264" i="18"/>
  <c r="AH262" i="18"/>
  <c r="AH263" i="18" s="1"/>
  <c r="AH324" i="18"/>
  <c r="AH252" i="18"/>
  <c r="AH286" i="18"/>
  <c r="AH287" i="18" s="1"/>
  <c r="AH322" i="18"/>
  <c r="AH323" i="18" s="1"/>
  <c r="AK370" i="18"/>
  <c r="AK371" i="18" s="1"/>
  <c r="AK360" i="18"/>
  <c r="AK358" i="18"/>
  <c r="AK359" i="18" s="1"/>
  <c r="AK348" i="18"/>
  <c r="AK346" i="18"/>
  <c r="AK347" i="18" s="1"/>
  <c r="AK324" i="18"/>
  <c r="AK322" i="18"/>
  <c r="AK323" i="18" s="1"/>
  <c r="AK312" i="18"/>
  <c r="AK310" i="18"/>
  <c r="AK311" i="18" s="1"/>
  <c r="AK334" i="18"/>
  <c r="AK335" i="18" s="1"/>
  <c r="AK300" i="18"/>
  <c r="AK298" i="18"/>
  <c r="AK299" i="18" s="1"/>
  <c r="AK288" i="18"/>
  <c r="AK252" i="18"/>
  <c r="AK286" i="18"/>
  <c r="AK287" i="18" s="1"/>
  <c r="AK276" i="18"/>
  <c r="AK274" i="18"/>
  <c r="AK275" i="18" s="1"/>
  <c r="AK336" i="18"/>
  <c r="AK264" i="18"/>
  <c r="AK262" i="18"/>
  <c r="AK263" i="18" s="1"/>
  <c r="BA370" i="18"/>
  <c r="BA371" i="18" s="1"/>
  <c r="BA360" i="18"/>
  <c r="BA358" i="18"/>
  <c r="BA359" i="18" s="1"/>
  <c r="BA348" i="18"/>
  <c r="BA346" i="18"/>
  <c r="BA347" i="18" s="1"/>
  <c r="BA336" i="18"/>
  <c r="BA324" i="18"/>
  <c r="BA322" i="18"/>
  <c r="BA323" i="18" s="1"/>
  <c r="BA312" i="18"/>
  <c r="BA310" i="18"/>
  <c r="BA311" i="18" s="1"/>
  <c r="BA300" i="18"/>
  <c r="BA298" i="18"/>
  <c r="BA299" i="18" s="1"/>
  <c r="BA288" i="18"/>
  <c r="BA252" i="18"/>
  <c r="BA286" i="18"/>
  <c r="BA287" i="18" s="1"/>
  <c r="BA334" i="18"/>
  <c r="BA335" i="18" s="1"/>
  <c r="BA276" i="18"/>
  <c r="BA274" i="18"/>
  <c r="BA275" i="18" s="1"/>
  <c r="BA264" i="18"/>
  <c r="BA262" i="18"/>
  <c r="BA263" i="18" s="1"/>
  <c r="M370" i="18"/>
  <c r="M371" i="18" s="1"/>
  <c r="M360" i="18"/>
  <c r="M358" i="18"/>
  <c r="M359" i="18" s="1"/>
  <c r="M348" i="18"/>
  <c r="M346" i="18"/>
  <c r="M347" i="18" s="1"/>
  <c r="M336" i="18"/>
  <c r="M324" i="18"/>
  <c r="M322" i="18"/>
  <c r="M323" i="18" s="1"/>
  <c r="M312" i="18"/>
  <c r="M310" i="18"/>
  <c r="M311" i="18" s="1"/>
  <c r="M334" i="18"/>
  <c r="M335" i="18" s="1"/>
  <c r="M300" i="18"/>
  <c r="M298" i="18"/>
  <c r="M299" i="18" s="1"/>
  <c r="M288" i="18"/>
  <c r="M252" i="18"/>
  <c r="M286" i="18"/>
  <c r="M287" i="18" s="1"/>
  <c r="M276" i="18"/>
  <c r="M274" i="18"/>
  <c r="M275" i="18" s="1"/>
  <c r="M264" i="18"/>
  <c r="M262" i="18"/>
  <c r="M263" i="18" s="1"/>
  <c r="K336" i="18"/>
  <c r="K370" i="18"/>
  <c r="K371" i="18" s="1"/>
  <c r="K360" i="18"/>
  <c r="K358" i="18"/>
  <c r="K359" i="18" s="1"/>
  <c r="K348" i="18"/>
  <c r="K334" i="18"/>
  <c r="K335" i="18" s="1"/>
  <c r="K324" i="18"/>
  <c r="K322" i="18"/>
  <c r="K323" i="18" s="1"/>
  <c r="K312" i="18"/>
  <c r="K346" i="18"/>
  <c r="K347" i="18" s="1"/>
  <c r="K310" i="18"/>
  <c r="K311" i="18" s="1"/>
  <c r="K300" i="18"/>
  <c r="K298" i="18"/>
  <c r="K299" i="18" s="1"/>
  <c r="K264" i="18"/>
  <c r="K262" i="18"/>
  <c r="K263" i="18" s="1"/>
  <c r="K252" i="18"/>
  <c r="K288" i="18"/>
  <c r="K286" i="18"/>
  <c r="K287" i="18" s="1"/>
  <c r="K274" i="18"/>
  <c r="K275" i="18" s="1"/>
  <c r="K276" i="18"/>
  <c r="V360" i="18"/>
  <c r="V358" i="18"/>
  <c r="V359" i="18" s="1"/>
  <c r="V348" i="18"/>
  <c r="V346" i="18"/>
  <c r="V347" i="18" s="1"/>
  <c r="V324" i="18"/>
  <c r="V322" i="18"/>
  <c r="V323" i="18" s="1"/>
  <c r="V310" i="18"/>
  <c r="V311" i="18" s="1"/>
  <c r="V312" i="18"/>
  <c r="V370" i="18"/>
  <c r="V371" i="18" s="1"/>
  <c r="V300" i="18"/>
  <c r="V298" i="18"/>
  <c r="V299" i="18" s="1"/>
  <c r="V336" i="18"/>
  <c r="V288" i="18"/>
  <c r="V252" i="18"/>
  <c r="V276" i="18"/>
  <c r="V274" i="18"/>
  <c r="V275" i="18" s="1"/>
  <c r="V286" i="18"/>
  <c r="V287" i="18" s="1"/>
  <c r="V264" i="18"/>
  <c r="V262" i="18"/>
  <c r="V263" i="18" s="1"/>
  <c r="V334" i="18"/>
  <c r="V335" i="18" s="1"/>
  <c r="AI336" i="18"/>
  <c r="AI370" i="18"/>
  <c r="AI371" i="18" s="1"/>
  <c r="AI360" i="18"/>
  <c r="AI358" i="18"/>
  <c r="AI359" i="18" s="1"/>
  <c r="AI348" i="18"/>
  <c r="AI334" i="18"/>
  <c r="AI335" i="18" s="1"/>
  <c r="AI324" i="18"/>
  <c r="AI322" i="18"/>
  <c r="AI323" i="18" s="1"/>
  <c r="AI346" i="18"/>
  <c r="AI347" i="18" s="1"/>
  <c r="AI312" i="18"/>
  <c r="AI300" i="18"/>
  <c r="AI298" i="18"/>
  <c r="AI299" i="18" s="1"/>
  <c r="AI310" i="18"/>
  <c r="AI311" i="18" s="1"/>
  <c r="AI288" i="18"/>
  <c r="AI264" i="18"/>
  <c r="AI262" i="18"/>
  <c r="AI263" i="18" s="1"/>
  <c r="AI252" i="18"/>
  <c r="AI286" i="18"/>
  <c r="AI287" i="18" s="1"/>
  <c r="AI274" i="18"/>
  <c r="AI275" i="18" s="1"/>
  <c r="AI276" i="18"/>
  <c r="L370" i="18"/>
  <c r="L360" i="18"/>
  <c r="L358" i="18"/>
  <c r="L348" i="18"/>
  <c r="L334" i="18"/>
  <c r="L336" i="18"/>
  <c r="L346" i="18"/>
  <c r="L324" i="18"/>
  <c r="L310" i="18"/>
  <c r="L322" i="18"/>
  <c r="L288" i="18"/>
  <c r="L264" i="18"/>
  <c r="L262" i="18"/>
  <c r="L286" i="18"/>
  <c r="L312" i="18"/>
  <c r="L298" i="18"/>
  <c r="L252" i="18"/>
  <c r="L300" i="18"/>
  <c r="L276" i="18"/>
  <c r="L274" i="18"/>
  <c r="T370" i="18"/>
  <c r="T371" i="18" s="1"/>
  <c r="T360" i="18"/>
  <c r="T358" i="18"/>
  <c r="T359" i="18" s="1"/>
  <c r="T334" i="18"/>
  <c r="T335" i="18" s="1"/>
  <c r="T346" i="18"/>
  <c r="T347" i="18" s="1"/>
  <c r="T348" i="18"/>
  <c r="T322" i="18"/>
  <c r="T323" i="18" s="1"/>
  <c r="T312" i="18"/>
  <c r="T310" i="18"/>
  <c r="T311" i="18" s="1"/>
  <c r="T324" i="18"/>
  <c r="T336" i="18"/>
  <c r="T288" i="18"/>
  <c r="T264" i="18"/>
  <c r="T262" i="18"/>
  <c r="T263" i="18" s="1"/>
  <c r="T252" i="18"/>
  <c r="T300" i="18"/>
  <c r="T286" i="18"/>
  <c r="T287" i="18" s="1"/>
  <c r="T298" i="18"/>
  <c r="T299" i="18" s="1"/>
  <c r="T276" i="18"/>
  <c r="T274" i="18"/>
  <c r="T275" i="18" s="1"/>
  <c r="I348" i="18"/>
  <c r="I346" i="18"/>
  <c r="I347" i="18" s="1"/>
  <c r="I336" i="18"/>
  <c r="I370" i="18"/>
  <c r="I371" i="18" s="1"/>
  <c r="I360" i="18"/>
  <c r="I334" i="18"/>
  <c r="I335" i="18" s="1"/>
  <c r="I358" i="18"/>
  <c r="I359" i="18" s="1"/>
  <c r="I312" i="18"/>
  <c r="I310" i="18"/>
  <c r="I311" i="18" s="1"/>
  <c r="I324" i="18"/>
  <c r="I276" i="18"/>
  <c r="I274" i="18"/>
  <c r="I275" i="18" s="1"/>
  <c r="I298" i="18"/>
  <c r="I299" i="18" s="1"/>
  <c r="I322" i="18"/>
  <c r="I323" i="18" s="1"/>
  <c r="I264" i="18"/>
  <c r="I262" i="18"/>
  <c r="I263" i="18" s="1"/>
  <c r="I300" i="18"/>
  <c r="I252" i="18"/>
  <c r="I288" i="18"/>
  <c r="I286" i="18"/>
  <c r="I287" i="18" s="1"/>
  <c r="AL360" i="18"/>
  <c r="AL358" i="18"/>
  <c r="AL359" i="18" s="1"/>
  <c r="AL348" i="18"/>
  <c r="AL346" i="18"/>
  <c r="AL347" i="18" s="1"/>
  <c r="AL324" i="18"/>
  <c r="AL322" i="18"/>
  <c r="AL323" i="18" s="1"/>
  <c r="AL370" i="18"/>
  <c r="AL371" i="18" s="1"/>
  <c r="AL334" i="18"/>
  <c r="AL335" i="18" s="1"/>
  <c r="AL310" i="18"/>
  <c r="AL311" i="18" s="1"/>
  <c r="AL300" i="18"/>
  <c r="AL298" i="18"/>
  <c r="AL299" i="18" s="1"/>
  <c r="AL336" i="18"/>
  <c r="AL288" i="18"/>
  <c r="AL252" i="18"/>
  <c r="AL276" i="18"/>
  <c r="AL274" i="18"/>
  <c r="AL275" i="18" s="1"/>
  <c r="AL286" i="18"/>
  <c r="AL287" i="18" s="1"/>
  <c r="AL312" i="18"/>
  <c r="AL264" i="18"/>
  <c r="AL262" i="18"/>
  <c r="AL263" i="18" s="1"/>
  <c r="G360" i="18"/>
  <c r="G358" i="18"/>
  <c r="G359" i="18" s="1"/>
  <c r="G348" i="18"/>
  <c r="G346" i="18"/>
  <c r="G347" i="18" s="1"/>
  <c r="G336" i="18"/>
  <c r="G370" i="18"/>
  <c r="G371" i="18" s="1"/>
  <c r="G312" i="18"/>
  <c r="G334" i="18"/>
  <c r="G335" i="18" s="1"/>
  <c r="G322" i="18"/>
  <c r="G323" i="18" s="1"/>
  <c r="G300" i="18"/>
  <c r="G298" i="18"/>
  <c r="G299" i="18" s="1"/>
  <c r="G288" i="18"/>
  <c r="G324" i="18"/>
  <c r="G286" i="18"/>
  <c r="G287" i="18" s="1"/>
  <c r="G252" i="18"/>
  <c r="G276" i="18"/>
  <c r="G274" i="18"/>
  <c r="G275" i="18" s="1"/>
  <c r="G264" i="18"/>
  <c r="G262" i="18"/>
  <c r="G263" i="18" s="1"/>
  <c r="G310" i="18"/>
  <c r="G311" i="18" s="1"/>
  <c r="J336" i="18"/>
  <c r="J370" i="18"/>
  <c r="J371" i="18" s="1"/>
  <c r="J360" i="18"/>
  <c r="J348" i="18"/>
  <c r="J334" i="18"/>
  <c r="J335" i="18" s="1"/>
  <c r="J358" i="18"/>
  <c r="J359" i="18" s="1"/>
  <c r="J288" i="18"/>
  <c r="J312" i="18"/>
  <c r="J346" i="18"/>
  <c r="J347" i="18" s="1"/>
  <c r="J324" i="18"/>
  <c r="J322" i="18"/>
  <c r="J323" i="18" s="1"/>
  <c r="J300" i="18"/>
  <c r="J298" i="18"/>
  <c r="J299" i="18" s="1"/>
  <c r="J276" i="18"/>
  <c r="J274" i="18"/>
  <c r="J275" i="18" s="1"/>
  <c r="J262" i="18"/>
  <c r="J263" i="18" s="1"/>
  <c r="J264" i="18"/>
  <c r="J252" i="18"/>
  <c r="J310" i="18"/>
  <c r="J311" i="18" s="1"/>
  <c r="J286" i="18"/>
  <c r="J287" i="18" s="1"/>
  <c r="S336" i="18"/>
  <c r="S370" i="18"/>
  <c r="S371" i="18" s="1"/>
  <c r="S360" i="18"/>
  <c r="S358" i="18"/>
  <c r="S359" i="18" s="1"/>
  <c r="S334" i="18"/>
  <c r="S335" i="18" s="1"/>
  <c r="S346" i="18"/>
  <c r="S347" i="18" s="1"/>
  <c r="S324" i="18"/>
  <c r="S322" i="18"/>
  <c r="S323" i="18" s="1"/>
  <c r="S312" i="18"/>
  <c r="S310" i="18"/>
  <c r="S311" i="18" s="1"/>
  <c r="S300" i="18"/>
  <c r="S298" i="18"/>
  <c r="S299" i="18" s="1"/>
  <c r="S288" i="18"/>
  <c r="S264" i="18"/>
  <c r="S262" i="18"/>
  <c r="S263" i="18" s="1"/>
  <c r="S252" i="18"/>
  <c r="S348" i="18"/>
  <c r="S286" i="18"/>
  <c r="S287" i="18" s="1"/>
  <c r="S276" i="18"/>
  <c r="S274" i="18"/>
  <c r="S275" i="18" s="1"/>
  <c r="AE360" i="18"/>
  <c r="AE358" i="18"/>
  <c r="AE359" i="18" s="1"/>
  <c r="AE348" i="18"/>
  <c r="AE346" i="18"/>
  <c r="AE347" i="18" s="1"/>
  <c r="AE336" i="18"/>
  <c r="AE370" i="18"/>
  <c r="AE371" i="18" s="1"/>
  <c r="AE312" i="18"/>
  <c r="AE334" i="18"/>
  <c r="AE335" i="18" s="1"/>
  <c r="AE310" i="18"/>
  <c r="AE311" i="18" s="1"/>
  <c r="AE300" i="18"/>
  <c r="AE298" i="18"/>
  <c r="AE299" i="18" s="1"/>
  <c r="AE322" i="18"/>
  <c r="AE323" i="18" s="1"/>
  <c r="AE288" i="18"/>
  <c r="AE286" i="18"/>
  <c r="AE287" i="18" s="1"/>
  <c r="AE252" i="18"/>
  <c r="AE276" i="18"/>
  <c r="AE274" i="18"/>
  <c r="AE275" i="18" s="1"/>
  <c r="AE324" i="18"/>
  <c r="AE264" i="18"/>
  <c r="AE262" i="18"/>
  <c r="AE263" i="18" s="1"/>
  <c r="AO348" i="18"/>
  <c r="AO346" i="18"/>
  <c r="AO347" i="18" s="1"/>
  <c r="AO336" i="18"/>
  <c r="AO370" i="18"/>
  <c r="AO371" i="18" s="1"/>
  <c r="AO358" i="18"/>
  <c r="AO359" i="18" s="1"/>
  <c r="AO334" i="18"/>
  <c r="AO335" i="18" s="1"/>
  <c r="AO360" i="18"/>
  <c r="AO324" i="18"/>
  <c r="AO310" i="18"/>
  <c r="AO311" i="18" s="1"/>
  <c r="AO322" i="18"/>
  <c r="AO323" i="18" s="1"/>
  <c r="AO312" i="18"/>
  <c r="AO276" i="18"/>
  <c r="AO274" i="18"/>
  <c r="AO275" i="18" s="1"/>
  <c r="AO298" i="18"/>
  <c r="AO299" i="18" s="1"/>
  <c r="AO264" i="18"/>
  <c r="AO262" i="18"/>
  <c r="AO263" i="18" s="1"/>
  <c r="AO300" i="18"/>
  <c r="AO252" i="18"/>
  <c r="AO288" i="18"/>
  <c r="AO286" i="18"/>
  <c r="AO287" i="18" s="1"/>
  <c r="AY336" i="18"/>
  <c r="AY370" i="18"/>
  <c r="AY371" i="18" s="1"/>
  <c r="AY360" i="18"/>
  <c r="AY358" i="18"/>
  <c r="AY359" i="18" s="1"/>
  <c r="AY334" i="18"/>
  <c r="AY335" i="18" s="1"/>
  <c r="AY348" i="18"/>
  <c r="AY324" i="18"/>
  <c r="AY322" i="18"/>
  <c r="AY323" i="18" s="1"/>
  <c r="AY310" i="18"/>
  <c r="AY311" i="18" s="1"/>
  <c r="AY300" i="18"/>
  <c r="AY298" i="18"/>
  <c r="AY299" i="18" s="1"/>
  <c r="AY346" i="18"/>
  <c r="AY347" i="18" s="1"/>
  <c r="AY288" i="18"/>
  <c r="AY264" i="18"/>
  <c r="AY262" i="18"/>
  <c r="AY263" i="18" s="1"/>
  <c r="AY312" i="18"/>
  <c r="AY252" i="18"/>
  <c r="AY286" i="18"/>
  <c r="AY287" i="18" s="1"/>
  <c r="AY276" i="18"/>
  <c r="AY274" i="18"/>
  <c r="AY275" i="18" s="1"/>
  <c r="BB360" i="18"/>
  <c r="BB358" i="18"/>
  <c r="BB348" i="18"/>
  <c r="BB346" i="18"/>
  <c r="BB370" i="18"/>
  <c r="BB336" i="18"/>
  <c r="BB324" i="18"/>
  <c r="BB322" i="18"/>
  <c r="BB310" i="18"/>
  <c r="BB300" i="18"/>
  <c r="BB298" i="18"/>
  <c r="BB334" i="18"/>
  <c r="BB312" i="18"/>
  <c r="BB288" i="18"/>
  <c r="BB252" i="18"/>
  <c r="BB276" i="18"/>
  <c r="BB274" i="18"/>
  <c r="BB286" i="18"/>
  <c r="BB264" i="18"/>
  <c r="BB262" i="18"/>
  <c r="O360" i="18"/>
  <c r="O358" i="18"/>
  <c r="O359" i="18" s="1"/>
  <c r="O348" i="18"/>
  <c r="O346" i="18"/>
  <c r="O347" i="18" s="1"/>
  <c r="O336" i="18"/>
  <c r="O370" i="18"/>
  <c r="O371" i="18" s="1"/>
  <c r="O312" i="18"/>
  <c r="O334" i="18"/>
  <c r="O335" i="18" s="1"/>
  <c r="O324" i="18"/>
  <c r="O300" i="18"/>
  <c r="O298" i="18"/>
  <c r="O299" i="18" s="1"/>
  <c r="O288" i="18"/>
  <c r="O286" i="18"/>
  <c r="O287" i="18" s="1"/>
  <c r="O322" i="18"/>
  <c r="O323" i="18" s="1"/>
  <c r="O276" i="18"/>
  <c r="O274" i="18"/>
  <c r="O275" i="18" s="1"/>
  <c r="O310" i="18"/>
  <c r="O311" i="18" s="1"/>
  <c r="O264" i="18"/>
  <c r="O262" i="18"/>
  <c r="O263" i="18" s="1"/>
  <c r="O252" i="18"/>
  <c r="AA336" i="18"/>
  <c r="AA370" i="18"/>
  <c r="AA371" i="18" s="1"/>
  <c r="AA360" i="18"/>
  <c r="AA358" i="18"/>
  <c r="AA359" i="18" s="1"/>
  <c r="AA346" i="18"/>
  <c r="AA347" i="18" s="1"/>
  <c r="AA334" i="18"/>
  <c r="AA335" i="18" s="1"/>
  <c r="AA348" i="18"/>
  <c r="AA324" i="18"/>
  <c r="AA322" i="18"/>
  <c r="AA323" i="18" s="1"/>
  <c r="AA310" i="18"/>
  <c r="AA311" i="18" s="1"/>
  <c r="AA300" i="18"/>
  <c r="AA298" i="18"/>
  <c r="AA299" i="18" s="1"/>
  <c r="AA312" i="18"/>
  <c r="AA264" i="18"/>
  <c r="AA262" i="18"/>
  <c r="AA263" i="18" s="1"/>
  <c r="AA252" i="18"/>
  <c r="AA288" i="18"/>
  <c r="AA286" i="18"/>
  <c r="AA287" i="18" s="1"/>
  <c r="AA274" i="18"/>
  <c r="AA275" i="18" s="1"/>
  <c r="AA276" i="18"/>
  <c r="Z336" i="18"/>
  <c r="Z370" i="18"/>
  <c r="Z371" i="18" s="1"/>
  <c r="Z346" i="18"/>
  <c r="Z347" i="18" s="1"/>
  <c r="Z360" i="18"/>
  <c r="Z334" i="18"/>
  <c r="Z335" i="18" s="1"/>
  <c r="Z288" i="18"/>
  <c r="Z324" i="18"/>
  <c r="Z348" i="18"/>
  <c r="Z300" i="18"/>
  <c r="Z298" i="18"/>
  <c r="Z299" i="18" s="1"/>
  <c r="Z322" i="18"/>
  <c r="Z323" i="18" s="1"/>
  <c r="Z276" i="18"/>
  <c r="Z274" i="18"/>
  <c r="Z275" i="18" s="1"/>
  <c r="Z262" i="18"/>
  <c r="Z263" i="18" s="1"/>
  <c r="Z310" i="18"/>
  <c r="Z311" i="18" s="1"/>
  <c r="Z264" i="18"/>
  <c r="Z252" i="18"/>
  <c r="Z358" i="18"/>
  <c r="Z359" i="18" s="1"/>
  <c r="Z312" i="18"/>
  <c r="Z286" i="18"/>
  <c r="Z287" i="18" s="1"/>
  <c r="AG348" i="18"/>
  <c r="AG346" i="18"/>
  <c r="AG347" i="18" s="1"/>
  <c r="AG336" i="18"/>
  <c r="AG370" i="18"/>
  <c r="AG371" i="18" s="1"/>
  <c r="AG360" i="18"/>
  <c r="AG334" i="18"/>
  <c r="AG335" i="18" s="1"/>
  <c r="AG358" i="18"/>
  <c r="AG359" i="18" s="1"/>
  <c r="AG322" i="18"/>
  <c r="AG323" i="18" s="1"/>
  <c r="AG312" i="18"/>
  <c r="AG324" i="18"/>
  <c r="AG310" i="18"/>
  <c r="AG311" i="18" s="1"/>
  <c r="AG276" i="18"/>
  <c r="AG274" i="18"/>
  <c r="AG275" i="18" s="1"/>
  <c r="AG298" i="18"/>
  <c r="AG299" i="18" s="1"/>
  <c r="AG288" i="18"/>
  <c r="AG264" i="18"/>
  <c r="AG262" i="18"/>
  <c r="AG263" i="18" s="1"/>
  <c r="AG252" i="18"/>
  <c r="AG286" i="18"/>
  <c r="AG287" i="18" s="1"/>
  <c r="AG300" i="18"/>
  <c r="AN348" i="18"/>
  <c r="AN346" i="18"/>
  <c r="AN347" i="18" s="1"/>
  <c r="AN336" i="18"/>
  <c r="AN370" i="18"/>
  <c r="AN371" i="18" s="1"/>
  <c r="AN312" i="18"/>
  <c r="AN310" i="18"/>
  <c r="AN311" i="18" s="1"/>
  <c r="AN358" i="18"/>
  <c r="AN359" i="18" s="1"/>
  <c r="AN360" i="18"/>
  <c r="AN334" i="18"/>
  <c r="AN335" i="18" s="1"/>
  <c r="AN300" i="18"/>
  <c r="AN298" i="18"/>
  <c r="AN299" i="18" s="1"/>
  <c r="AN324" i="18"/>
  <c r="AN286" i="18"/>
  <c r="AN287" i="18" s="1"/>
  <c r="AN264" i="18"/>
  <c r="AN276" i="18"/>
  <c r="AN274" i="18"/>
  <c r="AN275" i="18" s="1"/>
  <c r="AN262" i="18"/>
  <c r="AN263" i="18" s="1"/>
  <c r="AN322" i="18"/>
  <c r="AN323" i="18" s="1"/>
  <c r="AN252" i="18"/>
  <c r="AN288" i="18"/>
  <c r="AX336" i="18"/>
  <c r="AX370" i="18"/>
  <c r="AX346" i="18"/>
  <c r="AX360" i="18"/>
  <c r="AX334" i="18"/>
  <c r="AX348" i="18"/>
  <c r="AX312" i="18"/>
  <c r="AX288" i="18"/>
  <c r="AX324" i="18"/>
  <c r="AX358" i="18"/>
  <c r="AX310" i="18"/>
  <c r="AX322" i="18"/>
  <c r="AX300" i="18"/>
  <c r="AX298" i="18"/>
  <c r="AX276" i="18"/>
  <c r="BJ276" i="18" s="1"/>
  <c r="AX274" i="18"/>
  <c r="AX264" i="18"/>
  <c r="AX262" i="18"/>
  <c r="AX252" i="18"/>
  <c r="AX286" i="18"/>
  <c r="BC360" i="18"/>
  <c r="BC358" i="18"/>
  <c r="BC359" i="18" s="1"/>
  <c r="BC348" i="18"/>
  <c r="BC346" i="18"/>
  <c r="BC347" i="18" s="1"/>
  <c r="BC336" i="18"/>
  <c r="BC370" i="18"/>
  <c r="BC371" i="18" s="1"/>
  <c r="BC312" i="18"/>
  <c r="BC310" i="18"/>
  <c r="BC311" i="18" s="1"/>
  <c r="BC334" i="18"/>
  <c r="BC335" i="18" s="1"/>
  <c r="BC324" i="18"/>
  <c r="BC300" i="18"/>
  <c r="BC298" i="18"/>
  <c r="BC299" i="18" s="1"/>
  <c r="BC322" i="18"/>
  <c r="BC323" i="18" s="1"/>
  <c r="BC288" i="18"/>
  <c r="BC286" i="18"/>
  <c r="BC287" i="18" s="1"/>
  <c r="BC252" i="18"/>
  <c r="BC276" i="18"/>
  <c r="BC274" i="18"/>
  <c r="BC275" i="18" s="1"/>
  <c r="BC264" i="18"/>
  <c r="BC262" i="18"/>
  <c r="BC263" i="18" s="1"/>
  <c r="N360" i="18"/>
  <c r="N358" i="18"/>
  <c r="N359" i="18" s="1"/>
  <c r="N348" i="18"/>
  <c r="N346" i="18"/>
  <c r="N347" i="18" s="1"/>
  <c r="N324" i="18"/>
  <c r="N322" i="18"/>
  <c r="N323" i="18" s="1"/>
  <c r="N370" i="18"/>
  <c r="N371" i="18" s="1"/>
  <c r="N310" i="18"/>
  <c r="N311" i="18" s="1"/>
  <c r="N334" i="18"/>
  <c r="N335" i="18" s="1"/>
  <c r="N300" i="18"/>
  <c r="N298" i="18"/>
  <c r="N299" i="18" s="1"/>
  <c r="N312" i="18"/>
  <c r="N252" i="18"/>
  <c r="N276" i="18"/>
  <c r="N288" i="18"/>
  <c r="N286" i="18"/>
  <c r="N287" i="18" s="1"/>
  <c r="N274" i="18"/>
  <c r="N275" i="18" s="1"/>
  <c r="N264" i="18"/>
  <c r="N262" i="18"/>
  <c r="N263" i="18" s="1"/>
  <c r="N336" i="18"/>
  <c r="W360" i="18"/>
  <c r="W358" i="18"/>
  <c r="W359" i="18" s="1"/>
  <c r="W348" i="18"/>
  <c r="W346" i="18"/>
  <c r="W347" i="18" s="1"/>
  <c r="W336" i="18"/>
  <c r="W370" i="18"/>
  <c r="W371" i="18" s="1"/>
  <c r="W312" i="18"/>
  <c r="W334" i="18"/>
  <c r="W335" i="18" s="1"/>
  <c r="W300" i="18"/>
  <c r="W298" i="18"/>
  <c r="W299" i="18" s="1"/>
  <c r="W288" i="18"/>
  <c r="W252" i="18"/>
  <c r="W322" i="18"/>
  <c r="W323" i="18" s="1"/>
  <c r="W286" i="18"/>
  <c r="W287" i="18" s="1"/>
  <c r="W310" i="18"/>
  <c r="W311" i="18" s="1"/>
  <c r="W276" i="18"/>
  <c r="W274" i="18"/>
  <c r="W275" i="18" s="1"/>
  <c r="W264" i="18"/>
  <c r="W262" i="18"/>
  <c r="W263" i="18" s="1"/>
  <c r="W324" i="18"/>
  <c r="X348" i="18"/>
  <c r="X346" i="18"/>
  <c r="X336" i="18"/>
  <c r="X370" i="18"/>
  <c r="X312" i="18"/>
  <c r="X358" i="18"/>
  <c r="X300" i="18"/>
  <c r="X298" i="18"/>
  <c r="X324" i="18"/>
  <c r="X360" i="18"/>
  <c r="X334" i="18"/>
  <c r="X322" i="18"/>
  <c r="X310" i="18"/>
  <c r="X286" i="18"/>
  <c r="X264" i="18"/>
  <c r="X276" i="18"/>
  <c r="X274" i="18"/>
  <c r="X262" i="18"/>
  <c r="X252" i="18"/>
  <c r="X288" i="18"/>
  <c r="AV348" i="18"/>
  <c r="AV346" i="18"/>
  <c r="AV336" i="18"/>
  <c r="AV370" i="18"/>
  <c r="AV358" i="18"/>
  <c r="AV312" i="18"/>
  <c r="AV310" i="18"/>
  <c r="AV360" i="18"/>
  <c r="BI360" i="18" s="1"/>
  <c r="AV300" i="18"/>
  <c r="BI300" i="18" s="1"/>
  <c r="AV298" i="18"/>
  <c r="AV334" i="18"/>
  <c r="AV286" i="18"/>
  <c r="AV262" i="18"/>
  <c r="AV324" i="18"/>
  <c r="AV276" i="18"/>
  <c r="BI276" i="18" s="1"/>
  <c r="AV274" i="18"/>
  <c r="AV288" i="18"/>
  <c r="AV264" i="18"/>
  <c r="AV322" i="18"/>
  <c r="AV252" i="18"/>
  <c r="AJ370" i="18"/>
  <c r="AJ360" i="18"/>
  <c r="AJ358" i="18"/>
  <c r="AJ336" i="18"/>
  <c r="AJ334" i="18"/>
  <c r="AJ312" i="18"/>
  <c r="AJ324" i="18"/>
  <c r="AJ310" i="18"/>
  <c r="AJ348" i="18"/>
  <c r="AJ346" i="18"/>
  <c r="AJ322" i="18"/>
  <c r="AJ288" i="18"/>
  <c r="AJ264" i="18"/>
  <c r="AJ262" i="18"/>
  <c r="AJ252" i="18"/>
  <c r="AJ286" i="18"/>
  <c r="AJ298" i="18"/>
  <c r="AJ300" i="18"/>
  <c r="AJ276" i="18"/>
  <c r="AJ274" i="18"/>
  <c r="AD360" i="18"/>
  <c r="AD358" i="18"/>
  <c r="AD348" i="18"/>
  <c r="AD346" i="18"/>
  <c r="AD324" i="18"/>
  <c r="AD322" i="18"/>
  <c r="AD336" i="18"/>
  <c r="AD370" i="18"/>
  <c r="AD310" i="18"/>
  <c r="AD300" i="18"/>
  <c r="AD298" i="18"/>
  <c r="AD252" i="18"/>
  <c r="AD276" i="18"/>
  <c r="AD274" i="18"/>
  <c r="AD286" i="18"/>
  <c r="AD288" i="18"/>
  <c r="AD334" i="18"/>
  <c r="AD312" i="18"/>
  <c r="AD264" i="18"/>
  <c r="AD262" i="18"/>
  <c r="Y348" i="18"/>
  <c r="Y346" i="18"/>
  <c r="Y347" i="18" s="1"/>
  <c r="Y336" i="18"/>
  <c r="Y370" i="18"/>
  <c r="Y371" i="18" s="1"/>
  <c r="Y358" i="18"/>
  <c r="Y359" i="18" s="1"/>
  <c r="Y360" i="18"/>
  <c r="Y334" i="18"/>
  <c r="Y335" i="18" s="1"/>
  <c r="Y312" i="18"/>
  <c r="Y324" i="18"/>
  <c r="Y322" i="18"/>
  <c r="Y323" i="18" s="1"/>
  <c r="Y310" i="18"/>
  <c r="Y311" i="18" s="1"/>
  <c r="Y300" i="18"/>
  <c r="Y276" i="18"/>
  <c r="Y274" i="18"/>
  <c r="Y275" i="18" s="1"/>
  <c r="Y264" i="18"/>
  <c r="Y262" i="18"/>
  <c r="Y263" i="18" s="1"/>
  <c r="Y252" i="18"/>
  <c r="Y298" i="18"/>
  <c r="Y299" i="18" s="1"/>
  <c r="Y288" i="18"/>
  <c r="Y286" i="18"/>
  <c r="Y287" i="18" s="1"/>
  <c r="F360" i="18"/>
  <c r="F358" i="18"/>
  <c r="F348" i="18"/>
  <c r="F346" i="18"/>
  <c r="F324" i="18"/>
  <c r="F322" i="18"/>
  <c r="F336" i="18"/>
  <c r="F370" i="18"/>
  <c r="F310" i="18"/>
  <c r="F300" i="18"/>
  <c r="F298" i="18"/>
  <c r="F312" i="18"/>
  <c r="F334" i="18"/>
  <c r="F288" i="18"/>
  <c r="F252" i="18"/>
  <c r="F276" i="18"/>
  <c r="F274" i="18"/>
  <c r="F286" i="18"/>
  <c r="F264" i="18"/>
  <c r="F262" i="18"/>
  <c r="AM360" i="18"/>
  <c r="AM358" i="18"/>
  <c r="AM359" i="18" s="1"/>
  <c r="AM348" i="18"/>
  <c r="AM346" i="18"/>
  <c r="AM347" i="18" s="1"/>
  <c r="AM336" i="18"/>
  <c r="AM370" i="18"/>
  <c r="AM371" i="18" s="1"/>
  <c r="AM312" i="18"/>
  <c r="AM310" i="18"/>
  <c r="AM311" i="18" s="1"/>
  <c r="AM334" i="18"/>
  <c r="AM335" i="18" s="1"/>
  <c r="AM300" i="18"/>
  <c r="AM298" i="18"/>
  <c r="AM299" i="18" s="1"/>
  <c r="AM324" i="18"/>
  <c r="AM288" i="18"/>
  <c r="AM322" i="18"/>
  <c r="AM323" i="18" s="1"/>
  <c r="AM252" i="18"/>
  <c r="AM286" i="18"/>
  <c r="AM287" i="18" s="1"/>
  <c r="AM276" i="18"/>
  <c r="AM274" i="18"/>
  <c r="AM275" i="18" s="1"/>
  <c r="AM264" i="18"/>
  <c r="AM262" i="18"/>
  <c r="AM263" i="18" s="1"/>
  <c r="R336" i="18"/>
  <c r="R370" i="18"/>
  <c r="R358" i="18"/>
  <c r="R334" i="18"/>
  <c r="R360" i="18"/>
  <c r="R348" i="18"/>
  <c r="R346" i="18"/>
  <c r="R288" i="18"/>
  <c r="R322" i="18"/>
  <c r="R324" i="18"/>
  <c r="R300" i="18"/>
  <c r="R298" i="18"/>
  <c r="R312" i="18"/>
  <c r="R276" i="18"/>
  <c r="R274" i="18"/>
  <c r="R264" i="18"/>
  <c r="R262" i="18"/>
  <c r="R310" i="18"/>
  <c r="R252" i="18"/>
  <c r="R286" i="18"/>
  <c r="BD348" i="18"/>
  <c r="BM348" i="18" s="1"/>
  <c r="BD346" i="18"/>
  <c r="BD336" i="18"/>
  <c r="BD370" i="18"/>
  <c r="BD360" i="18"/>
  <c r="BD312" i="18"/>
  <c r="BD310" i="18"/>
  <c r="BD358" i="18"/>
  <c r="BD300" i="18"/>
  <c r="BD298" i="18"/>
  <c r="BD334" i="18"/>
  <c r="BD322" i="18"/>
  <c r="BD286" i="18"/>
  <c r="BD324" i="18"/>
  <c r="BD264" i="18"/>
  <c r="BD276" i="18"/>
  <c r="BD274" i="18"/>
  <c r="BD262" i="18"/>
  <c r="BD252" i="18"/>
  <c r="BD288" i="18"/>
  <c r="X130" i="18"/>
  <c r="X118" i="18"/>
  <c r="X106" i="18"/>
  <c r="X94" i="18"/>
  <c r="X82" i="18"/>
  <c r="X70" i="18"/>
  <c r="X58" i="18"/>
  <c r="X46" i="18"/>
  <c r="X34" i="18"/>
  <c r="O82" i="18"/>
  <c r="O83" i="18" s="1"/>
  <c r="O70" i="18"/>
  <c r="O71" i="18" s="1"/>
  <c r="O58" i="18"/>
  <c r="O59" i="18" s="1"/>
  <c r="O46" i="18"/>
  <c r="O47" i="18" s="1"/>
  <c r="O34" i="18"/>
  <c r="O35" i="18" s="1"/>
  <c r="O118" i="18"/>
  <c r="O119" i="18" s="1"/>
  <c r="O94" i="18"/>
  <c r="O95" i="18" s="1"/>
  <c r="O106" i="18"/>
  <c r="O107" i="18" s="1"/>
  <c r="O130" i="18"/>
  <c r="O131" i="18" s="1"/>
  <c r="AG130" i="18"/>
  <c r="AG131" i="18" s="1"/>
  <c r="AG118" i="18"/>
  <c r="AG119" i="18" s="1"/>
  <c r="AG106" i="18"/>
  <c r="AG107" i="18" s="1"/>
  <c r="AG94" i="18"/>
  <c r="AG95" i="18" s="1"/>
  <c r="AG82" i="18"/>
  <c r="AG83" i="18" s="1"/>
  <c r="AG70" i="18"/>
  <c r="AG71" i="18" s="1"/>
  <c r="AG58" i="18"/>
  <c r="AG59" i="18" s="1"/>
  <c r="AG46" i="18"/>
  <c r="AG47" i="18" s="1"/>
  <c r="AG34" i="18"/>
  <c r="AG35" i="18" s="1"/>
  <c r="AO130" i="18"/>
  <c r="AO131" i="18" s="1"/>
  <c r="AO118" i="18"/>
  <c r="AO119" i="18" s="1"/>
  <c r="AO106" i="18"/>
  <c r="AO107" i="18" s="1"/>
  <c r="AO94" i="18"/>
  <c r="AO95" i="18" s="1"/>
  <c r="AO82" i="18"/>
  <c r="AO83" i="18" s="1"/>
  <c r="AO70" i="18"/>
  <c r="AO71" i="18" s="1"/>
  <c r="AO58" i="18"/>
  <c r="AO59" i="18" s="1"/>
  <c r="AO46" i="18"/>
  <c r="AO47" i="18" s="1"/>
  <c r="AO34" i="18"/>
  <c r="AO35" i="18" s="1"/>
  <c r="R22" i="18"/>
  <c r="R130" i="18"/>
  <c r="R118" i="18"/>
  <c r="R106" i="18"/>
  <c r="R94" i="18"/>
  <c r="R82" i="18"/>
  <c r="R70" i="18"/>
  <c r="R58" i="18"/>
  <c r="R46" i="18"/>
  <c r="R34" i="18"/>
  <c r="N130" i="18"/>
  <c r="N131" i="18" s="1"/>
  <c r="N118" i="18"/>
  <c r="N119" i="18" s="1"/>
  <c r="N106" i="18"/>
  <c r="N107" i="18" s="1"/>
  <c r="N94" i="18"/>
  <c r="N95" i="18" s="1"/>
  <c r="N82" i="18"/>
  <c r="N83" i="18" s="1"/>
  <c r="N70" i="18"/>
  <c r="N71" i="18" s="1"/>
  <c r="N58" i="18"/>
  <c r="N59" i="18" s="1"/>
  <c r="N46" i="18"/>
  <c r="N47" i="18" s="1"/>
  <c r="N34" i="18"/>
  <c r="N35" i="18" s="1"/>
  <c r="W82" i="18"/>
  <c r="W83" i="18" s="1"/>
  <c r="W94" i="18"/>
  <c r="W95" i="18" s="1"/>
  <c r="W70" i="18"/>
  <c r="W71" i="18" s="1"/>
  <c r="W58" i="18"/>
  <c r="W59" i="18" s="1"/>
  <c r="W46" i="18"/>
  <c r="W47" i="18" s="1"/>
  <c r="W34" i="18"/>
  <c r="W35" i="18" s="1"/>
  <c r="W106" i="18"/>
  <c r="W107" i="18" s="1"/>
  <c r="W130" i="18"/>
  <c r="W131" i="18" s="1"/>
  <c r="W118" i="18"/>
  <c r="W119" i="18" s="1"/>
  <c r="AV22" i="18"/>
  <c r="AV130" i="18"/>
  <c r="AV118" i="18"/>
  <c r="AV106" i="18"/>
  <c r="AV94" i="18"/>
  <c r="AV82" i="18"/>
  <c r="AV58" i="18"/>
  <c r="AV46" i="18"/>
  <c r="AV34" i="18"/>
  <c r="AV70" i="18"/>
  <c r="BB130" i="18"/>
  <c r="BB118" i="18"/>
  <c r="BB106" i="18"/>
  <c r="BB94" i="18"/>
  <c r="BB82" i="18"/>
  <c r="BB70" i="18"/>
  <c r="BB58" i="18"/>
  <c r="BB46" i="18"/>
  <c r="BB34" i="18"/>
  <c r="BD22" i="18"/>
  <c r="BD130" i="18"/>
  <c r="BD118" i="18"/>
  <c r="BD106" i="18"/>
  <c r="BD94" i="18"/>
  <c r="BD82" i="18"/>
  <c r="BD58" i="18"/>
  <c r="BD46" i="18"/>
  <c r="BD34" i="18"/>
  <c r="BD70" i="18"/>
  <c r="Q130" i="18"/>
  <c r="Q131" i="18" s="1"/>
  <c r="Q118" i="18"/>
  <c r="Q119" i="18" s="1"/>
  <c r="Q106" i="18"/>
  <c r="Q107" i="18" s="1"/>
  <c r="Q94" i="18"/>
  <c r="Q95" i="18" s="1"/>
  <c r="Q82" i="18"/>
  <c r="Q83" i="18" s="1"/>
  <c r="Q70" i="18"/>
  <c r="Q71" i="18" s="1"/>
  <c r="Q58" i="18"/>
  <c r="Q59" i="18" s="1"/>
  <c r="Q46" i="18"/>
  <c r="Q47" i="18" s="1"/>
  <c r="Q34" i="18"/>
  <c r="Q35" i="18" s="1"/>
  <c r="K130" i="18"/>
  <c r="K131" i="18" s="1"/>
  <c r="K118" i="18"/>
  <c r="K119" i="18" s="1"/>
  <c r="K106" i="18"/>
  <c r="K107" i="18" s="1"/>
  <c r="K94" i="18"/>
  <c r="K95" i="18" s="1"/>
  <c r="K82" i="18"/>
  <c r="K83" i="18" s="1"/>
  <c r="K70" i="18"/>
  <c r="K71" i="18" s="1"/>
  <c r="K58" i="18"/>
  <c r="K59" i="18" s="1"/>
  <c r="K46" i="18"/>
  <c r="K47" i="18" s="1"/>
  <c r="K34" i="18"/>
  <c r="K35" i="18" s="1"/>
  <c r="V130" i="18"/>
  <c r="V131" i="18" s="1"/>
  <c r="V118" i="18"/>
  <c r="V119" i="18" s="1"/>
  <c r="V106" i="18"/>
  <c r="V107" i="18" s="1"/>
  <c r="V94" i="18"/>
  <c r="V95" i="18" s="1"/>
  <c r="V82" i="18"/>
  <c r="V83" i="18" s="1"/>
  <c r="V70" i="18"/>
  <c r="V71" i="18" s="1"/>
  <c r="V58" i="18"/>
  <c r="V59" i="18" s="1"/>
  <c r="V46" i="18"/>
  <c r="V47" i="18" s="1"/>
  <c r="V34" i="18"/>
  <c r="V35" i="18" s="1"/>
  <c r="AI130" i="18"/>
  <c r="AI131" i="18" s="1"/>
  <c r="AI118" i="18"/>
  <c r="AI119" i="18" s="1"/>
  <c r="AI106" i="18"/>
  <c r="AI107" i="18" s="1"/>
  <c r="AI94" i="18"/>
  <c r="AI95" i="18" s="1"/>
  <c r="AI82" i="18"/>
  <c r="AI83" i="18" s="1"/>
  <c r="AI70" i="18"/>
  <c r="AI71" i="18" s="1"/>
  <c r="AI58" i="18"/>
  <c r="AI59" i="18" s="1"/>
  <c r="AI46" i="18"/>
  <c r="AI47" i="18" s="1"/>
  <c r="AI34" i="18"/>
  <c r="AI35" i="18" s="1"/>
  <c r="AD130" i="18"/>
  <c r="AD118" i="18"/>
  <c r="AD106" i="18"/>
  <c r="AD94" i="18"/>
  <c r="AD82" i="18"/>
  <c r="AD70" i="18"/>
  <c r="AD58" i="18"/>
  <c r="AD46" i="18"/>
  <c r="AD34" i="18"/>
  <c r="BA130" i="18"/>
  <c r="BA131" i="18" s="1"/>
  <c r="BA118" i="18"/>
  <c r="BA119" i="18" s="1"/>
  <c r="BA106" i="18"/>
  <c r="BA107" i="18" s="1"/>
  <c r="BA94" i="18"/>
  <c r="BA95" i="18" s="1"/>
  <c r="BA82" i="18"/>
  <c r="BA83" i="18" s="1"/>
  <c r="BA70" i="18"/>
  <c r="BA71" i="18" s="1"/>
  <c r="BA46" i="18"/>
  <c r="BA47" i="18" s="1"/>
  <c r="BA34" i="18"/>
  <c r="BA35" i="18" s="1"/>
  <c r="BA58" i="18"/>
  <c r="BA59" i="18" s="1"/>
  <c r="BE130" i="18"/>
  <c r="BE131" i="18" s="1"/>
  <c r="BE118" i="18"/>
  <c r="BE119" i="18" s="1"/>
  <c r="BE106" i="18"/>
  <c r="BE107" i="18" s="1"/>
  <c r="BE94" i="18"/>
  <c r="BE95" i="18" s="1"/>
  <c r="BE82" i="18"/>
  <c r="BE83" i="18" s="1"/>
  <c r="BE70" i="18"/>
  <c r="BE71" i="18" s="1"/>
  <c r="BE46" i="18"/>
  <c r="BE47" i="18" s="1"/>
  <c r="BE58" i="18"/>
  <c r="BE59" i="18" s="1"/>
  <c r="BE34" i="18"/>
  <c r="BE35" i="18" s="1"/>
  <c r="H130" i="18"/>
  <c r="H131" i="18" s="1"/>
  <c r="H118" i="18"/>
  <c r="H119" i="18" s="1"/>
  <c r="H106" i="18"/>
  <c r="H107" i="18" s="1"/>
  <c r="H94" i="18"/>
  <c r="H95" i="18" s="1"/>
  <c r="H82" i="18"/>
  <c r="H83" i="18" s="1"/>
  <c r="H70" i="18"/>
  <c r="H71" i="18" s="1"/>
  <c r="H58" i="18"/>
  <c r="H59" i="18" s="1"/>
  <c r="H46" i="18"/>
  <c r="H47" i="18" s="1"/>
  <c r="H34" i="18"/>
  <c r="H35" i="18" s="1"/>
  <c r="AM106" i="18"/>
  <c r="AM107" i="18" s="1"/>
  <c r="AM118" i="18"/>
  <c r="AM119" i="18" s="1"/>
  <c r="AM70" i="18"/>
  <c r="AM71" i="18" s="1"/>
  <c r="AM58" i="18"/>
  <c r="AM59" i="18" s="1"/>
  <c r="AM46" i="18"/>
  <c r="AM47" i="18" s="1"/>
  <c r="AM34" i="18"/>
  <c r="AM35" i="18" s="1"/>
  <c r="AM130" i="18"/>
  <c r="AM131" i="18" s="1"/>
  <c r="AM94" i="18"/>
  <c r="AM95" i="18" s="1"/>
  <c r="AM82" i="18"/>
  <c r="AM83" i="18" s="1"/>
  <c r="AB130" i="18"/>
  <c r="AB131" i="18" s="1"/>
  <c r="AB118" i="18"/>
  <c r="AB119" i="18" s="1"/>
  <c r="AB106" i="18"/>
  <c r="AB107" i="18" s="1"/>
  <c r="AB94" i="18"/>
  <c r="AB95" i="18" s="1"/>
  <c r="AB82" i="18"/>
  <c r="AB83" i="18" s="1"/>
  <c r="AB70" i="18"/>
  <c r="AB71" i="18" s="1"/>
  <c r="AB34" i="18"/>
  <c r="AB35" i="18" s="1"/>
  <c r="AB46" i="18"/>
  <c r="AB47" i="18" s="1"/>
  <c r="AB58" i="18"/>
  <c r="AB59" i="18" s="1"/>
  <c r="T130" i="18"/>
  <c r="T131" i="18" s="1"/>
  <c r="T118" i="18"/>
  <c r="T119" i="18" s="1"/>
  <c r="T106" i="18"/>
  <c r="T107" i="18" s="1"/>
  <c r="T94" i="18"/>
  <c r="T95" i="18" s="1"/>
  <c r="T82" i="18"/>
  <c r="T83" i="18" s="1"/>
  <c r="T70" i="18"/>
  <c r="T71" i="18" s="1"/>
  <c r="T58" i="18"/>
  <c r="T59" i="18" s="1"/>
  <c r="T34" i="18"/>
  <c r="T35" i="18" s="1"/>
  <c r="T46" i="18"/>
  <c r="T47" i="18" s="1"/>
  <c r="AF130" i="18"/>
  <c r="AF131" i="18" s="1"/>
  <c r="AF118" i="18"/>
  <c r="AF119" i="18" s="1"/>
  <c r="AF106" i="18"/>
  <c r="AF107" i="18" s="1"/>
  <c r="AF94" i="18"/>
  <c r="AF95" i="18" s="1"/>
  <c r="AF82" i="18"/>
  <c r="AF83" i="18" s="1"/>
  <c r="AF70" i="18"/>
  <c r="AF71" i="18" s="1"/>
  <c r="AF58" i="18"/>
  <c r="AF59" i="18" s="1"/>
  <c r="AF46" i="18"/>
  <c r="AF47" i="18" s="1"/>
  <c r="AF34" i="18"/>
  <c r="AF35" i="18" s="1"/>
  <c r="AN130" i="18"/>
  <c r="AN131" i="18" s="1"/>
  <c r="AN118" i="18"/>
  <c r="AN119" i="18" s="1"/>
  <c r="AN106" i="18"/>
  <c r="AN107" i="18" s="1"/>
  <c r="AN94" i="18"/>
  <c r="AN95" i="18" s="1"/>
  <c r="AN82" i="18"/>
  <c r="AN83" i="18" s="1"/>
  <c r="AN70" i="18"/>
  <c r="AN71" i="18" s="1"/>
  <c r="AN58" i="18"/>
  <c r="AN59" i="18" s="1"/>
  <c r="AN46" i="18"/>
  <c r="AN47" i="18" s="1"/>
  <c r="AN34" i="18"/>
  <c r="AN35" i="18" s="1"/>
  <c r="AW22" i="18"/>
  <c r="AW130" i="18"/>
  <c r="AW131" i="18" s="1"/>
  <c r="AW118" i="18"/>
  <c r="AW119" i="18" s="1"/>
  <c r="AW106" i="18"/>
  <c r="AW107" i="18" s="1"/>
  <c r="AW94" i="18"/>
  <c r="AW95" i="18" s="1"/>
  <c r="AW82" i="18"/>
  <c r="AW83" i="18" s="1"/>
  <c r="AW70" i="18"/>
  <c r="AW71" i="18" s="1"/>
  <c r="AW58" i="18"/>
  <c r="AW59" i="18" s="1"/>
  <c r="AW46" i="18"/>
  <c r="AW47" i="18" s="1"/>
  <c r="AW34" i="18"/>
  <c r="AW35" i="18" s="1"/>
  <c r="I22" i="18"/>
  <c r="I130" i="18"/>
  <c r="I131" i="18" s="1"/>
  <c r="I118" i="18"/>
  <c r="I119" i="18" s="1"/>
  <c r="I106" i="18"/>
  <c r="I107" i="18" s="1"/>
  <c r="I94" i="18"/>
  <c r="I95" i="18" s="1"/>
  <c r="I82" i="18"/>
  <c r="I83" i="18" s="1"/>
  <c r="I70" i="18"/>
  <c r="I71" i="18" s="1"/>
  <c r="I58" i="18"/>
  <c r="I59" i="18" s="1"/>
  <c r="I34" i="18"/>
  <c r="I35" i="18" s="1"/>
  <c r="I46" i="18"/>
  <c r="I47" i="18" s="1"/>
  <c r="AC130" i="18"/>
  <c r="AC131" i="18" s="1"/>
  <c r="AC118" i="18"/>
  <c r="AC119" i="18" s="1"/>
  <c r="AC106" i="18"/>
  <c r="AC107" i="18" s="1"/>
  <c r="AC94" i="18"/>
  <c r="AC95" i="18" s="1"/>
  <c r="AC82" i="18"/>
  <c r="AC83" i="18" s="1"/>
  <c r="AC58" i="18"/>
  <c r="AC59" i="18" s="1"/>
  <c r="AC34" i="18"/>
  <c r="AC35" i="18" s="1"/>
  <c r="AC46" i="18"/>
  <c r="AC47" i="18" s="1"/>
  <c r="AC70" i="18"/>
  <c r="AC71" i="18" s="1"/>
  <c r="Z130" i="18"/>
  <c r="Z131" i="18" s="1"/>
  <c r="Z118" i="18"/>
  <c r="Z119" i="18" s="1"/>
  <c r="Z106" i="18"/>
  <c r="Z107" i="18" s="1"/>
  <c r="Z94" i="18"/>
  <c r="Z95" i="18" s="1"/>
  <c r="Z82" i="18"/>
  <c r="Z83" i="18" s="1"/>
  <c r="Z70" i="18"/>
  <c r="Z71" i="18" s="1"/>
  <c r="Z58" i="18"/>
  <c r="Z59" i="18" s="1"/>
  <c r="Z46" i="18"/>
  <c r="Z47" i="18" s="1"/>
  <c r="Z34" i="18"/>
  <c r="Z35" i="18" s="1"/>
  <c r="AH130" i="18"/>
  <c r="AH131" i="18" s="1"/>
  <c r="AH118" i="18"/>
  <c r="AH119" i="18" s="1"/>
  <c r="AH106" i="18"/>
  <c r="AH107" i="18" s="1"/>
  <c r="AH94" i="18"/>
  <c r="AH95" i="18" s="1"/>
  <c r="AH82" i="18"/>
  <c r="AH83" i="18" s="1"/>
  <c r="AH70" i="18"/>
  <c r="AH71" i="18" s="1"/>
  <c r="AH58" i="18"/>
  <c r="AH59" i="18" s="1"/>
  <c r="AH46" i="18"/>
  <c r="AH47" i="18" s="1"/>
  <c r="AH34" i="18"/>
  <c r="AH35" i="18" s="1"/>
  <c r="AL130" i="18"/>
  <c r="AL131" i="18" s="1"/>
  <c r="AL118" i="18"/>
  <c r="AL119" i="18" s="1"/>
  <c r="AL106" i="18"/>
  <c r="AL107" i="18" s="1"/>
  <c r="AL94" i="18"/>
  <c r="AL95" i="18" s="1"/>
  <c r="AL82" i="18"/>
  <c r="AL83" i="18" s="1"/>
  <c r="AL70" i="18"/>
  <c r="AL71" i="18" s="1"/>
  <c r="AL58" i="18"/>
  <c r="AL59" i="18" s="1"/>
  <c r="AL46" i="18"/>
  <c r="AL47" i="18" s="1"/>
  <c r="AL34" i="18"/>
  <c r="AL35" i="18" s="1"/>
  <c r="AJ22" i="18"/>
  <c r="AJ130" i="18"/>
  <c r="AJ118" i="18"/>
  <c r="AJ106" i="18"/>
  <c r="AJ94" i="18"/>
  <c r="AJ82" i="18"/>
  <c r="AJ58" i="18"/>
  <c r="AJ70" i="18"/>
  <c r="AJ34" i="18"/>
  <c r="AJ46" i="18"/>
  <c r="AY130" i="18"/>
  <c r="AY131" i="18" s="1"/>
  <c r="AY118" i="18"/>
  <c r="AY119" i="18" s="1"/>
  <c r="AY106" i="18"/>
  <c r="AY107" i="18" s="1"/>
  <c r="AY94" i="18"/>
  <c r="AY95" i="18" s="1"/>
  <c r="AY82" i="18"/>
  <c r="AY83" i="18" s="1"/>
  <c r="AY58" i="18"/>
  <c r="AY59" i="18" s="1"/>
  <c r="AY46" i="18"/>
  <c r="AY47" i="18" s="1"/>
  <c r="AY34" i="18"/>
  <c r="AY35" i="18" s="1"/>
  <c r="AY70" i="18"/>
  <c r="AY71" i="18" s="1"/>
  <c r="BC22" i="18"/>
  <c r="BC130" i="18"/>
  <c r="BC131" i="18" s="1"/>
  <c r="BC58" i="18"/>
  <c r="BC59" i="18" s="1"/>
  <c r="BC46" i="18"/>
  <c r="BC47" i="18" s="1"/>
  <c r="BC34" i="18"/>
  <c r="BC35" i="18" s="1"/>
  <c r="BC82" i="18"/>
  <c r="BC83" i="18" s="1"/>
  <c r="BC94" i="18"/>
  <c r="BC95" i="18" s="1"/>
  <c r="BC70" i="18"/>
  <c r="BC71" i="18" s="1"/>
  <c r="BC118" i="18"/>
  <c r="BC119" i="18" s="1"/>
  <c r="BC106" i="18"/>
  <c r="BC107" i="18" s="1"/>
  <c r="M130" i="18"/>
  <c r="M131" i="18" s="1"/>
  <c r="M118" i="18"/>
  <c r="M119" i="18" s="1"/>
  <c r="M106" i="18"/>
  <c r="M107" i="18" s="1"/>
  <c r="M94" i="18"/>
  <c r="M95" i="18" s="1"/>
  <c r="M82" i="18"/>
  <c r="M83" i="18" s="1"/>
  <c r="M46" i="18"/>
  <c r="M47" i="18" s="1"/>
  <c r="M34" i="18"/>
  <c r="M35" i="18" s="1"/>
  <c r="M70" i="18"/>
  <c r="M71" i="18" s="1"/>
  <c r="M58" i="18"/>
  <c r="M59" i="18" s="1"/>
  <c r="L22" i="18"/>
  <c r="L130" i="18"/>
  <c r="L118" i="18"/>
  <c r="L106" i="18"/>
  <c r="L94" i="18"/>
  <c r="L82" i="18"/>
  <c r="L70" i="18"/>
  <c r="L34" i="18"/>
  <c r="L58" i="18"/>
  <c r="L46" i="18"/>
  <c r="G70" i="18"/>
  <c r="G71" i="18" s="1"/>
  <c r="G58" i="18"/>
  <c r="G59" i="18" s="1"/>
  <c r="G46" i="18"/>
  <c r="G47" i="18" s="1"/>
  <c r="G34" i="18"/>
  <c r="G35" i="18" s="1"/>
  <c r="G82" i="18"/>
  <c r="G83" i="18" s="1"/>
  <c r="G106" i="18"/>
  <c r="G107" i="18" s="1"/>
  <c r="G94" i="18"/>
  <c r="G95" i="18" s="1"/>
  <c r="G118" i="18"/>
  <c r="G119" i="18" s="1"/>
  <c r="G130" i="18"/>
  <c r="G131" i="18" s="1"/>
  <c r="P130" i="18"/>
  <c r="P131" i="18" s="1"/>
  <c r="P118" i="18"/>
  <c r="P119" i="18" s="1"/>
  <c r="P106" i="18"/>
  <c r="P107" i="18" s="1"/>
  <c r="P94" i="18"/>
  <c r="P95" i="18" s="1"/>
  <c r="P82" i="18"/>
  <c r="P83" i="18" s="1"/>
  <c r="P70" i="18"/>
  <c r="P71" i="18" s="1"/>
  <c r="P58" i="18"/>
  <c r="P59" i="18" s="1"/>
  <c r="P46" i="18"/>
  <c r="P47" i="18" s="1"/>
  <c r="P34" i="18"/>
  <c r="P35" i="18" s="1"/>
  <c r="U22" i="18"/>
  <c r="U23" i="18" s="1"/>
  <c r="U130" i="18"/>
  <c r="U131" i="18" s="1"/>
  <c r="U118" i="18"/>
  <c r="U119" i="18" s="1"/>
  <c r="U106" i="18"/>
  <c r="U107" i="18" s="1"/>
  <c r="U94" i="18"/>
  <c r="U95" i="18" s="1"/>
  <c r="U82" i="18"/>
  <c r="U83" i="18" s="1"/>
  <c r="U70" i="18"/>
  <c r="U71" i="18" s="1"/>
  <c r="U58" i="18"/>
  <c r="U59" i="18" s="1"/>
  <c r="U46" i="18"/>
  <c r="U47" i="18" s="1"/>
  <c r="U34" i="18"/>
  <c r="U35" i="18" s="1"/>
  <c r="AX22" i="18"/>
  <c r="AX130" i="18"/>
  <c r="AX118" i="18"/>
  <c r="AX106" i="18"/>
  <c r="AX94" i="18"/>
  <c r="AX82" i="18"/>
  <c r="AX70" i="18"/>
  <c r="AX58" i="18"/>
  <c r="AX46" i="18"/>
  <c r="AX34" i="18"/>
  <c r="AA130" i="18"/>
  <c r="AA131" i="18" s="1"/>
  <c r="AA118" i="18"/>
  <c r="AA119" i="18" s="1"/>
  <c r="AA106" i="18"/>
  <c r="AA107" i="18" s="1"/>
  <c r="AA94" i="18"/>
  <c r="AA95" i="18" s="1"/>
  <c r="AA82" i="18"/>
  <c r="AA83" i="18" s="1"/>
  <c r="AA70" i="18"/>
  <c r="AA71" i="18" s="1"/>
  <c r="AA58" i="18"/>
  <c r="AA59" i="18" s="1"/>
  <c r="AA46" i="18"/>
  <c r="AA47" i="18" s="1"/>
  <c r="AA34" i="18"/>
  <c r="AA35" i="18" s="1"/>
  <c r="Y22" i="18"/>
  <c r="Y130" i="18"/>
  <c r="Y131" i="18" s="1"/>
  <c r="Y118" i="18"/>
  <c r="Y119" i="18" s="1"/>
  <c r="Y106" i="18"/>
  <c r="Y107" i="18" s="1"/>
  <c r="Y94" i="18"/>
  <c r="Y95" i="18" s="1"/>
  <c r="Y82" i="18"/>
  <c r="Y83" i="18" s="1"/>
  <c r="Y58" i="18"/>
  <c r="Y59" i="18" s="1"/>
  <c r="Y70" i="18"/>
  <c r="Y71" i="18" s="1"/>
  <c r="Y46" i="18"/>
  <c r="Y47" i="18" s="1"/>
  <c r="Y34" i="18"/>
  <c r="Y35" i="18" s="1"/>
  <c r="J130" i="18"/>
  <c r="J131" i="18" s="1"/>
  <c r="J118" i="18"/>
  <c r="J119" i="18" s="1"/>
  <c r="J106" i="18"/>
  <c r="J107" i="18" s="1"/>
  <c r="J94" i="18"/>
  <c r="J95" i="18" s="1"/>
  <c r="J82" i="18"/>
  <c r="J83" i="18" s="1"/>
  <c r="J70" i="18"/>
  <c r="J71" i="18" s="1"/>
  <c r="J58" i="18"/>
  <c r="J59" i="18" s="1"/>
  <c r="J46" i="18"/>
  <c r="J47" i="18" s="1"/>
  <c r="J34" i="18"/>
  <c r="J35" i="18" s="1"/>
  <c r="S22" i="18"/>
  <c r="S130" i="18"/>
  <c r="S131" i="18" s="1"/>
  <c r="S118" i="18"/>
  <c r="S119" i="18" s="1"/>
  <c r="S106" i="18"/>
  <c r="S107" i="18" s="1"/>
  <c r="S94" i="18"/>
  <c r="S95" i="18" s="1"/>
  <c r="S82" i="18"/>
  <c r="S83" i="18" s="1"/>
  <c r="S70" i="18"/>
  <c r="S71" i="18" s="1"/>
  <c r="S58" i="18"/>
  <c r="S59" i="18" s="1"/>
  <c r="S46" i="18"/>
  <c r="S47" i="18" s="1"/>
  <c r="S34" i="18"/>
  <c r="S35" i="18" s="1"/>
  <c r="F130" i="18"/>
  <c r="F118" i="18"/>
  <c r="F106" i="18"/>
  <c r="F94" i="18"/>
  <c r="F82" i="18"/>
  <c r="F70" i="18"/>
  <c r="F58" i="18"/>
  <c r="F46" i="18"/>
  <c r="F34" i="18"/>
  <c r="AE94" i="18"/>
  <c r="AE95" i="18" s="1"/>
  <c r="AE106" i="18"/>
  <c r="AE107" i="18" s="1"/>
  <c r="AE70" i="18"/>
  <c r="AE71" i="18" s="1"/>
  <c r="AE58" i="18"/>
  <c r="AE59" i="18" s="1"/>
  <c r="AE46" i="18"/>
  <c r="AE47" i="18" s="1"/>
  <c r="AE34" i="18"/>
  <c r="AE35" i="18" s="1"/>
  <c r="AE118" i="18"/>
  <c r="AE119" i="18" s="1"/>
  <c r="AE130" i="18"/>
  <c r="AE131" i="18" s="1"/>
  <c r="AE82" i="18"/>
  <c r="AE83" i="18" s="1"/>
  <c r="AK130" i="18"/>
  <c r="AK131" i="18" s="1"/>
  <c r="AK118" i="18"/>
  <c r="AK119" i="18" s="1"/>
  <c r="AK106" i="18"/>
  <c r="AK107" i="18" s="1"/>
  <c r="AK94" i="18"/>
  <c r="AK95" i="18" s="1"/>
  <c r="AK82" i="18"/>
  <c r="AK83" i="18" s="1"/>
  <c r="AK46" i="18"/>
  <c r="AK47" i="18" s="1"/>
  <c r="AK58" i="18"/>
  <c r="AK59" i="18" s="1"/>
  <c r="AK34" i="18"/>
  <c r="AK35" i="18" s="1"/>
  <c r="AK70" i="18"/>
  <c r="AK71" i="18" s="1"/>
  <c r="AZ130" i="18"/>
  <c r="AZ118" i="18"/>
  <c r="AZ106" i="18"/>
  <c r="AZ94" i="18"/>
  <c r="AZ82" i="18"/>
  <c r="AZ70" i="18"/>
  <c r="AZ58" i="18"/>
  <c r="AZ46" i="18"/>
  <c r="AZ34" i="18"/>
  <c r="BA48" i="18"/>
  <c r="BA22" i="18"/>
  <c r="BE60" i="18"/>
  <c r="BE22" i="18"/>
  <c r="BB36" i="18"/>
  <c r="BB22" i="18"/>
  <c r="AY72" i="18"/>
  <c r="AY22" i="18"/>
  <c r="AZ48" i="18"/>
  <c r="BK48" i="18" s="1"/>
  <c r="AZ22" i="18"/>
  <c r="AO120" i="18"/>
  <c r="AO22" i="18"/>
  <c r="W120" i="18"/>
  <c r="W22" i="18"/>
  <c r="X22" i="18"/>
  <c r="AM22" i="18"/>
  <c r="AA12" i="18"/>
  <c r="AA22" i="18"/>
  <c r="K12" i="18"/>
  <c r="K22" i="18"/>
  <c r="V96" i="18"/>
  <c r="V22" i="18"/>
  <c r="AI120" i="18"/>
  <c r="AI22" i="18"/>
  <c r="AD96" i="18"/>
  <c r="AD22" i="18"/>
  <c r="AG22" i="18"/>
  <c r="H22" i="18"/>
  <c r="H23" i="18" s="1"/>
  <c r="M22" i="18"/>
  <c r="Q120" i="18"/>
  <c r="Q22" i="18"/>
  <c r="AB72" i="18"/>
  <c r="AB22" i="18"/>
  <c r="T22" i="18"/>
  <c r="T23" i="18" s="1"/>
  <c r="AF84" i="18"/>
  <c r="AF22" i="18"/>
  <c r="AN120" i="18"/>
  <c r="AN22" i="18"/>
  <c r="O108" i="18"/>
  <c r="O22" i="18"/>
  <c r="AC22" i="18"/>
  <c r="Z72" i="18"/>
  <c r="Z22" i="18"/>
  <c r="AH36" i="18"/>
  <c r="AH22" i="18"/>
  <c r="AL108" i="18"/>
  <c r="AL22" i="18"/>
  <c r="G72" i="18"/>
  <c r="G22" i="18"/>
  <c r="N120" i="18"/>
  <c r="N22" i="18"/>
  <c r="P36" i="18"/>
  <c r="P22" i="18"/>
  <c r="J108" i="18"/>
  <c r="J22" i="18"/>
  <c r="J23" i="18" s="1"/>
  <c r="AE96" i="18"/>
  <c r="AE22" i="18"/>
  <c r="AK60" i="18"/>
  <c r="AK22" i="18"/>
  <c r="F22" i="18"/>
  <c r="BM11" i="18"/>
  <c r="BI11" i="18"/>
  <c r="AK12" i="18"/>
  <c r="T48" i="18"/>
  <c r="AI12" i="18"/>
  <c r="K60" i="18"/>
  <c r="T12" i="18"/>
  <c r="G84" i="18"/>
  <c r="AG96" i="18"/>
  <c r="AL96" i="18"/>
  <c r="AM120" i="18"/>
  <c r="H36" i="18"/>
  <c r="AA48" i="18"/>
  <c r="O36" i="18"/>
  <c r="AA96" i="18"/>
  <c r="AC12" i="18"/>
  <c r="AH48" i="18"/>
  <c r="AL48" i="18"/>
  <c r="AB12" i="18"/>
  <c r="O84" i="18"/>
  <c r="AA24" i="18"/>
  <c r="AA72" i="18"/>
  <c r="AC48" i="18"/>
  <c r="AL36" i="18"/>
  <c r="M84" i="18"/>
  <c r="AA108" i="18"/>
  <c r="AC96" i="18"/>
  <c r="AI48" i="18"/>
  <c r="AL60" i="18"/>
  <c r="M108" i="18"/>
  <c r="AA36" i="18"/>
  <c r="P72" i="18"/>
  <c r="AU11" i="18"/>
  <c r="P84" i="18"/>
  <c r="T84" i="18"/>
  <c r="AC108" i="18"/>
  <c r="AG60" i="18"/>
  <c r="AK72" i="18"/>
  <c r="BA24" i="18"/>
  <c r="AH72" i="18"/>
  <c r="AM84" i="18"/>
  <c r="P12" i="18"/>
  <c r="O72" i="18"/>
  <c r="M96" i="18"/>
  <c r="T24" i="18"/>
  <c r="AC72" i="18"/>
  <c r="AL12" i="18"/>
  <c r="AO108" i="18"/>
  <c r="AO72" i="18"/>
  <c r="J24" i="18"/>
  <c r="AF96" i="18"/>
  <c r="AH108" i="18"/>
  <c r="AM60" i="18"/>
  <c r="AB48" i="18"/>
  <c r="J96" i="18"/>
  <c r="K24" i="18"/>
  <c r="AH84" i="18"/>
  <c r="AG120" i="18"/>
  <c r="AM48" i="18"/>
  <c r="AF12" i="18"/>
  <c r="AO48" i="18"/>
  <c r="AO84" i="18"/>
  <c r="G108" i="18"/>
  <c r="K84" i="18"/>
  <c r="AC60" i="18"/>
  <c r="AH12" i="18"/>
  <c r="AG12" i="18"/>
  <c r="AM36" i="18"/>
  <c r="AK96" i="18"/>
  <c r="AO12" i="18"/>
  <c r="AN60" i="18"/>
  <c r="BJ11" i="18"/>
  <c r="Z60" i="18"/>
  <c r="G96" i="18"/>
  <c r="H12" i="18"/>
  <c r="Q24" i="18"/>
  <c r="AB24" i="18"/>
  <c r="O48" i="18"/>
  <c r="N60" i="18"/>
  <c r="M48" i="18"/>
  <c r="K120" i="18"/>
  <c r="U12" i="18"/>
  <c r="Z36" i="18"/>
  <c r="Z24" i="18"/>
  <c r="Z12" i="18"/>
  <c r="Z48" i="18"/>
  <c r="G120" i="18"/>
  <c r="G24" i="18"/>
  <c r="H84" i="18"/>
  <c r="Q96" i="18"/>
  <c r="AB96" i="18"/>
  <c r="K72" i="18"/>
  <c r="V48" i="18"/>
  <c r="V108" i="18"/>
  <c r="V84" i="18"/>
  <c r="V24" i="18"/>
  <c r="S120" i="18"/>
  <c r="S48" i="18"/>
  <c r="H96" i="18"/>
  <c r="Q108" i="18"/>
  <c r="AB60" i="18"/>
  <c r="L108" i="18"/>
  <c r="L24" i="18"/>
  <c r="W60" i="18"/>
  <c r="W84" i="18"/>
  <c r="W36" i="18"/>
  <c r="W72" i="18"/>
  <c r="W24" i="18"/>
  <c r="V120" i="18"/>
  <c r="S108" i="18"/>
  <c r="Q60" i="18"/>
  <c r="Q84" i="18"/>
  <c r="AB84" i="18"/>
  <c r="W108" i="18"/>
  <c r="V72" i="18"/>
  <c r="S96" i="18"/>
  <c r="G12" i="18"/>
  <c r="G60" i="18"/>
  <c r="H24" i="18"/>
  <c r="Q48" i="18"/>
  <c r="AB108" i="18"/>
  <c r="P60" i="18"/>
  <c r="O96" i="18"/>
  <c r="M12" i="18"/>
  <c r="K108" i="18"/>
  <c r="W12" i="18"/>
  <c r="G48" i="18"/>
  <c r="H48" i="18"/>
  <c r="G36" i="18"/>
  <c r="Q12" i="18"/>
  <c r="Q72" i="18"/>
  <c r="AB120" i="18"/>
  <c r="O60" i="18"/>
  <c r="M120" i="18"/>
  <c r="K48" i="18"/>
  <c r="W48" i="18"/>
  <c r="AN72" i="18"/>
  <c r="BK11" i="18"/>
  <c r="BA120" i="18"/>
  <c r="AA60" i="18"/>
  <c r="T96" i="18"/>
  <c r="AC24" i="18"/>
  <c r="AH120" i="18"/>
  <c r="AG72" i="18"/>
  <c r="AM72" i="18"/>
  <c r="AF48" i="18"/>
  <c r="AL84" i="18"/>
  <c r="AK84" i="18"/>
  <c r="AO24" i="18"/>
  <c r="AY12" i="18"/>
  <c r="BA36" i="18"/>
  <c r="T72" i="18"/>
  <c r="AF120" i="18"/>
  <c r="BA12" i="18"/>
  <c r="AG24" i="18"/>
  <c r="BA72" i="18"/>
  <c r="BB60" i="18"/>
  <c r="AH60" i="18"/>
  <c r="AG36" i="18"/>
  <c r="AM12" i="18"/>
  <c r="AI36" i="18"/>
  <c r="AL120" i="18"/>
  <c r="AO96" i="18"/>
  <c r="AN12" i="18"/>
  <c r="BA60" i="18"/>
  <c r="AS11" i="18"/>
  <c r="I84" i="18"/>
  <c r="I72" i="18"/>
  <c r="I36" i="18"/>
  <c r="I48" i="18"/>
  <c r="I12" i="18"/>
  <c r="I24" i="18"/>
  <c r="I96" i="18"/>
  <c r="I120" i="18"/>
  <c r="Y24" i="18"/>
  <c r="Y72" i="18"/>
  <c r="Y60" i="18"/>
  <c r="Y48" i="18"/>
  <c r="Y108" i="18"/>
  <c r="Y84" i="18"/>
  <c r="Y36" i="18"/>
  <c r="Y96" i="18"/>
  <c r="Y12" i="18"/>
  <c r="I60" i="18"/>
  <c r="Y120" i="18"/>
  <c r="I108" i="18"/>
  <c r="N12" i="18"/>
  <c r="N108" i="18"/>
  <c r="N36" i="18"/>
  <c r="N84" i="18"/>
  <c r="N24" i="18"/>
  <c r="N96" i="18"/>
  <c r="N48" i="18"/>
  <c r="N72" i="18"/>
  <c r="AP11" i="18"/>
  <c r="F60" i="18"/>
  <c r="F96" i="18"/>
  <c r="F24" i="18"/>
  <c r="F36" i="18"/>
  <c r="F48" i="18"/>
  <c r="F120" i="18"/>
  <c r="F108" i="18"/>
  <c r="F72" i="18"/>
  <c r="F12" i="18"/>
  <c r="F84" i="18"/>
  <c r="H60" i="18"/>
  <c r="Q36" i="18"/>
  <c r="AB36" i="18"/>
  <c r="P48" i="18"/>
  <c r="J72" i="18"/>
  <c r="J84" i="18"/>
  <c r="O120" i="18"/>
  <c r="M72" i="18"/>
  <c r="K96" i="18"/>
  <c r="V12" i="18"/>
  <c r="T36" i="18"/>
  <c r="AC120" i="18"/>
  <c r="U60" i="18"/>
  <c r="S36" i="18"/>
  <c r="Z84" i="18"/>
  <c r="L48" i="18"/>
  <c r="X96" i="18"/>
  <c r="X48" i="18"/>
  <c r="J120" i="18"/>
  <c r="U48" i="18"/>
  <c r="L120" i="18"/>
  <c r="AE36" i="18"/>
  <c r="AE24" i="18"/>
  <c r="AE120" i="18"/>
  <c r="AE108" i="18"/>
  <c r="AE72" i="18"/>
  <c r="AE12" i="18"/>
  <c r="AE60" i="18"/>
  <c r="AE84" i="18"/>
  <c r="H120" i="18"/>
  <c r="P120" i="18"/>
  <c r="J48" i="18"/>
  <c r="J60" i="18"/>
  <c r="V60" i="18"/>
  <c r="U96" i="18"/>
  <c r="U108" i="18"/>
  <c r="S72" i="18"/>
  <c r="L36" i="18"/>
  <c r="AE48" i="18"/>
  <c r="AW72" i="18"/>
  <c r="AW48" i="18"/>
  <c r="AW120" i="18"/>
  <c r="AW12" i="18"/>
  <c r="AW24" i="18"/>
  <c r="AW84" i="18"/>
  <c r="AW96" i="18"/>
  <c r="AW108" i="18"/>
  <c r="U120" i="18"/>
  <c r="L96" i="18"/>
  <c r="AW36" i="18"/>
  <c r="X36" i="18"/>
  <c r="H108" i="18"/>
  <c r="P108" i="18"/>
  <c r="J12" i="18"/>
  <c r="O12" i="18"/>
  <c r="M36" i="18"/>
  <c r="M24" i="18"/>
  <c r="K36" i="18"/>
  <c r="AA120" i="18"/>
  <c r="AA84" i="18"/>
  <c r="W96" i="18"/>
  <c r="V36" i="18"/>
  <c r="T60" i="18"/>
  <c r="T108" i="18"/>
  <c r="AC36" i="18"/>
  <c r="U36" i="18"/>
  <c r="U72" i="18"/>
  <c r="S24" i="18"/>
  <c r="Z108" i="18"/>
  <c r="Z96" i="18"/>
  <c r="AR11" i="18"/>
  <c r="AW60" i="18"/>
  <c r="H72" i="18"/>
  <c r="P96" i="18"/>
  <c r="P24" i="18"/>
  <c r="J36" i="18"/>
  <c r="O24" i="18"/>
  <c r="M60" i="18"/>
  <c r="AQ11" i="18"/>
  <c r="T120" i="18"/>
  <c r="AC84" i="18"/>
  <c r="U24" i="18"/>
  <c r="S12" i="18"/>
  <c r="S84" i="18"/>
  <c r="Z120" i="18"/>
  <c r="X120" i="18"/>
  <c r="X60" i="18"/>
  <c r="X84" i="18"/>
  <c r="X24" i="18"/>
  <c r="X72" i="18"/>
  <c r="X12" i="18"/>
  <c r="X108" i="18"/>
  <c r="L84" i="18"/>
  <c r="L72" i="18"/>
  <c r="L12" i="18"/>
  <c r="U84" i="18"/>
  <c r="S60" i="18"/>
  <c r="L60" i="18"/>
  <c r="AT11" i="18"/>
  <c r="AH96" i="18"/>
  <c r="AG48" i="18"/>
  <c r="AM108" i="18"/>
  <c r="AI60" i="18"/>
  <c r="AF108" i="18"/>
  <c r="AL72" i="18"/>
  <c r="AL24" i="18"/>
  <c r="AK24" i="18"/>
  <c r="AO36" i="18"/>
  <c r="AN84" i="18"/>
  <c r="AJ60" i="18"/>
  <c r="AJ72" i="18"/>
  <c r="AJ120" i="18"/>
  <c r="AJ48" i="18"/>
  <c r="AJ84" i="18"/>
  <c r="AJ12" i="18"/>
  <c r="AJ36" i="18"/>
  <c r="AJ96" i="18"/>
  <c r="AJ24" i="18"/>
  <c r="AH24" i="18"/>
  <c r="AG108" i="18"/>
  <c r="AG84" i="18"/>
  <c r="AM24" i="18"/>
  <c r="AM96" i="18"/>
  <c r="AI96" i="18"/>
  <c r="AF24" i="18"/>
  <c r="AK120" i="18"/>
  <c r="AO60" i="18"/>
  <c r="AN48" i="18"/>
  <c r="AV12" i="18"/>
  <c r="AI108" i="18"/>
  <c r="AI84" i="18"/>
  <c r="AI24" i="18"/>
  <c r="AF60" i="18"/>
  <c r="AK48" i="18"/>
  <c r="AN108" i="18"/>
  <c r="AN96" i="18"/>
  <c r="R48" i="18"/>
  <c r="AI72" i="18"/>
  <c r="AF36" i="18"/>
  <c r="AF72" i="18"/>
  <c r="AK36" i="18"/>
  <c r="AK108" i="18"/>
  <c r="AN24" i="18"/>
  <c r="AV96" i="18"/>
  <c r="AV120" i="18"/>
  <c r="AV36" i="18"/>
  <c r="AV72" i="18"/>
  <c r="AV84" i="18"/>
  <c r="AV108" i="18"/>
  <c r="AV60" i="18"/>
  <c r="AV48" i="18"/>
  <c r="AV24" i="18"/>
  <c r="AN36" i="18"/>
  <c r="R60" i="18"/>
  <c r="R108" i="18"/>
  <c r="R84" i="18"/>
  <c r="R72" i="18"/>
  <c r="R120" i="18"/>
  <c r="R36" i="18"/>
  <c r="R96" i="18"/>
  <c r="R24" i="18"/>
  <c r="R12" i="18"/>
  <c r="AJ108" i="18"/>
  <c r="AY120" i="18"/>
  <c r="AY96" i="18"/>
  <c r="AY84" i="18"/>
  <c r="AY60" i="18"/>
  <c r="AY36" i="18"/>
  <c r="AY24" i="18"/>
  <c r="AY108" i="18"/>
  <c r="AX60" i="18"/>
  <c r="AX72" i="18"/>
  <c r="AX108" i="18"/>
  <c r="AX36" i="18"/>
  <c r="AX24" i="18"/>
  <c r="AX120" i="18"/>
  <c r="AX12" i="18"/>
  <c r="AX48" i="18"/>
  <c r="AX84" i="18"/>
  <c r="AX96" i="18"/>
  <c r="AD48" i="18"/>
  <c r="AD84" i="18"/>
  <c r="AD120" i="18"/>
  <c r="AD108" i="18"/>
  <c r="AD60" i="18"/>
  <c r="AD36" i="18"/>
  <c r="AD12" i="18"/>
  <c r="AD24" i="18"/>
  <c r="AD72" i="18"/>
  <c r="AY48" i="18"/>
  <c r="BC48" i="18"/>
  <c r="BC120" i="18"/>
  <c r="BC72" i="18"/>
  <c r="BC60" i="18"/>
  <c r="BC84" i="18"/>
  <c r="BC96" i="18"/>
  <c r="BC12" i="18"/>
  <c r="BC108" i="18"/>
  <c r="BL11" i="18"/>
  <c r="BC36" i="18"/>
  <c r="BC24" i="18"/>
  <c r="BA84" i="18"/>
  <c r="BE120" i="18"/>
  <c r="BE24" i="18"/>
  <c r="BE108" i="18"/>
  <c r="BE72" i="18"/>
  <c r="BE12" i="18"/>
  <c r="BE36" i="18"/>
  <c r="BE96" i="18"/>
  <c r="BE48" i="18"/>
  <c r="AZ24" i="18"/>
  <c r="AZ96" i="18"/>
  <c r="AZ36" i="18"/>
  <c r="AZ12" i="18"/>
  <c r="AZ60" i="18"/>
  <c r="AZ108" i="18"/>
  <c r="AZ72" i="18"/>
  <c r="AZ120" i="18"/>
  <c r="BA108" i="18"/>
  <c r="BE84" i="18"/>
  <c r="BA96" i="18"/>
  <c r="AZ84" i="18"/>
  <c r="BB120" i="18"/>
  <c r="BB12" i="18"/>
  <c r="BB84" i="18"/>
  <c r="BB24" i="18"/>
  <c r="BB96" i="18"/>
  <c r="BB72" i="18"/>
  <c r="BB108" i="18"/>
  <c r="BD36" i="18"/>
  <c r="BD48" i="18"/>
  <c r="BD96" i="18"/>
  <c r="BD84" i="18"/>
  <c r="BD24" i="18"/>
  <c r="BD72" i="18"/>
  <c r="BD108" i="18"/>
  <c r="BD12" i="18"/>
  <c r="BD60" i="18"/>
  <c r="BD120" i="18"/>
  <c r="BB48" i="18"/>
  <c r="BM336" i="18" l="1"/>
  <c r="BM288" i="18"/>
  <c r="BK216" i="18"/>
  <c r="BI216" i="18"/>
  <c r="BJ192" i="18"/>
  <c r="BM252" i="18"/>
  <c r="BM300" i="18"/>
  <c r="BK228" i="18"/>
  <c r="BI312" i="18"/>
  <c r="BM204" i="18"/>
  <c r="AP336" i="18"/>
  <c r="BJ204" i="18"/>
  <c r="BJ252" i="18"/>
  <c r="BM180" i="18"/>
  <c r="BM216" i="18"/>
  <c r="AR204" i="18"/>
  <c r="AP204" i="18"/>
  <c r="BI180" i="18"/>
  <c r="AR192" i="18"/>
  <c r="BK240" i="18"/>
  <c r="BL264" i="18"/>
  <c r="BL348" i="18"/>
  <c r="AT228" i="18"/>
  <c r="BL168" i="18"/>
  <c r="BL228" i="18"/>
  <c r="BK132" i="18"/>
  <c r="BM228" i="18"/>
  <c r="BM276" i="18"/>
  <c r="BK204" i="18"/>
  <c r="AR288" i="18"/>
  <c r="AT288" i="18"/>
  <c r="BJ360" i="18"/>
  <c r="BM168" i="18"/>
  <c r="BM240" i="18"/>
  <c r="AT132" i="18"/>
  <c r="AS204" i="18"/>
  <c r="BI132" i="18"/>
  <c r="BJ156" i="18"/>
  <c r="BJ228" i="18"/>
  <c r="BM324" i="18"/>
  <c r="AR240" i="18"/>
  <c r="BK144" i="18"/>
  <c r="AT204" i="18"/>
  <c r="AQ144" i="18"/>
  <c r="AP240" i="18"/>
  <c r="AT180" i="18"/>
  <c r="AR264" i="18"/>
  <c r="BL204" i="18"/>
  <c r="BL180" i="18"/>
  <c r="AQ156" i="18"/>
  <c r="AU144" i="18"/>
  <c r="BJ168" i="18"/>
  <c r="BD239" i="18"/>
  <c r="BM239" i="18" s="1"/>
  <c r="BM238" i="18"/>
  <c r="BD251" i="18"/>
  <c r="BM251" i="18" s="1"/>
  <c r="BM250" i="18"/>
  <c r="AR166" i="18"/>
  <c r="BG166" i="18" s="1"/>
  <c r="R167" i="18"/>
  <c r="AR167" i="18" s="1"/>
  <c r="BG167" i="18" s="1"/>
  <c r="AR190" i="18"/>
  <c r="BG190" i="18" s="1"/>
  <c r="R191" i="18"/>
  <c r="AR191" i="18" s="1"/>
  <c r="BG191" i="18" s="1"/>
  <c r="F143" i="18"/>
  <c r="AP143" i="18" s="1"/>
  <c r="BF143" i="18" s="1"/>
  <c r="AP142" i="18"/>
  <c r="BF142" i="18" s="1"/>
  <c r="F191" i="18"/>
  <c r="AP191" i="18" s="1"/>
  <c r="BF191" i="18" s="1"/>
  <c r="AP190" i="18"/>
  <c r="BF190" i="18" s="1"/>
  <c r="AZ227" i="18"/>
  <c r="BK227" i="18" s="1"/>
  <c r="BK226" i="18"/>
  <c r="AT166" i="18"/>
  <c r="BH166" i="18" s="1"/>
  <c r="AD167" i="18"/>
  <c r="AT167" i="18" s="1"/>
  <c r="BH167" i="18" s="1"/>
  <c r="AT226" i="18"/>
  <c r="BH226" i="18" s="1"/>
  <c r="AD227" i="18"/>
  <c r="AT227" i="18" s="1"/>
  <c r="BH227" i="18" s="1"/>
  <c r="AJ143" i="18"/>
  <c r="AU143" i="18" s="1"/>
  <c r="AU142" i="18"/>
  <c r="AU192" i="18"/>
  <c r="BI250" i="18"/>
  <c r="AV251" i="18"/>
  <c r="BI251" i="18" s="1"/>
  <c r="AV203" i="18"/>
  <c r="BI203" i="18" s="1"/>
  <c r="BI202" i="18"/>
  <c r="AV239" i="18"/>
  <c r="BI239" i="18" s="1"/>
  <c r="BI238" i="18"/>
  <c r="X215" i="18"/>
  <c r="AS215" i="18" s="1"/>
  <c r="AS214" i="18"/>
  <c r="AX155" i="18"/>
  <c r="BJ155" i="18" s="1"/>
  <c r="BJ154" i="18"/>
  <c r="BL132" i="18"/>
  <c r="BB155" i="18"/>
  <c r="BL155" i="18" s="1"/>
  <c r="BL154" i="18"/>
  <c r="BL226" i="18"/>
  <c r="BB227" i="18"/>
  <c r="BL227" i="18" s="1"/>
  <c r="AQ154" i="18"/>
  <c r="L155" i="18"/>
  <c r="AQ155" i="18" s="1"/>
  <c r="AQ228" i="18"/>
  <c r="AQ168" i="18"/>
  <c r="BM154" i="18"/>
  <c r="BD155" i="18"/>
  <c r="BM155" i="18" s="1"/>
  <c r="BD167" i="18"/>
  <c r="BM167" i="18" s="1"/>
  <c r="BM166" i="18"/>
  <c r="AR144" i="18"/>
  <c r="AR180" i="18"/>
  <c r="F179" i="18"/>
  <c r="AP179" i="18" s="1"/>
  <c r="BF179" i="18" s="1"/>
  <c r="AP178" i="18"/>
  <c r="BF178" i="18" s="1"/>
  <c r="AP202" i="18"/>
  <c r="BF202" i="18" s="1"/>
  <c r="F203" i="18"/>
  <c r="AP203" i="18" s="1"/>
  <c r="BF203" i="18" s="1"/>
  <c r="AZ191" i="18"/>
  <c r="BK191" i="18" s="1"/>
  <c r="BK190" i="18"/>
  <c r="BK250" i="18"/>
  <c r="AZ251" i="18"/>
  <c r="BK251" i="18" s="1"/>
  <c r="AT192" i="18"/>
  <c r="AD251" i="18"/>
  <c r="AT251" i="18" s="1"/>
  <c r="BH251" i="18" s="1"/>
  <c r="AT250" i="18"/>
  <c r="BH250" i="18" s="1"/>
  <c r="AT240" i="18"/>
  <c r="AU132" i="18"/>
  <c r="AU168" i="18"/>
  <c r="AV167" i="18"/>
  <c r="BI167" i="18" s="1"/>
  <c r="BI166" i="18"/>
  <c r="BI144" i="18"/>
  <c r="BI228" i="18"/>
  <c r="AS168" i="18"/>
  <c r="AS240" i="18"/>
  <c r="AX227" i="18"/>
  <c r="BJ227" i="18" s="1"/>
  <c r="BJ226" i="18"/>
  <c r="BL142" i="18"/>
  <c r="BB143" i="18"/>
  <c r="BL143" i="18" s="1"/>
  <c r="BB215" i="18"/>
  <c r="BL215" i="18" s="1"/>
  <c r="BL214" i="18"/>
  <c r="BL240" i="18"/>
  <c r="L143" i="18"/>
  <c r="AQ143" i="18" s="1"/>
  <c r="AQ142" i="18"/>
  <c r="AQ204" i="18"/>
  <c r="F167" i="18"/>
  <c r="AP167" i="18" s="1"/>
  <c r="BF167" i="18" s="1"/>
  <c r="AP166" i="18"/>
  <c r="BF166" i="18" s="1"/>
  <c r="AJ179" i="18"/>
  <c r="AU179" i="18" s="1"/>
  <c r="AU178" i="18"/>
  <c r="X239" i="18"/>
  <c r="AS239" i="18" s="1"/>
  <c r="AS238" i="18"/>
  <c r="BM226" i="18"/>
  <c r="BD227" i="18"/>
  <c r="BM227" i="18" s="1"/>
  <c r="R179" i="18"/>
  <c r="AR179" i="18" s="1"/>
  <c r="BG179" i="18" s="1"/>
  <c r="AR178" i="18"/>
  <c r="BG178" i="18" s="1"/>
  <c r="AP156" i="18"/>
  <c r="BK156" i="18"/>
  <c r="AT238" i="18"/>
  <c r="BH238" i="18" s="1"/>
  <c r="AD239" i="18"/>
  <c r="AT239" i="18" s="1"/>
  <c r="BH239" i="18" s="1"/>
  <c r="AV143" i="18"/>
  <c r="BI143" i="18" s="1"/>
  <c r="BI142" i="18"/>
  <c r="AS192" i="18"/>
  <c r="AX179" i="18"/>
  <c r="BJ179" i="18" s="1"/>
  <c r="BJ178" i="18"/>
  <c r="BD203" i="18"/>
  <c r="BM203" i="18" s="1"/>
  <c r="BM202" i="18"/>
  <c r="BM178" i="18"/>
  <c r="BD179" i="18"/>
  <c r="BM179" i="18" s="1"/>
  <c r="AR142" i="18"/>
  <c r="BG142" i="18" s="1"/>
  <c r="R143" i="18"/>
  <c r="AR143" i="18" s="1"/>
  <c r="BG143" i="18" s="1"/>
  <c r="R239" i="18"/>
  <c r="AR239" i="18" s="1"/>
  <c r="BG239" i="18" s="1"/>
  <c r="AR238" i="18"/>
  <c r="BG238" i="18" s="1"/>
  <c r="R215" i="18"/>
  <c r="AR215" i="18" s="1"/>
  <c r="BG215" i="18" s="1"/>
  <c r="AR214" i="18"/>
  <c r="BG214" i="18" s="1"/>
  <c r="F215" i="18"/>
  <c r="AP215" i="18" s="1"/>
  <c r="BF215" i="18" s="1"/>
  <c r="AP214" i="18"/>
  <c r="BF214" i="18" s="1"/>
  <c r="AP216" i="18"/>
  <c r="AP226" i="18"/>
  <c r="BF226" i="18" s="1"/>
  <c r="F227" i="18"/>
  <c r="AP227" i="18" s="1"/>
  <c r="BF227" i="18" s="1"/>
  <c r="BK192" i="18"/>
  <c r="AZ215" i="18"/>
  <c r="BK215" i="18" s="1"/>
  <c r="BK214" i="18"/>
  <c r="AT144" i="18"/>
  <c r="AD215" i="18"/>
  <c r="AT215" i="18" s="1"/>
  <c r="BH215" i="18" s="1"/>
  <c r="AT214" i="18"/>
  <c r="BH214" i="18" s="1"/>
  <c r="AJ215" i="18"/>
  <c r="AU215" i="18" s="1"/>
  <c r="AU214" i="18"/>
  <c r="AU204" i="18"/>
  <c r="BI240" i="18"/>
  <c r="X155" i="18"/>
  <c r="AS155" i="18" s="1"/>
  <c r="AS154" i="18"/>
  <c r="X143" i="18"/>
  <c r="AS143" i="18" s="1"/>
  <c r="AS142" i="18"/>
  <c r="AS250" i="18"/>
  <c r="X251" i="18"/>
  <c r="AS251" i="18" s="1"/>
  <c r="BJ142" i="18"/>
  <c r="AX143" i="18"/>
  <c r="BJ143" i="18" s="1"/>
  <c r="AX215" i="18"/>
  <c r="BJ215" i="18" s="1"/>
  <c r="BJ214" i="18"/>
  <c r="BB167" i="18"/>
  <c r="BL167" i="18" s="1"/>
  <c r="BL166" i="18"/>
  <c r="BB251" i="18"/>
  <c r="BL251" i="18" s="1"/>
  <c r="BL250" i="18"/>
  <c r="AQ132" i="18"/>
  <c r="AQ192" i="18"/>
  <c r="AQ216" i="18"/>
  <c r="AZ239" i="18"/>
  <c r="BK239" i="18" s="1"/>
  <c r="BK238" i="18"/>
  <c r="AX239" i="18"/>
  <c r="BJ239" i="18" s="1"/>
  <c r="BJ238" i="18"/>
  <c r="AP132" i="18"/>
  <c r="AZ143" i="18"/>
  <c r="BK143" i="18" s="1"/>
  <c r="BK142" i="18"/>
  <c r="AD143" i="18"/>
  <c r="AT143" i="18" s="1"/>
  <c r="BH143" i="18" s="1"/>
  <c r="AT142" i="18"/>
  <c r="BH142" i="18" s="1"/>
  <c r="AU216" i="18"/>
  <c r="AV179" i="18"/>
  <c r="BI179" i="18" s="1"/>
  <c r="BI178" i="18"/>
  <c r="AS156" i="18"/>
  <c r="BJ202" i="18"/>
  <c r="AX203" i="18"/>
  <c r="BJ203" i="18" s="1"/>
  <c r="BL238" i="18"/>
  <c r="BB239" i="18"/>
  <c r="BL239" i="18" s="1"/>
  <c r="BM156" i="18"/>
  <c r="BM190" i="18"/>
  <c r="BD191" i="18"/>
  <c r="BM191" i="18" s="1"/>
  <c r="AR168" i="18"/>
  <c r="AR228" i="18"/>
  <c r="F251" i="18"/>
  <c r="AP251" i="18" s="1"/>
  <c r="BF251" i="18" s="1"/>
  <c r="AP250" i="18"/>
  <c r="BF250" i="18" s="1"/>
  <c r="AP168" i="18"/>
  <c r="AP228" i="18"/>
  <c r="AZ167" i="18"/>
  <c r="BK167" i="18" s="1"/>
  <c r="BK166" i="18"/>
  <c r="AD191" i="18"/>
  <c r="AT191" i="18" s="1"/>
  <c r="BH191" i="18" s="1"/>
  <c r="AT190" i="18"/>
  <c r="BH190" i="18" s="1"/>
  <c r="AT156" i="18"/>
  <c r="AJ191" i="18"/>
  <c r="AU191" i="18" s="1"/>
  <c r="AU190" i="18"/>
  <c r="AU156" i="18"/>
  <c r="AU238" i="18"/>
  <c r="AJ239" i="18"/>
  <c r="AU239" i="18" s="1"/>
  <c r="AV215" i="18"/>
  <c r="BI215" i="18" s="1"/>
  <c r="BI214" i="18"/>
  <c r="AS202" i="18"/>
  <c r="X203" i="18"/>
  <c r="AS203" i="18" s="1"/>
  <c r="AS144" i="18"/>
  <c r="AS216" i="18"/>
  <c r="BJ240" i="18"/>
  <c r="BL144" i="18"/>
  <c r="BL156" i="18"/>
  <c r="L191" i="18"/>
  <c r="AQ191" i="18" s="1"/>
  <c r="AQ190" i="18"/>
  <c r="AQ178" i="18"/>
  <c r="L179" i="18"/>
  <c r="AQ179" i="18" s="1"/>
  <c r="L239" i="18"/>
  <c r="AQ239" i="18" s="1"/>
  <c r="AQ238" i="18"/>
  <c r="BM142" i="18"/>
  <c r="BD143" i="18"/>
  <c r="BM143" i="18" s="1"/>
  <c r="R227" i="18"/>
  <c r="AR227" i="18" s="1"/>
  <c r="BG227" i="18" s="1"/>
  <c r="AR226" i="18"/>
  <c r="BG226" i="18" s="1"/>
  <c r="AZ203" i="18"/>
  <c r="BK203" i="18" s="1"/>
  <c r="BK202" i="18"/>
  <c r="AV155" i="18"/>
  <c r="BI155" i="18" s="1"/>
  <c r="BI154" i="18"/>
  <c r="AT154" i="18"/>
  <c r="BH154" i="18" s="1"/>
  <c r="AD155" i="18"/>
  <c r="AT155" i="18" s="1"/>
  <c r="BH155" i="18" s="1"/>
  <c r="AJ167" i="18"/>
  <c r="AU167" i="18" s="1"/>
  <c r="AU166" i="18"/>
  <c r="BI226" i="18"/>
  <c r="AV227" i="18"/>
  <c r="BI227" i="18" s="1"/>
  <c r="BM192" i="18"/>
  <c r="AR156" i="18"/>
  <c r="R203" i="18"/>
  <c r="AR203" i="18" s="1"/>
  <c r="BG203" i="18" s="1"/>
  <c r="AR202" i="18"/>
  <c r="BG202" i="18" s="1"/>
  <c r="AR250" i="18"/>
  <c r="BG250" i="18" s="1"/>
  <c r="R251" i="18"/>
  <c r="AR251" i="18" s="1"/>
  <c r="BG251" i="18" s="1"/>
  <c r="AP144" i="18"/>
  <c r="AP180" i="18"/>
  <c r="AP238" i="18"/>
  <c r="BF238" i="18" s="1"/>
  <c r="F239" i="18"/>
  <c r="AP239" i="18" s="1"/>
  <c r="BF239" i="18" s="1"/>
  <c r="AZ179" i="18"/>
  <c r="BK179" i="18" s="1"/>
  <c r="BK178" i="18"/>
  <c r="AT168" i="18"/>
  <c r="AT202" i="18"/>
  <c r="BH202" i="18" s="1"/>
  <c r="AD203" i="18"/>
  <c r="AT203" i="18" s="1"/>
  <c r="BH203" i="18" s="1"/>
  <c r="AU202" i="18"/>
  <c r="AJ203" i="18"/>
  <c r="AU203" i="18" s="1"/>
  <c r="AU180" i="18"/>
  <c r="AU240" i="18"/>
  <c r="BI156" i="18"/>
  <c r="BI190" i="18"/>
  <c r="AV191" i="18"/>
  <c r="BI191" i="18" s="1"/>
  <c r="AS180" i="18"/>
  <c r="X167" i="18"/>
  <c r="AS167" i="18" s="1"/>
  <c r="AS166" i="18"/>
  <c r="X227" i="18"/>
  <c r="AS227" i="18" s="1"/>
  <c r="AS226" i="18"/>
  <c r="BJ144" i="18"/>
  <c r="BJ132" i="18"/>
  <c r="BJ250" i="18"/>
  <c r="AX251" i="18"/>
  <c r="BJ251" i="18" s="1"/>
  <c r="BL192" i="18"/>
  <c r="BB203" i="18"/>
  <c r="BL203" i="18" s="1"/>
  <c r="BL202" i="18"/>
  <c r="AQ202" i="18"/>
  <c r="L203" i="18"/>
  <c r="AQ203" i="18" s="1"/>
  <c r="AQ180" i="18"/>
  <c r="AQ240" i="18"/>
  <c r="AD179" i="18"/>
  <c r="AT179" i="18" s="1"/>
  <c r="BH179" i="18" s="1"/>
  <c r="AT178" i="18"/>
  <c r="BH178" i="18" s="1"/>
  <c r="AU154" i="18"/>
  <c r="AJ155" i="18"/>
  <c r="AU155" i="18" s="1"/>
  <c r="AS190" i="18"/>
  <c r="X191" i="18"/>
  <c r="AS191" i="18" s="1"/>
  <c r="BL190" i="18"/>
  <c r="BB191" i="18"/>
  <c r="BL191" i="18" s="1"/>
  <c r="AQ166" i="18"/>
  <c r="L167" i="18"/>
  <c r="AQ167" i="18" s="1"/>
  <c r="BM214" i="18"/>
  <c r="BD215" i="18"/>
  <c r="BM215" i="18" s="1"/>
  <c r="R155" i="18"/>
  <c r="AR155" i="18" s="1"/>
  <c r="BG155" i="18" s="1"/>
  <c r="AR154" i="18"/>
  <c r="BG154" i="18" s="1"/>
  <c r="AR132" i="18"/>
  <c r="AR216" i="18"/>
  <c r="AP192" i="18"/>
  <c r="AP154" i="18"/>
  <c r="BF154" i="18" s="1"/>
  <c r="F155" i="18"/>
  <c r="AP155" i="18" s="1"/>
  <c r="BF155" i="18" s="1"/>
  <c r="BK154" i="18"/>
  <c r="AZ155" i="18"/>
  <c r="BK155" i="18" s="1"/>
  <c r="AT216" i="18"/>
  <c r="AJ227" i="18"/>
  <c r="AU227" i="18" s="1"/>
  <c r="AU226" i="18"/>
  <c r="AU228" i="18"/>
  <c r="AJ251" i="18"/>
  <c r="AU251" i="18" s="1"/>
  <c r="AU250" i="18"/>
  <c r="BI168" i="18"/>
  <c r="BI192" i="18"/>
  <c r="AS132" i="18"/>
  <c r="AS178" i="18"/>
  <c r="X179" i="18"/>
  <c r="AS179" i="18" s="1"/>
  <c r="AS228" i="18"/>
  <c r="AX167" i="18"/>
  <c r="BJ167" i="18" s="1"/>
  <c r="BJ166" i="18"/>
  <c r="BJ190" i="18"/>
  <c r="AX191" i="18"/>
  <c r="BJ191" i="18" s="1"/>
  <c r="BJ216" i="18"/>
  <c r="BB179" i="18"/>
  <c r="BL179" i="18" s="1"/>
  <c r="BL178" i="18"/>
  <c r="BL216" i="18"/>
  <c r="L227" i="18"/>
  <c r="AQ227" i="18" s="1"/>
  <c r="AQ226" i="18"/>
  <c r="AQ214" i="18"/>
  <c r="L215" i="18"/>
  <c r="AQ215" i="18" s="1"/>
  <c r="AQ250" i="18"/>
  <c r="L251" i="18"/>
  <c r="AQ251" i="18" s="1"/>
  <c r="BI324" i="18"/>
  <c r="AT336" i="18"/>
  <c r="AS252" i="18"/>
  <c r="AQ288" i="18"/>
  <c r="BK300" i="18"/>
  <c r="BJ264" i="18"/>
  <c r="BI252" i="18"/>
  <c r="BM264" i="18"/>
  <c r="BI264" i="18"/>
  <c r="BJ348" i="18"/>
  <c r="BI288" i="18"/>
  <c r="BJ300" i="18"/>
  <c r="BJ288" i="18"/>
  <c r="AP252" i="18"/>
  <c r="AT348" i="18"/>
  <c r="AU276" i="18"/>
  <c r="BM312" i="18"/>
  <c r="AP300" i="18"/>
  <c r="BM360" i="18"/>
  <c r="AP360" i="18"/>
  <c r="BI348" i="18"/>
  <c r="AP264" i="18"/>
  <c r="BL324" i="18"/>
  <c r="AR324" i="18"/>
  <c r="AR336" i="18"/>
  <c r="BD323" i="18"/>
  <c r="BM323" i="18" s="1"/>
  <c r="BM322" i="18"/>
  <c r="BD371" i="18"/>
  <c r="BM371" i="18" s="1"/>
  <c r="BM370" i="18"/>
  <c r="AP276" i="18"/>
  <c r="F371" i="18"/>
  <c r="AP371" i="18" s="1"/>
  <c r="AP370" i="18"/>
  <c r="AD371" i="18"/>
  <c r="AT371" i="18" s="1"/>
  <c r="AT370" i="18"/>
  <c r="AJ275" i="18"/>
  <c r="AU275" i="18" s="1"/>
  <c r="AU274" i="18"/>
  <c r="AU288" i="18"/>
  <c r="AU336" i="18"/>
  <c r="BI274" i="18"/>
  <c r="AV275" i="18"/>
  <c r="BI275" i="18" s="1"/>
  <c r="AS288" i="18"/>
  <c r="AS322" i="18"/>
  <c r="X323" i="18"/>
  <c r="AS323" i="18" s="1"/>
  <c r="AS370" i="18"/>
  <c r="X371" i="18"/>
  <c r="AS371" i="18" s="1"/>
  <c r="AX287" i="18"/>
  <c r="BJ287" i="18" s="1"/>
  <c r="BJ286" i="18"/>
  <c r="AX323" i="18"/>
  <c r="BJ323" i="18" s="1"/>
  <c r="BJ322" i="18"/>
  <c r="BL262" i="18"/>
  <c r="BB263" i="18"/>
  <c r="BL263" i="18" s="1"/>
  <c r="BB335" i="18"/>
  <c r="BL335" i="18" s="1"/>
  <c r="BL334" i="18"/>
  <c r="BL346" i="18"/>
  <c r="BB347" i="18"/>
  <c r="BL347" i="18" s="1"/>
  <c r="L275" i="18"/>
  <c r="AQ275" i="18" s="1"/>
  <c r="AQ274" i="18"/>
  <c r="AQ264" i="18"/>
  <c r="AQ348" i="18"/>
  <c r="BK252" i="18"/>
  <c r="AZ311" i="18"/>
  <c r="BK311" i="18" s="1"/>
  <c r="BK310" i="18"/>
  <c r="R347" i="18"/>
  <c r="AR347" i="18" s="1"/>
  <c r="BG347" i="18" s="1"/>
  <c r="AR346" i="18"/>
  <c r="BG346" i="18" s="1"/>
  <c r="AS336" i="18"/>
  <c r="BD263" i="18"/>
  <c r="BM263" i="18" s="1"/>
  <c r="BM262" i="18"/>
  <c r="BM298" i="18"/>
  <c r="BD299" i="18"/>
  <c r="BM299" i="18" s="1"/>
  <c r="BM346" i="18"/>
  <c r="BD347" i="18"/>
  <c r="BM347" i="18" s="1"/>
  <c r="AR276" i="18"/>
  <c r="AR348" i="18"/>
  <c r="AP288" i="18"/>
  <c r="AP322" i="18"/>
  <c r="BF322" i="18" s="1"/>
  <c r="F323" i="18"/>
  <c r="AP323" i="18" s="1"/>
  <c r="BF323" i="18" s="1"/>
  <c r="AD275" i="18"/>
  <c r="AT275" i="18" s="1"/>
  <c r="BH275" i="18" s="1"/>
  <c r="AT274" i="18"/>
  <c r="BH274" i="18" s="1"/>
  <c r="AT322" i="18"/>
  <c r="BH322" i="18" s="1"/>
  <c r="AD323" i="18"/>
  <c r="AT323" i="18" s="1"/>
  <c r="BH323" i="18" s="1"/>
  <c r="AU300" i="18"/>
  <c r="AJ347" i="18"/>
  <c r="AU347" i="18" s="1"/>
  <c r="AU346" i="18"/>
  <c r="AU360" i="18"/>
  <c r="X263" i="18"/>
  <c r="AS263" i="18" s="1"/>
  <c r="AS262" i="18"/>
  <c r="AS360" i="18"/>
  <c r="AS346" i="18"/>
  <c r="X347" i="18"/>
  <c r="AS347" i="18" s="1"/>
  <c r="AX263" i="18"/>
  <c r="BJ263" i="18" s="1"/>
  <c r="BJ262" i="18"/>
  <c r="AX359" i="18"/>
  <c r="BJ359" i="18" s="1"/>
  <c r="BJ358" i="18"/>
  <c r="AX371" i="18"/>
  <c r="BJ371" i="18" s="1"/>
  <c r="BJ370" i="18"/>
  <c r="BB287" i="18"/>
  <c r="BL287" i="18" s="1"/>
  <c r="BL286" i="18"/>
  <c r="BL300" i="18"/>
  <c r="BL358" i="18"/>
  <c r="BB359" i="18"/>
  <c r="BL359" i="18" s="1"/>
  <c r="AQ300" i="18"/>
  <c r="AQ322" i="18"/>
  <c r="L323" i="18"/>
  <c r="AQ323" i="18" s="1"/>
  <c r="AQ360" i="18"/>
  <c r="BK322" i="18"/>
  <c r="AZ323" i="18"/>
  <c r="BK323" i="18" s="1"/>
  <c r="BK336" i="18"/>
  <c r="BI310" i="18"/>
  <c r="AV311" i="18"/>
  <c r="BI311" i="18" s="1"/>
  <c r="BJ310" i="18"/>
  <c r="AX311" i="18"/>
  <c r="BJ311" i="18" s="1"/>
  <c r="BL298" i="18"/>
  <c r="BB299" i="18"/>
  <c r="BL299" i="18" s="1"/>
  <c r="AQ358" i="18"/>
  <c r="L359" i="18"/>
  <c r="AQ359" i="18" s="1"/>
  <c r="BK324" i="18"/>
  <c r="BM274" i="18"/>
  <c r="BD275" i="18"/>
  <c r="BM275" i="18" s="1"/>
  <c r="AR312" i="18"/>
  <c r="AR360" i="18"/>
  <c r="F335" i="18"/>
  <c r="AP335" i="18" s="1"/>
  <c r="BF335" i="18" s="1"/>
  <c r="AP334" i="18"/>
  <c r="BF334" i="18" s="1"/>
  <c r="AP324" i="18"/>
  <c r="AT276" i="18"/>
  <c r="AT324" i="18"/>
  <c r="AJ299" i="18"/>
  <c r="AU299" i="18" s="1"/>
  <c r="AU298" i="18"/>
  <c r="AU348" i="18"/>
  <c r="AJ371" i="18"/>
  <c r="AU371" i="18" s="1"/>
  <c r="AU370" i="18"/>
  <c r="AV263" i="18"/>
  <c r="BI263" i="18" s="1"/>
  <c r="BI262" i="18"/>
  <c r="BI358" i="18"/>
  <c r="AV359" i="18"/>
  <c r="BI359" i="18" s="1"/>
  <c r="AS274" i="18"/>
  <c r="X275" i="18"/>
  <c r="AS275" i="18" s="1"/>
  <c r="AS324" i="18"/>
  <c r="AS348" i="18"/>
  <c r="BJ324" i="18"/>
  <c r="BJ336" i="18"/>
  <c r="BB275" i="18"/>
  <c r="BL275" i="18" s="1"/>
  <c r="BL274" i="18"/>
  <c r="BL310" i="18"/>
  <c r="BB311" i="18"/>
  <c r="BL311" i="18" s="1"/>
  <c r="BL360" i="18"/>
  <c r="AQ252" i="18"/>
  <c r="L311" i="18"/>
  <c r="AQ311" i="18" s="1"/>
  <c r="AQ310" i="18"/>
  <c r="AQ370" i="18"/>
  <c r="L371" i="18"/>
  <c r="AQ371" i="18" s="1"/>
  <c r="AZ263" i="18"/>
  <c r="BK263" i="18" s="1"/>
  <c r="BK262" i="18"/>
  <c r="BK348" i="18"/>
  <c r="BM334" i="18"/>
  <c r="BD335" i="18"/>
  <c r="BM335" i="18" s="1"/>
  <c r="R275" i="18"/>
  <c r="AR275" i="18" s="1"/>
  <c r="BG275" i="18" s="1"/>
  <c r="AR274" i="18"/>
  <c r="BG274" i="18" s="1"/>
  <c r="AU358" i="18"/>
  <c r="AJ359" i="18"/>
  <c r="AU359" i="18" s="1"/>
  <c r="X335" i="18"/>
  <c r="AS335" i="18" s="1"/>
  <c r="AS334" i="18"/>
  <c r="AX347" i="18"/>
  <c r="BJ347" i="18" s="1"/>
  <c r="BJ346" i="18"/>
  <c r="AQ276" i="18"/>
  <c r="BD359" i="18"/>
  <c r="BM359" i="18" s="1"/>
  <c r="BM358" i="18"/>
  <c r="AR286" i="18"/>
  <c r="BG286" i="18" s="1"/>
  <c r="R287" i="18"/>
  <c r="AR287" i="18" s="1"/>
  <c r="BG287" i="18" s="1"/>
  <c r="R299" i="18"/>
  <c r="AR299" i="18" s="1"/>
  <c r="BG299" i="18" s="1"/>
  <c r="AR298" i="18"/>
  <c r="BG298" i="18" s="1"/>
  <c r="AR334" i="18"/>
  <c r="BG334" i="18" s="1"/>
  <c r="R335" i="18"/>
  <c r="AR335" i="18" s="1"/>
  <c r="BG335" i="18" s="1"/>
  <c r="F263" i="18"/>
  <c r="AP263" i="18" s="1"/>
  <c r="BF263" i="18" s="1"/>
  <c r="AP262" i="18"/>
  <c r="BF262" i="18" s="1"/>
  <c r="AP312" i="18"/>
  <c r="F347" i="18"/>
  <c r="AP347" i="18" s="1"/>
  <c r="BF347" i="18" s="1"/>
  <c r="AP346" i="18"/>
  <c r="BF346" i="18" s="1"/>
  <c r="AD263" i="18"/>
  <c r="AT263" i="18" s="1"/>
  <c r="BH263" i="18" s="1"/>
  <c r="AT262" i="18"/>
  <c r="BH262" i="18" s="1"/>
  <c r="AT252" i="18"/>
  <c r="AT346" i="18"/>
  <c r="BH346" i="18" s="1"/>
  <c r="AD347" i="18"/>
  <c r="AT347" i="18" s="1"/>
  <c r="BH347" i="18" s="1"/>
  <c r="AU286" i="18"/>
  <c r="AJ287" i="18"/>
  <c r="AU287" i="18" s="1"/>
  <c r="AJ311" i="18"/>
  <c r="AU311" i="18" s="1"/>
  <c r="AU310" i="18"/>
  <c r="AV287" i="18"/>
  <c r="BI287" i="18" s="1"/>
  <c r="BI286" i="18"/>
  <c r="BI370" i="18"/>
  <c r="AV371" i="18"/>
  <c r="BI371" i="18" s="1"/>
  <c r="AS276" i="18"/>
  <c r="AS298" i="18"/>
  <c r="X299" i="18"/>
  <c r="AS299" i="18" s="1"/>
  <c r="BJ274" i="18"/>
  <c r="AX275" i="18"/>
  <c r="BJ275" i="18" s="1"/>
  <c r="BL276" i="18"/>
  <c r="BB323" i="18"/>
  <c r="BL323" i="18" s="1"/>
  <c r="BL322" i="18"/>
  <c r="L299" i="18"/>
  <c r="AQ299" i="18" s="1"/>
  <c r="AQ298" i="18"/>
  <c r="AQ324" i="18"/>
  <c r="AZ299" i="18"/>
  <c r="BK299" i="18" s="1"/>
  <c r="BK298" i="18"/>
  <c r="BK264" i="18"/>
  <c r="AZ335" i="18"/>
  <c r="BK335" i="18" s="1"/>
  <c r="BK334" i="18"/>
  <c r="AD287" i="18"/>
  <c r="AT287" i="18" s="1"/>
  <c r="BH287" i="18" s="1"/>
  <c r="AT286" i="18"/>
  <c r="BH286" i="18" s="1"/>
  <c r="BD311" i="18"/>
  <c r="BM311" i="18" s="1"/>
  <c r="BM310" i="18"/>
  <c r="AR252" i="18"/>
  <c r="BG252" i="18" s="1"/>
  <c r="AR300" i="18"/>
  <c r="R359" i="18"/>
  <c r="AR359" i="18" s="1"/>
  <c r="BG359" i="18" s="1"/>
  <c r="AR358" i="18"/>
  <c r="BG358" i="18" s="1"/>
  <c r="F299" i="18"/>
  <c r="AP299" i="18" s="1"/>
  <c r="BF299" i="18" s="1"/>
  <c r="AP298" i="18"/>
  <c r="BF298" i="18" s="1"/>
  <c r="AP348" i="18"/>
  <c r="AT264" i="18"/>
  <c r="AT298" i="18"/>
  <c r="BH298" i="18" s="1"/>
  <c r="AD299" i="18"/>
  <c r="AT299" i="18" s="1"/>
  <c r="BH299" i="18" s="1"/>
  <c r="AU252" i="18"/>
  <c r="AU324" i="18"/>
  <c r="BI322" i="18"/>
  <c r="AV323" i="18"/>
  <c r="BI323" i="18" s="1"/>
  <c r="AV335" i="18"/>
  <c r="BI335" i="18" s="1"/>
  <c r="BI334" i="18"/>
  <c r="BI336" i="18"/>
  <c r="AS264" i="18"/>
  <c r="AS300" i="18"/>
  <c r="BJ312" i="18"/>
  <c r="BL252" i="18"/>
  <c r="AQ312" i="18"/>
  <c r="L347" i="18"/>
  <c r="AQ347" i="18" s="1"/>
  <c r="AQ346" i="18"/>
  <c r="AZ275" i="18"/>
  <c r="BK275" i="18" s="1"/>
  <c r="BK274" i="18"/>
  <c r="BK288" i="18"/>
  <c r="BK358" i="18"/>
  <c r="AZ359" i="18"/>
  <c r="BK359" i="18" s="1"/>
  <c r="AU322" i="18"/>
  <c r="AJ323" i="18"/>
  <c r="AU323" i="18" s="1"/>
  <c r="R311" i="18"/>
  <c r="AR311" i="18" s="1"/>
  <c r="BG311" i="18" s="1"/>
  <c r="AR310" i="18"/>
  <c r="BG310" i="18" s="1"/>
  <c r="AR370" i="18"/>
  <c r="BG370" i="18" s="1"/>
  <c r="R371" i="18"/>
  <c r="AR371" i="18" s="1"/>
  <c r="BG371" i="18" s="1"/>
  <c r="F287" i="18"/>
  <c r="AP287" i="18" s="1"/>
  <c r="BF287" i="18" s="1"/>
  <c r="AP286" i="18"/>
  <c r="BF286" i="18" s="1"/>
  <c r="F359" i="18"/>
  <c r="AP359" i="18" s="1"/>
  <c r="BF359" i="18" s="1"/>
  <c r="AP358" i="18"/>
  <c r="BF358" i="18" s="1"/>
  <c r="AT312" i="18"/>
  <c r="AT300" i="18"/>
  <c r="AT358" i="18"/>
  <c r="BH358" i="18" s="1"/>
  <c r="AD359" i="18"/>
  <c r="AT359" i="18" s="1"/>
  <c r="BH359" i="18" s="1"/>
  <c r="AJ263" i="18"/>
  <c r="AU263" i="18" s="1"/>
  <c r="AU262" i="18"/>
  <c r="AU312" i="18"/>
  <c r="BI298" i="18"/>
  <c r="AV299" i="18"/>
  <c r="BI299" i="18" s="1"/>
  <c r="BI346" i="18"/>
  <c r="AV347" i="18"/>
  <c r="BI347" i="18" s="1"/>
  <c r="AS286" i="18"/>
  <c r="X287" i="18"/>
  <c r="AS287" i="18" s="1"/>
  <c r="AS358" i="18"/>
  <c r="X359" i="18"/>
  <c r="AS359" i="18" s="1"/>
  <c r="AX299" i="18"/>
  <c r="BJ299" i="18" s="1"/>
  <c r="BJ298" i="18"/>
  <c r="BL288" i="18"/>
  <c r="BL336" i="18"/>
  <c r="L287" i="18"/>
  <c r="AQ287" i="18" s="1"/>
  <c r="AQ286" i="18"/>
  <c r="AQ336" i="18"/>
  <c r="BK276" i="18"/>
  <c r="BK312" i="18"/>
  <c r="BK360" i="18"/>
  <c r="BD287" i="18"/>
  <c r="BM287" i="18" s="1"/>
  <c r="BM286" i="18"/>
  <c r="AR262" i="18"/>
  <c r="BG262" i="18" s="1"/>
  <c r="R263" i="18"/>
  <c r="AR263" i="18" s="1"/>
  <c r="BG263" i="18" s="1"/>
  <c r="R323" i="18"/>
  <c r="AR323" i="18" s="1"/>
  <c r="BG323" i="18" s="1"/>
  <c r="AR322" i="18"/>
  <c r="BG322" i="18" s="1"/>
  <c r="F275" i="18"/>
  <c r="AP275" i="18" s="1"/>
  <c r="BF275" i="18" s="1"/>
  <c r="AP274" i="18"/>
  <c r="BF274" i="18" s="1"/>
  <c r="AP310" i="18"/>
  <c r="BF310" i="18" s="1"/>
  <c r="F311" i="18"/>
  <c r="AP311" i="18" s="1"/>
  <c r="BF311" i="18" s="1"/>
  <c r="AD335" i="18"/>
  <c r="AT335" i="18" s="1"/>
  <c r="BH335" i="18" s="1"/>
  <c r="AT334" i="18"/>
  <c r="BH334" i="18" s="1"/>
  <c r="AD311" i="18"/>
  <c r="AT311" i="18" s="1"/>
  <c r="BH311" i="18" s="1"/>
  <c r="AT310" i="18"/>
  <c r="BH310" i="18" s="1"/>
  <c r="AT360" i="18"/>
  <c r="AU264" i="18"/>
  <c r="AJ335" i="18"/>
  <c r="AU335" i="18" s="1"/>
  <c r="AU334" i="18"/>
  <c r="AS310" i="18"/>
  <c r="X311" i="18"/>
  <c r="AS311" i="18" s="1"/>
  <c r="AS312" i="18"/>
  <c r="AX335" i="18"/>
  <c r="BJ335" i="18" s="1"/>
  <c r="BJ334" i="18"/>
  <c r="BL312" i="18"/>
  <c r="BB371" i="18"/>
  <c r="BL371" i="18" s="1"/>
  <c r="BL370" i="18"/>
  <c r="AQ262" i="18"/>
  <c r="L263" i="18"/>
  <c r="AQ263" i="18" s="1"/>
  <c r="AQ334" i="18"/>
  <c r="L335" i="18"/>
  <c r="AQ335" i="18" s="1"/>
  <c r="BK286" i="18"/>
  <c r="AZ287" i="18"/>
  <c r="BK287" i="18" s="1"/>
  <c r="AZ347" i="18"/>
  <c r="BK347" i="18" s="1"/>
  <c r="BK346" i="18"/>
  <c r="AZ371" i="18"/>
  <c r="BK371" i="18" s="1"/>
  <c r="BK370" i="18"/>
  <c r="BM60" i="18"/>
  <c r="BL36" i="18"/>
  <c r="AS46" i="18"/>
  <c r="X47" i="18"/>
  <c r="AS47" i="18" s="1"/>
  <c r="X59" i="18"/>
  <c r="AS59" i="18" s="1"/>
  <c r="AS58" i="18"/>
  <c r="AZ59" i="18"/>
  <c r="BK59" i="18" s="1"/>
  <c r="BK58" i="18"/>
  <c r="AX131" i="18"/>
  <c r="BJ131" i="18" s="1"/>
  <c r="BJ130" i="18"/>
  <c r="L35" i="18"/>
  <c r="AQ35" i="18" s="1"/>
  <c r="AQ34" i="18"/>
  <c r="AJ83" i="18"/>
  <c r="AU83" i="18" s="1"/>
  <c r="AU82" i="18"/>
  <c r="AX47" i="18"/>
  <c r="BJ47" i="18" s="1"/>
  <c r="BJ46" i="18"/>
  <c r="AD71" i="18"/>
  <c r="AT71" i="18" s="1"/>
  <c r="AT70" i="18"/>
  <c r="BD107" i="18"/>
  <c r="BM107" i="18" s="1"/>
  <c r="BM106" i="18"/>
  <c r="BB83" i="18"/>
  <c r="BL83" i="18" s="1"/>
  <c r="BL82" i="18"/>
  <c r="BI58" i="18"/>
  <c r="AV59" i="18"/>
  <c r="BI59" i="18" s="1"/>
  <c r="AZ83" i="18"/>
  <c r="BK83" i="18" s="1"/>
  <c r="BK82" i="18"/>
  <c r="F47" i="18"/>
  <c r="AP47" i="18" s="1"/>
  <c r="AP46" i="18"/>
  <c r="AX59" i="18"/>
  <c r="BJ59" i="18" s="1"/>
  <c r="BJ58" i="18"/>
  <c r="AQ82" i="18"/>
  <c r="L83" i="18"/>
  <c r="AQ83" i="18" s="1"/>
  <c r="AJ107" i="18"/>
  <c r="AU107" i="18" s="1"/>
  <c r="AU106" i="18"/>
  <c r="AD83" i="18"/>
  <c r="AT83" i="18" s="1"/>
  <c r="BH83" i="18" s="1"/>
  <c r="AT82" i="18"/>
  <c r="BH82" i="18" s="1"/>
  <c r="BD119" i="18"/>
  <c r="BM119" i="18" s="1"/>
  <c r="BM118" i="18"/>
  <c r="BB95" i="18"/>
  <c r="BL95" i="18" s="1"/>
  <c r="BL94" i="18"/>
  <c r="BI82" i="18"/>
  <c r="AV83" i="18"/>
  <c r="BI83" i="18" s="1"/>
  <c r="R35" i="18"/>
  <c r="AR35" i="18" s="1"/>
  <c r="AR34" i="18"/>
  <c r="AR130" i="18"/>
  <c r="BG130" i="18" s="1"/>
  <c r="R131" i="18"/>
  <c r="AR131" i="18" s="1"/>
  <c r="BG131" i="18" s="1"/>
  <c r="X71" i="18"/>
  <c r="AS71" i="18" s="1"/>
  <c r="AS70" i="18"/>
  <c r="F119" i="18"/>
  <c r="AP119" i="18" s="1"/>
  <c r="BF119" i="18" s="1"/>
  <c r="AP118" i="18"/>
  <c r="BF118" i="18" s="1"/>
  <c r="BI46" i="18"/>
  <c r="AV47" i="18"/>
  <c r="BI47" i="18" s="1"/>
  <c r="AR106" i="18"/>
  <c r="BG106" i="18" s="1"/>
  <c r="R107" i="18"/>
  <c r="AR107" i="18" s="1"/>
  <c r="BG107" i="18" s="1"/>
  <c r="AZ95" i="18"/>
  <c r="BK95" i="18" s="1"/>
  <c r="BK94" i="18"/>
  <c r="F59" i="18"/>
  <c r="AP59" i="18" s="1"/>
  <c r="BF59" i="18" s="1"/>
  <c r="AP58" i="18"/>
  <c r="BF58" i="18" s="1"/>
  <c r="AX71" i="18"/>
  <c r="BJ71" i="18" s="1"/>
  <c r="BJ70" i="18"/>
  <c r="AQ94" i="18"/>
  <c r="L95" i="18"/>
  <c r="AQ95" i="18" s="1"/>
  <c r="AJ119" i="18"/>
  <c r="AU119" i="18" s="1"/>
  <c r="AU118" i="18"/>
  <c r="AD95" i="18"/>
  <c r="AT95" i="18" s="1"/>
  <c r="BH95" i="18" s="1"/>
  <c r="AT94" i="18"/>
  <c r="BH94" i="18" s="1"/>
  <c r="BD71" i="18"/>
  <c r="BM71" i="18" s="1"/>
  <c r="BM70" i="18"/>
  <c r="BD131" i="18"/>
  <c r="BM131" i="18" s="1"/>
  <c r="BM130" i="18"/>
  <c r="BB107" i="18"/>
  <c r="BL107" i="18" s="1"/>
  <c r="BL106" i="18"/>
  <c r="BI94" i="18"/>
  <c r="AV95" i="18"/>
  <c r="BI95" i="18" s="1"/>
  <c r="R47" i="18"/>
  <c r="AR47" i="18" s="1"/>
  <c r="AR46" i="18"/>
  <c r="AS82" i="18"/>
  <c r="X83" i="18"/>
  <c r="AS83" i="18" s="1"/>
  <c r="BB71" i="18"/>
  <c r="BL71" i="18" s="1"/>
  <c r="BL70" i="18"/>
  <c r="AZ107" i="18"/>
  <c r="BK107" i="18" s="1"/>
  <c r="BK106" i="18"/>
  <c r="F71" i="18"/>
  <c r="AP71" i="18" s="1"/>
  <c r="AP70" i="18"/>
  <c r="AX83" i="18"/>
  <c r="BJ83" i="18" s="1"/>
  <c r="BJ82" i="18"/>
  <c r="AQ106" i="18"/>
  <c r="L107" i="18"/>
  <c r="AQ107" i="18" s="1"/>
  <c r="AJ47" i="18"/>
  <c r="AU47" i="18" s="1"/>
  <c r="AU46" i="18"/>
  <c r="AJ131" i="18"/>
  <c r="AU131" i="18" s="1"/>
  <c r="AU130" i="18"/>
  <c r="AD107" i="18"/>
  <c r="AT107" i="18" s="1"/>
  <c r="BH107" i="18" s="1"/>
  <c r="AT106" i="18"/>
  <c r="BH106" i="18" s="1"/>
  <c r="BM34" i="18"/>
  <c r="BD35" i="18"/>
  <c r="BM35" i="18" s="1"/>
  <c r="BB119" i="18"/>
  <c r="BL119" i="18" s="1"/>
  <c r="BL118" i="18"/>
  <c r="BI106" i="18"/>
  <c r="AV107" i="18"/>
  <c r="BI107" i="18" s="1"/>
  <c r="R59" i="18"/>
  <c r="AR59" i="18" s="1"/>
  <c r="BG59" i="18" s="1"/>
  <c r="AR58" i="18"/>
  <c r="BG58" i="18" s="1"/>
  <c r="AS94" i="18"/>
  <c r="X95" i="18"/>
  <c r="AS95" i="18" s="1"/>
  <c r="AZ119" i="18"/>
  <c r="BK119" i="18" s="1"/>
  <c r="BK118" i="18"/>
  <c r="F83" i="18"/>
  <c r="AP83" i="18" s="1"/>
  <c r="BF83" i="18" s="1"/>
  <c r="AP82" i="18"/>
  <c r="BF82" i="18" s="1"/>
  <c r="AX95" i="18"/>
  <c r="BJ95" i="18" s="1"/>
  <c r="BJ94" i="18"/>
  <c r="AQ118" i="18"/>
  <c r="L119" i="18"/>
  <c r="AQ119" i="18" s="1"/>
  <c r="AJ35" i="18"/>
  <c r="AU35" i="18" s="1"/>
  <c r="AU34" i="18"/>
  <c r="AD119" i="18"/>
  <c r="AT119" i="18" s="1"/>
  <c r="BH119" i="18" s="1"/>
  <c r="AT118" i="18"/>
  <c r="BH118" i="18" s="1"/>
  <c r="BM46" i="18"/>
  <c r="BD47" i="18"/>
  <c r="BM47" i="18" s="1"/>
  <c r="BL34" i="18"/>
  <c r="BB35" i="18"/>
  <c r="BL35" i="18" s="1"/>
  <c r="BB131" i="18"/>
  <c r="BL131" i="18" s="1"/>
  <c r="BL130" i="18"/>
  <c r="BI118" i="18"/>
  <c r="AV119" i="18"/>
  <c r="BI119" i="18" s="1"/>
  <c r="R71" i="18"/>
  <c r="AR71" i="18" s="1"/>
  <c r="AR70" i="18"/>
  <c r="AS106" i="18"/>
  <c r="X107" i="18"/>
  <c r="AS107" i="18" s="1"/>
  <c r="AT58" i="18"/>
  <c r="BH58" i="18" s="1"/>
  <c r="AD59" i="18"/>
  <c r="AT59" i="18" s="1"/>
  <c r="BH59" i="18" s="1"/>
  <c r="BD95" i="18"/>
  <c r="BM95" i="18" s="1"/>
  <c r="BM94" i="18"/>
  <c r="AZ71" i="18"/>
  <c r="BK71" i="18" s="1"/>
  <c r="BK70" i="18"/>
  <c r="F131" i="18"/>
  <c r="AP131" i="18" s="1"/>
  <c r="BF131" i="18" s="1"/>
  <c r="AP130" i="18"/>
  <c r="BF130" i="18" s="1"/>
  <c r="AJ95" i="18"/>
  <c r="AU95" i="18" s="1"/>
  <c r="AU94" i="18"/>
  <c r="AZ35" i="18"/>
  <c r="BK35" i="18" s="1"/>
  <c r="BK34" i="18"/>
  <c r="AZ131" i="18"/>
  <c r="BK131" i="18" s="1"/>
  <c r="BK130" i="18"/>
  <c r="F95" i="18"/>
  <c r="AP95" i="18" s="1"/>
  <c r="BF95" i="18" s="1"/>
  <c r="AP94" i="18"/>
  <c r="BF94" i="18" s="1"/>
  <c r="AX107" i="18"/>
  <c r="BJ107" i="18" s="1"/>
  <c r="BJ106" i="18"/>
  <c r="L47" i="18"/>
  <c r="AQ47" i="18" s="1"/>
  <c r="AQ46" i="18"/>
  <c r="AQ130" i="18"/>
  <c r="L131" i="18"/>
  <c r="AQ131" i="18" s="1"/>
  <c r="AJ71" i="18"/>
  <c r="AU71" i="18" s="1"/>
  <c r="AU70" i="18"/>
  <c r="AT34" i="18"/>
  <c r="AD35" i="18"/>
  <c r="AT35" i="18" s="1"/>
  <c r="AD131" i="18"/>
  <c r="AT131" i="18" s="1"/>
  <c r="BH131" i="18" s="1"/>
  <c r="AT130" i="18"/>
  <c r="BH130" i="18" s="1"/>
  <c r="BD59" i="18"/>
  <c r="BM59" i="18" s="1"/>
  <c r="BM58" i="18"/>
  <c r="BL46" i="18"/>
  <c r="BB47" i="18"/>
  <c r="BL47" i="18" s="1"/>
  <c r="BI70" i="18"/>
  <c r="AV71" i="18"/>
  <c r="BI71" i="18" s="1"/>
  <c r="BI130" i="18"/>
  <c r="AV131" i="18"/>
  <c r="BI131" i="18" s="1"/>
  <c r="AR82" i="18"/>
  <c r="BG82" i="18" s="1"/>
  <c r="R83" i="18"/>
  <c r="AR83" i="18" s="1"/>
  <c r="BG83" i="18" s="1"/>
  <c r="AS118" i="18"/>
  <c r="X119" i="18"/>
  <c r="AS119" i="18" s="1"/>
  <c r="AX35" i="18"/>
  <c r="BJ35" i="18" s="1"/>
  <c r="BJ34" i="18"/>
  <c r="F35" i="18"/>
  <c r="AP35" i="18" s="1"/>
  <c r="BF35" i="18" s="1"/>
  <c r="AP34" i="18"/>
  <c r="BF34" i="18" s="1"/>
  <c r="L71" i="18"/>
  <c r="AQ71" i="18" s="1"/>
  <c r="AQ70" i="18"/>
  <c r="AR118" i="18"/>
  <c r="BG118" i="18" s="1"/>
  <c r="R119" i="18"/>
  <c r="AR119" i="18" s="1"/>
  <c r="BG119" i="18" s="1"/>
  <c r="AZ47" i="18"/>
  <c r="BK47" i="18" s="1"/>
  <c r="BK46" i="18"/>
  <c r="F107" i="18"/>
  <c r="AP107" i="18" s="1"/>
  <c r="BF107" i="18" s="1"/>
  <c r="AP106" i="18"/>
  <c r="BF106" i="18" s="1"/>
  <c r="AX119" i="18"/>
  <c r="BJ119" i="18" s="1"/>
  <c r="BJ118" i="18"/>
  <c r="L59" i="18"/>
  <c r="AQ59" i="18" s="1"/>
  <c r="AQ58" i="18"/>
  <c r="AJ59" i="18"/>
  <c r="AU59" i="18" s="1"/>
  <c r="AU58" i="18"/>
  <c r="AT46" i="18"/>
  <c r="AD47" i="18"/>
  <c r="AT47" i="18" s="1"/>
  <c r="BD83" i="18"/>
  <c r="BM83" i="18" s="1"/>
  <c r="BM82" i="18"/>
  <c r="BL58" i="18"/>
  <c r="BB59" i="18"/>
  <c r="BL59" i="18" s="1"/>
  <c r="BI34" i="18"/>
  <c r="AV35" i="18"/>
  <c r="BI35" i="18" s="1"/>
  <c r="AR94" i="18"/>
  <c r="BG94" i="18" s="1"/>
  <c r="R95" i="18"/>
  <c r="AR95" i="18" s="1"/>
  <c r="BG95" i="18" s="1"/>
  <c r="AS34" i="18"/>
  <c r="X35" i="18"/>
  <c r="AS35" i="18" s="1"/>
  <c r="AS130" i="18"/>
  <c r="X131" i="18"/>
  <c r="AS131" i="18" s="1"/>
  <c r="BJ72" i="18"/>
  <c r="BK120" i="18"/>
  <c r="BK36" i="18"/>
  <c r="BK24" i="18"/>
  <c r="BJ12" i="18"/>
  <c r="BL96" i="18"/>
  <c r="BK72" i="18"/>
  <c r="BK60" i="18"/>
  <c r="BI120" i="18"/>
  <c r="BL72" i="18"/>
  <c r="BK84" i="18"/>
  <c r="BL84" i="18"/>
  <c r="AT12" i="18"/>
  <c r="BI48" i="18"/>
  <c r="BL24" i="18"/>
  <c r="BH11" i="18"/>
  <c r="BI84" i="18"/>
  <c r="BM108" i="18"/>
  <c r="BI12" i="18"/>
  <c r="AR12" i="18"/>
  <c r="AT96" i="18"/>
  <c r="AU108" i="18"/>
  <c r="BL48" i="18"/>
  <c r="BM24" i="18"/>
  <c r="BJ120" i="18"/>
  <c r="AS48" i="18"/>
  <c r="AP24" i="18"/>
  <c r="AS12" i="18"/>
  <c r="AT120" i="18"/>
  <c r="BK12" i="18"/>
  <c r="BL12" i="18"/>
  <c r="BM36" i="18"/>
  <c r="BJ96" i="18"/>
  <c r="BM120" i="18"/>
  <c r="AS72" i="18"/>
  <c r="AT48" i="18"/>
  <c r="AS84" i="18"/>
  <c r="AR120" i="18"/>
  <c r="AR108" i="18"/>
  <c r="AU12" i="18"/>
  <c r="AR96" i="18"/>
  <c r="AS24" i="18"/>
  <c r="BL120" i="18"/>
  <c r="BL60" i="18"/>
  <c r="AS60" i="18"/>
  <c r="BM72" i="18"/>
  <c r="AT84" i="18"/>
  <c r="BI36" i="18"/>
  <c r="AU24" i="18"/>
  <c r="AU60" i="18"/>
  <c r="AQ24" i="18"/>
  <c r="AP48" i="18"/>
  <c r="AR36" i="18"/>
  <c r="BI96" i="18"/>
  <c r="BG11" i="18"/>
  <c r="AT36" i="18"/>
  <c r="BL108" i="18"/>
  <c r="BK96" i="18"/>
  <c r="BJ84" i="18"/>
  <c r="AR72" i="18"/>
  <c r="BI60" i="18"/>
  <c r="AU84" i="18"/>
  <c r="BM84" i="18"/>
  <c r="BJ48" i="18"/>
  <c r="AQ12" i="18"/>
  <c r="AQ108" i="18"/>
  <c r="BF11" i="18"/>
  <c r="AQ72" i="18"/>
  <c r="AQ48" i="18"/>
  <c r="BM96" i="18"/>
  <c r="BM48" i="18"/>
  <c r="AU72" i="18"/>
  <c r="AU48" i="18"/>
  <c r="V23" i="18"/>
  <c r="G23" i="18"/>
  <c r="AP72" i="18"/>
  <c r="AT60" i="18"/>
  <c r="BJ60" i="18"/>
  <c r="AM23" i="18"/>
  <c r="Z23" i="18"/>
  <c r="AL23" i="18"/>
  <c r="AU120" i="18"/>
  <c r="AQ60" i="18"/>
  <c r="Q23" i="18"/>
  <c r="AS22" i="18"/>
  <c r="X23" i="18"/>
  <c r="AP108" i="18"/>
  <c r="BE23" i="18"/>
  <c r="BM12" i="18"/>
  <c r="BD23" i="18"/>
  <c r="BM22" i="18"/>
  <c r="AT108" i="18"/>
  <c r="BI24" i="18"/>
  <c r="AN23" i="18"/>
  <c r="AP120" i="18"/>
  <c r="AF23" i="18"/>
  <c r="P23" i="18"/>
  <c r="AS120" i="18"/>
  <c r="BC23" i="18"/>
  <c r="AR84" i="18"/>
  <c r="AB23" i="18"/>
  <c r="Y23" i="18"/>
  <c r="BA23" i="18"/>
  <c r="AT22" i="18"/>
  <c r="AD23" i="18"/>
  <c r="AT72" i="18"/>
  <c r="AW23" i="18"/>
  <c r="AU22" i="18"/>
  <c r="AJ23" i="18"/>
  <c r="AK23" i="18"/>
  <c r="AI23" i="18"/>
  <c r="AU96" i="18"/>
  <c r="AQ36" i="18"/>
  <c r="AC23" i="18"/>
  <c r="AS96" i="18"/>
  <c r="AP36" i="18"/>
  <c r="W23" i="18"/>
  <c r="O23" i="18"/>
  <c r="AZ23" i="18"/>
  <c r="BK22" i="18"/>
  <c r="S23" i="18"/>
  <c r="AY23" i="18"/>
  <c r="AT24" i="18"/>
  <c r="BJ24" i="18"/>
  <c r="BI108" i="18"/>
  <c r="AR22" i="18"/>
  <c r="R23" i="18"/>
  <c r="AU36" i="18"/>
  <c r="AS108" i="18"/>
  <c r="AS36" i="18"/>
  <c r="AQ96" i="18"/>
  <c r="N23" i="18"/>
  <c r="AQ120" i="18"/>
  <c r="I23" i="18"/>
  <c r="K23" i="18"/>
  <c r="AH23" i="18"/>
  <c r="L23" i="18"/>
  <c r="AQ22" i="18"/>
  <c r="BK108" i="18"/>
  <c r="BJ36" i="18"/>
  <c r="AR24" i="18"/>
  <c r="AR60" i="18"/>
  <c r="AG23" i="18"/>
  <c r="AP22" i="18"/>
  <c r="F23" i="18"/>
  <c r="AV23" i="18"/>
  <c r="BI22" i="18"/>
  <c r="AO23" i="18"/>
  <c r="AE23" i="18"/>
  <c r="AQ84" i="18"/>
  <c r="AP84" i="18"/>
  <c r="AP96" i="18"/>
  <c r="BB23" i="18"/>
  <c r="BL22" i="18"/>
  <c r="BJ108" i="18"/>
  <c r="AX23" i="18"/>
  <c r="BJ22" i="18"/>
  <c r="BI72" i="18"/>
  <c r="AR48" i="18"/>
  <c r="AA23" i="18"/>
  <c r="M23" i="18"/>
  <c r="AP12" i="18"/>
  <c r="AP60" i="18"/>
  <c r="BH228" i="18" l="1"/>
  <c r="BF336" i="18"/>
  <c r="BF370" i="18"/>
  <c r="BG204" i="18"/>
  <c r="BG192" i="18"/>
  <c r="BF204" i="18"/>
  <c r="BG288" i="18"/>
  <c r="BF240" i="18"/>
  <c r="BF192" i="18"/>
  <c r="BF144" i="18"/>
  <c r="BH336" i="18"/>
  <c r="BH288" i="18"/>
  <c r="BG156" i="18"/>
  <c r="BH132" i="18"/>
  <c r="BF168" i="18"/>
  <c r="BH144" i="18"/>
  <c r="BG240" i="18"/>
  <c r="BF156" i="18"/>
  <c r="BH180" i="18"/>
  <c r="BG216" i="18"/>
  <c r="BH156" i="18"/>
  <c r="BH168" i="18"/>
  <c r="BH204" i="18"/>
  <c r="BG264" i="18"/>
  <c r="BF132" i="18"/>
  <c r="BF228" i="18"/>
  <c r="BF252" i="18"/>
  <c r="BF216" i="18"/>
  <c r="BH216" i="18"/>
  <c r="BF180" i="18"/>
  <c r="BH192" i="18"/>
  <c r="BG228" i="18"/>
  <c r="BG168" i="18"/>
  <c r="BH240" i="18"/>
  <c r="BG180" i="18"/>
  <c r="BG144" i="18"/>
  <c r="BG132" i="18"/>
  <c r="BF288" i="18"/>
  <c r="BG336" i="18"/>
  <c r="BH300" i="18"/>
  <c r="BF264" i="18"/>
  <c r="BH371" i="18"/>
  <c r="BF371" i="18"/>
  <c r="BH276" i="18"/>
  <c r="BF324" i="18"/>
  <c r="BF360" i="18"/>
  <c r="BG324" i="18"/>
  <c r="BH370" i="18"/>
  <c r="BH348" i="18"/>
  <c r="BG360" i="18"/>
  <c r="BH264" i="18"/>
  <c r="BF348" i="18"/>
  <c r="BF300" i="18"/>
  <c r="BH312" i="18"/>
  <c r="BH324" i="18"/>
  <c r="BF276" i="18"/>
  <c r="BG300" i="18"/>
  <c r="BH252" i="18"/>
  <c r="BH360" i="18"/>
  <c r="BG348" i="18"/>
  <c r="BF312" i="18"/>
  <c r="BG312" i="18"/>
  <c r="BG276" i="18"/>
  <c r="BG71" i="18"/>
  <c r="BF71" i="18"/>
  <c r="BH70" i="18"/>
  <c r="BH71" i="18"/>
  <c r="BG70" i="18"/>
  <c r="BF70" i="18"/>
  <c r="BG47" i="18"/>
  <c r="BG46" i="18"/>
  <c r="BH35" i="18"/>
  <c r="BH34" i="18"/>
  <c r="BH47" i="18"/>
  <c r="BG34" i="18"/>
  <c r="BF46" i="18"/>
  <c r="BH46" i="18"/>
  <c r="BG35" i="18"/>
  <c r="BF47" i="18"/>
  <c r="BF22" i="18"/>
  <c r="BH72" i="18"/>
  <c r="BH36" i="18"/>
  <c r="BF108" i="18"/>
  <c r="BG84" i="18"/>
  <c r="BF12" i="18"/>
  <c r="BG120" i="18"/>
  <c r="BF60" i="18"/>
  <c r="BH12" i="18"/>
  <c r="BG36" i="18"/>
  <c r="BG12" i="18"/>
  <c r="BH60" i="18"/>
  <c r="BH120" i="18"/>
  <c r="BH96" i="18"/>
  <c r="BH108" i="18"/>
  <c r="BH48" i="18"/>
  <c r="BG108" i="18"/>
  <c r="BG96" i="18"/>
  <c r="BG60" i="18"/>
  <c r="BF24" i="18"/>
  <c r="BG48" i="18"/>
  <c r="BG24" i="18"/>
  <c r="BH24" i="18"/>
  <c r="BF72" i="18"/>
  <c r="BG22" i="18"/>
  <c r="BF84" i="18"/>
  <c r="BG72" i="18"/>
  <c r="BF96" i="18"/>
  <c r="BF36" i="18"/>
  <c r="BF48" i="18"/>
  <c r="BH84" i="18"/>
  <c r="AR23" i="18"/>
  <c r="AT23" i="18"/>
  <c r="AS23" i="18"/>
  <c r="AU23" i="18"/>
  <c r="BH22" i="18"/>
  <c r="BK23" i="18"/>
  <c r="BI23" i="18"/>
  <c r="BF120" i="18"/>
  <c r="BL23" i="18"/>
  <c r="BJ23" i="18"/>
  <c r="AP23" i="18"/>
  <c r="AQ23" i="18"/>
  <c r="BM23" i="18"/>
  <c r="BF23" i="18" l="1"/>
  <c r="BH23" i="18"/>
  <c r="BG2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Lorenz Fabian (ED-PA/PRM-C)</author>
  </authors>
  <commentList>
    <comment ref="B8" authorId="0" shapeId="0" xr:uid="{912DAD87-715B-4558-A854-C1575EEEE8A0}">
      <text>
        <r>
          <rPr>
            <b/>
            <sz val="9"/>
            <color indexed="81"/>
            <rFont val="Tahoma"/>
            <family val="2"/>
          </rPr>
          <t>Lorenz Fabian (ED-PA/PRM-C):</t>
        </r>
        <r>
          <rPr>
            <sz val="9"/>
            <color indexed="81"/>
            <rFont val="Tahoma"/>
            <family val="2"/>
          </rPr>
          <t xml:space="preserve">
Product Name</t>
        </r>
      </text>
    </comment>
    <comment ref="C8" authorId="0" shapeId="0" xr:uid="{78F4629C-DAF1-4A7A-A495-59D28079FC55}">
      <text>
        <r>
          <rPr>
            <b/>
            <sz val="9"/>
            <color indexed="81"/>
            <rFont val="Tahoma"/>
            <family val="2"/>
          </rPr>
          <t>Lorenz Fabian (ED-PA/PRM-C):</t>
        </r>
        <r>
          <rPr>
            <sz val="9"/>
            <color indexed="81"/>
            <rFont val="Tahoma"/>
            <family val="2"/>
          </rPr>
          <t xml:space="preserve">
plant no.</t>
        </r>
      </text>
    </comment>
    <comment ref="D8" authorId="0" shapeId="0" xr:uid="{A0C2B9F6-8110-4EA0-A997-CFF07B6F3967}">
      <text>
        <r>
          <rPr>
            <b/>
            <sz val="9"/>
            <color indexed="81"/>
            <rFont val="Tahoma"/>
            <family val="2"/>
          </rPr>
          <t>Lorenz Fabian (ED-PA/PRM-C):</t>
        </r>
        <r>
          <rPr>
            <sz val="9"/>
            <color indexed="81"/>
            <rFont val="Tahoma"/>
            <family val="2"/>
          </rPr>
          <t xml:space="preserve">
SAP name in plant</t>
        </r>
      </text>
    </comment>
    <comment ref="E10" authorId="0" shapeId="0" xr:uid="{40D521C8-6DD2-4FD4-97D4-26FF87E0BA57}">
      <text>
        <r>
          <rPr>
            <b/>
            <sz val="9"/>
            <color indexed="81"/>
            <rFont val="Tahoma"/>
            <family val="2"/>
          </rPr>
          <t>Lorenz Fabian (ED-PA/PRM-C):</t>
        </r>
        <r>
          <rPr>
            <sz val="9"/>
            <color indexed="81"/>
            <rFont val="Tahoma"/>
            <family val="2"/>
          </rPr>
          <t xml:space="preserve">
e.g. national holidays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<sst xmlns="http://schemas.openxmlformats.org/spreadsheetml/2006/main" count="1186" uniqueCount="235">
  <si>
    <t>Product</t>
  </si>
  <si>
    <t>Plant line #</t>
  </si>
  <si>
    <t>OEE</t>
  </si>
  <si>
    <t>Concept</t>
  </si>
  <si>
    <t>Shift Time</t>
  </si>
  <si>
    <t>Shift change: meeting</t>
  </si>
  <si>
    <t>Lunch</t>
  </si>
  <si>
    <t>Stretching</t>
  </si>
  <si>
    <t>Break</t>
  </si>
  <si>
    <t>Time (min)</t>
  </si>
  <si>
    <t>MAE time (min)</t>
  </si>
  <si>
    <t>Working minutes / day</t>
  </si>
  <si>
    <t>Working hours / day</t>
  </si>
  <si>
    <t>other</t>
  </si>
  <si>
    <t>2. Working hours / day</t>
  </si>
  <si>
    <t>TPM</t>
  </si>
  <si>
    <t>POT (min)</t>
  </si>
  <si>
    <r>
      <t>1</t>
    </r>
    <r>
      <rPr>
        <vertAlign val="superscript"/>
        <sz val="8"/>
        <color rgb="FF000000"/>
        <rFont val="Bosch Office Sans"/>
      </rPr>
      <t>st</t>
    </r>
    <r>
      <rPr>
        <sz val="8"/>
        <color rgb="FF000000"/>
        <rFont val="Bosch Office Sans"/>
      </rPr>
      <t xml:space="preserve"> shift</t>
    </r>
  </si>
  <si>
    <r>
      <t>2</t>
    </r>
    <r>
      <rPr>
        <vertAlign val="superscript"/>
        <sz val="8"/>
        <color rgb="FF000000"/>
        <rFont val="Bosch Office Sans"/>
      </rPr>
      <t>nd</t>
    </r>
    <r>
      <rPr>
        <sz val="8"/>
        <color rgb="FF000000"/>
        <rFont val="Bosch Office Sans"/>
      </rPr>
      <t xml:space="preserve"> shift</t>
    </r>
  </si>
  <si>
    <r>
      <t>3</t>
    </r>
    <r>
      <rPr>
        <vertAlign val="superscript"/>
        <sz val="8"/>
        <color rgb="FF000000"/>
        <rFont val="Bosch Office Sans"/>
      </rPr>
      <t>rd</t>
    </r>
    <r>
      <rPr>
        <sz val="8"/>
        <color rgb="FF000000"/>
        <rFont val="Bosch Office Sans"/>
      </rPr>
      <t xml:space="preserve"> shift</t>
    </r>
  </si>
  <si>
    <t>Pause / Break</t>
  </si>
  <si>
    <t>Back up information</t>
  </si>
  <si>
    <t>You can save here screen shoots from documents you needed to complete the information</t>
  </si>
  <si>
    <t xml:space="preserve">Instruction: In this section, you will indicate your working hours per day according the different shift models used in your plant.
                 Complete only the information requested in white cells according the KPI used in your plant (UTrel or OEE). 
                 You do not need to fulfill all the tables, only the one(s) applicable, you can even modify the description of the shift model.
</t>
  </si>
  <si>
    <t>working time</t>
  </si>
  <si>
    <t>planned TPM (hour/month)</t>
  </si>
  <si>
    <t>produce sample (hour/month)</t>
  </si>
  <si>
    <t>technial upgrade (hour/month)</t>
  </si>
  <si>
    <t>POT per day Mo-Sa(hour/day)</t>
  </si>
  <si>
    <t>Sunday with production (days)</t>
  </si>
  <si>
    <t>POT per day on Sunday (hour/day)</t>
  </si>
  <si>
    <t>Number of Sundays</t>
  </si>
  <si>
    <t>ct (sec)</t>
  </si>
  <si>
    <t>3 shift per day (Mo-Sa)</t>
  </si>
  <si>
    <t>4 shift per day (Mo-Sa)</t>
  </si>
  <si>
    <t xml:space="preserve"> shift model at the weekend</t>
  </si>
  <si>
    <r>
      <t xml:space="preserve">OEE
</t>
    </r>
    <r>
      <rPr>
        <sz val="9"/>
        <color theme="1"/>
        <rFont val="Calibri"/>
        <family val="2"/>
        <scheme val="minor"/>
      </rPr>
      <t>(Planned operation time / POT)</t>
    </r>
  </si>
  <si>
    <r>
      <t xml:space="preserve">Utrel
</t>
    </r>
    <r>
      <rPr>
        <sz val="9"/>
        <color theme="1"/>
        <rFont val="Calibri"/>
        <family val="2"/>
        <scheme val="minor"/>
      </rPr>
      <t>(MAE time)</t>
    </r>
  </si>
  <si>
    <r>
      <t>4</t>
    </r>
    <r>
      <rPr>
        <vertAlign val="superscript"/>
        <sz val="8"/>
        <color rgb="FF000000"/>
        <rFont val="Bosch Office Sans"/>
      </rPr>
      <t>th</t>
    </r>
    <r>
      <rPr>
        <sz val="8"/>
        <color rgb="FF000000"/>
        <rFont val="Bosch Office Sans"/>
      </rPr>
      <t xml:space="preserve"> shift</t>
    </r>
  </si>
  <si>
    <t>Calendar working days (day/month)</t>
  </si>
  <si>
    <t>Planned operation days (day/month)</t>
  </si>
  <si>
    <t>L-956</t>
  </si>
  <si>
    <t>FED2.0</t>
  </si>
  <si>
    <t>3. UTrel   |   OEE</t>
  </si>
  <si>
    <t>Historical information up to 1 year</t>
  </si>
  <si>
    <t>UTrel</t>
  </si>
  <si>
    <t>Click in the blue cell and select the KPI you want to use:</t>
  </si>
  <si>
    <t>Year</t>
  </si>
  <si>
    <t>Month 1</t>
  </si>
  <si>
    <t>Month 2</t>
  </si>
  <si>
    <t>Month 3</t>
  </si>
  <si>
    <t>Month 4</t>
  </si>
  <si>
    <t>Month 5</t>
  </si>
  <si>
    <t>Month 6</t>
  </si>
  <si>
    <t>Month 7</t>
  </si>
  <si>
    <t>Month 8</t>
  </si>
  <si>
    <t>Month 9</t>
  </si>
  <si>
    <t>Month 10</t>
  </si>
  <si>
    <t>Month 11</t>
  </si>
  <si>
    <t>Month 12</t>
  </si>
  <si>
    <t>GPG Motor</t>
  </si>
  <si>
    <t>L-595 (048)</t>
  </si>
  <si>
    <t>GPG Armature</t>
  </si>
  <si>
    <t>L-055</t>
  </si>
  <si>
    <t>GPB Motor</t>
  </si>
  <si>
    <t>L-710 (060)</t>
  </si>
  <si>
    <t>FED / ECM</t>
  </si>
  <si>
    <t>L-778 (466)</t>
  </si>
  <si>
    <t>FED</t>
  </si>
  <si>
    <t>L-779 (439)</t>
  </si>
  <si>
    <t>L-038</t>
  </si>
  <si>
    <t>L-108</t>
  </si>
  <si>
    <t>FED2.0 + XL</t>
  </si>
  <si>
    <t>L-163</t>
  </si>
  <si>
    <t>L-958</t>
  </si>
  <si>
    <t>ECM2.0</t>
  </si>
  <si>
    <t>L-455</t>
  </si>
  <si>
    <t>PAD2 Final assy</t>
  </si>
  <si>
    <t>L-624</t>
  </si>
  <si>
    <t>L-656</t>
  </si>
  <si>
    <t>GBB</t>
  </si>
  <si>
    <t>L-xxx</t>
  </si>
  <si>
    <t>GBM motor</t>
  </si>
  <si>
    <t>L-660</t>
  </si>
  <si>
    <t>GBM Armature</t>
  </si>
  <si>
    <t>L-661</t>
  </si>
  <si>
    <t>GBM Module</t>
  </si>
  <si>
    <t>L-612</t>
  </si>
  <si>
    <t>Others (hour/month)</t>
  </si>
  <si>
    <t>Total calendar (days/ month)</t>
  </si>
  <si>
    <t>Instruction: Complete only the information requested in white cells according the KPI used in your plant (UTrel or OEE).
                 If you want to consider target performance and not historical reference, fill out only "Month 1".  
                 If you did not produce in a month, please let the cell empty (not 0%)!</t>
  </si>
  <si>
    <t>Start Year</t>
  </si>
  <si>
    <t>PVA2023-1</t>
  </si>
  <si>
    <t>PVA2024-1</t>
  </si>
  <si>
    <t>PVA_Acquisition_Status_Accepted</t>
  </si>
  <si>
    <t>PVA_Cust._Fluc.</t>
  </si>
  <si>
    <t>Volume Shared Products</t>
  </si>
  <si>
    <t>Additional Curve 4</t>
  </si>
  <si>
    <t>Additional Curve 5</t>
  </si>
  <si>
    <t>Additional Curve 6</t>
  </si>
  <si>
    <t>BueP</t>
  </si>
  <si>
    <t>RBCC</t>
  </si>
  <si>
    <t>TlP</t>
  </si>
  <si>
    <t>CaP</t>
  </si>
  <si>
    <t>Number of add. holidays (day/month)</t>
  </si>
  <si>
    <t>Customer EDI</t>
  </si>
  <si>
    <t>BueP Stock</t>
  </si>
  <si>
    <t>Produced Volume BueP</t>
  </si>
  <si>
    <t>Month view range</t>
  </si>
  <si>
    <t>hide/unhide columns:</t>
  </si>
  <si>
    <t>Starting month</t>
  </si>
  <si>
    <t>blau</t>
  </si>
  <si>
    <t>gruen</t>
  </si>
  <si>
    <t>grau</t>
  </si>
  <si>
    <t>gelb</t>
  </si>
  <si>
    <t>plant5</t>
  </si>
  <si>
    <t>braun</t>
  </si>
  <si>
    <t>line1</t>
  </si>
  <si>
    <t>plant2</t>
  </si>
  <si>
    <t>line2</t>
  </si>
  <si>
    <t>line3</t>
  </si>
  <si>
    <t>line4</t>
  </si>
  <si>
    <t>line5</t>
  </si>
  <si>
    <t>line6</t>
  </si>
  <si>
    <t>line7</t>
  </si>
  <si>
    <t>line8</t>
  </si>
  <si>
    <t>line9</t>
  </si>
  <si>
    <t>line10</t>
  </si>
  <si>
    <t>#5581B7</t>
  </si>
  <si>
    <t>#638CBD</t>
  </si>
  <si>
    <t>#7095C2</t>
  </si>
  <si>
    <t>plant3</t>
  </si>
  <si>
    <t>#D1904F</t>
  </si>
  <si>
    <t>#D9A36D</t>
  </si>
  <si>
    <t>#DDAD7D</t>
  </si>
  <si>
    <t>#E1B68B</t>
  </si>
  <si>
    <t>#E5C09B</t>
  </si>
  <si>
    <t>#E9C9A9</t>
  </si>
  <si>
    <t>#EDD3B9</t>
  </si>
  <si>
    <t>#F1DCC7</t>
  </si>
  <si>
    <t>#F5E6D7</t>
  </si>
  <si>
    <t>#F9F0E7</t>
  </si>
  <si>
    <t>#CD853F</t>
  </si>
  <si>
    <t>#C77D33</t>
  </si>
  <si>
    <t>#B7732F</t>
  </si>
  <si>
    <t>plant4</t>
  </si>
  <si>
    <t>#CCCC00</t>
  </si>
  <si>
    <t>#E3DE00</t>
  </si>
  <si>
    <t>#F6F000</t>
  </si>
  <si>
    <t>#FFF909</t>
  </si>
  <si>
    <t>#FFFC7D</t>
  </si>
  <si>
    <t>#FFFEC9</t>
  </si>
  <si>
    <t>#FFFFEF</t>
  </si>
  <si>
    <t>#F2EC00</t>
  </si>
  <si>
    <t>#BCB800</t>
  </si>
  <si>
    <t>#A8A400</t>
  </si>
  <si>
    <t>#969200</t>
  </si>
  <si>
    <t>#827F00</t>
  </si>
  <si>
    <t>#706D00</t>
  </si>
  <si>
    <t>plant1</t>
  </si>
  <si>
    <t>#8439BD</t>
  </si>
  <si>
    <t>#9F5FCF</t>
  </si>
  <si>
    <t>#A86ED4</t>
  </si>
  <si>
    <t>#B17ED8</t>
  </si>
  <si>
    <t>#BA8CDC</t>
  </si>
  <si>
    <t>#C39BE1</t>
  </si>
  <si>
    <t>#CBA9E5</t>
  </si>
  <si>
    <t>#D5B8EA</t>
  </si>
  <si>
    <t>#DEC7EF</t>
  </si>
  <si>
    <t>#E6D5F3</t>
  </si>
  <si>
    <t>#EFE5F7</t>
  </si>
  <si>
    <t>#CD3278</t>
  </si>
  <si>
    <t>#D6528E</t>
  </si>
  <si>
    <t>#D96197</t>
  </si>
  <si>
    <t>#DD71A2</t>
  </si>
  <si>
    <t>#E080AB</t>
  </si>
  <si>
    <t>#E490B6</t>
  </si>
  <si>
    <t>#E8A0C1</t>
  </si>
  <si>
    <t>#ECAECA</t>
  </si>
  <si>
    <t>#F3CDDE</t>
  </si>
  <si>
    <t>#F7DDE9</t>
  </si>
  <si>
    <t>#A6A6A6</t>
  </si>
  <si>
    <t>#B0B0B0</t>
  </si>
  <si>
    <t>#BABABA</t>
  </si>
  <si>
    <t>#C4C4C4</t>
  </si>
  <si>
    <t>#CDCDCD</t>
  </si>
  <si>
    <t>#D7D7D7</t>
  </si>
  <si>
    <t>#E0E0E0</t>
  </si>
  <si>
    <t>#EAEAEA</t>
  </si>
  <si>
    <t>#F3F3F3</t>
  </si>
  <si>
    <t>#9D9D9D</t>
  </si>
  <si>
    <t>#949494</t>
  </si>
  <si>
    <t>#8A8A8A</t>
  </si>
  <si>
    <t>#808080</t>
  </si>
  <si>
    <t>plant6</t>
  </si>
  <si>
    <t>lines</t>
  </si>
  <si>
    <t>colors in plant and worldwide diagram are the same</t>
  </si>
  <si>
    <t>lines in worldwide view are also shown in color stack</t>
  </si>
  <si>
    <t>lines separate shown in worldwide view</t>
  </si>
  <si>
    <t>#7E9FC8</t>
  </si>
  <si>
    <t>#8CAACE</t>
  </si>
  <si>
    <t>#99B3D3</t>
  </si>
  <si>
    <t>#A7BED9</t>
  </si>
  <si>
    <t>#B4C7DE</t>
  </si>
  <si>
    <t>#C2D1E4</t>
  </si>
  <si>
    <t>#CEDBEA</t>
  </si>
  <si>
    <t>#DCE5F0</t>
  </si>
  <si>
    <t>#EAEFF6</t>
  </si>
  <si>
    <t>#FF0000</t>
  </si>
  <si>
    <t>#00B050</t>
  </si>
  <si>
    <t>#0000FF</t>
  </si>
  <si>
    <t>#00B0F0</t>
  </si>
  <si>
    <t>#948A54</t>
  </si>
  <si>
    <t>#000000</t>
  </si>
  <si>
    <t>#F4B183</t>
  </si>
  <si>
    <t>#CAD9C2</t>
  </si>
  <si>
    <t>#FFC000</t>
  </si>
  <si>
    <t>→</t>
  </si>
  <si>
    <t>←</t>
  </si>
  <si>
    <t>x 1000</t>
  </si>
  <si>
    <t>for example:</t>
  </si>
  <si>
    <t>1. row</t>
  </si>
  <si>
    <t>24-months</t>
  </si>
  <si>
    <t>8-year on HY basis</t>
  </si>
  <si>
    <t>8-year on yearly basis</t>
  </si>
  <si>
    <t>Max TEC</t>
  </si>
  <si>
    <t>x</t>
  </si>
  <si>
    <t xml:space="preserve">Instruction: Complete only the information in the yellow cells </t>
  </si>
  <si>
    <t>Base TEC</t>
  </si>
  <si>
    <t>If you have any questions, please contact:
Lorenz Fabian (EM-IB/PRM-C)</t>
  </si>
  <si>
    <t>Plant</t>
  </si>
  <si>
    <t>DV-E5</t>
  </si>
  <si>
    <t>1127</t>
  </si>
  <si>
    <t>BuyP</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</si>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</sst>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_(* #,##0.00_);_(* \(#,##0.00\);_(* &quot;-&quot;??_);_(@_)"/>
    <numFmt numFmtId="166" formatCode="s\t\a\nd\a\rd"/>
    <numFmt numFmtId="167" formatCode="[$-407]mmm/\ yy;@"/>
    <numFmt numFmtId="168" formatCode="#,##0.0"/>
  </numFmts>
  <fonts count="49"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theme="1"/>
      <name val="Arial"/>
      <family val="2"/>
    </font>
    <font>
      <sz val="10"/>
      <name val="Arial"/>
      <family val="2"/>
    </font>
    <font>
      <sz val="10"/>
      <name val="MS Sans Serif"/>
      <family val="2"/>
    </font>
    <font>
      <sz val="8"/>
      <name val="Arial"/>
      <family val="2"/>
    </font>
    <font>
      <sz val="10"/>
      <color theme="1"/>
      <name val="Arial"/>
      <family val="2"/>
    </font>
    <font>
      <sz val="7"/>
      <color rgb="FF000000"/>
      <name val="Arial"/>
      <family val="2"/>
    </font>
    <font>
      <sz val="9"/>
      <color theme="1"/>
      <name val="Calibri"/>
      <family val="2"/>
      <scheme val="minor"/>
    </font>
    <font>
      <sz val="8"/>
      <color theme="1"/>
      <name val="Arial"/>
      <family val="2"/>
    </font>
    <font>
      <sz val="8"/>
      <color rgb="FF000000"/>
      <name val="Arial"/>
      <family val="2"/>
    </font>
    <font>
      <b/>
      <sz val="8"/>
      <color rgb="FF000000"/>
      <name val="Arial"/>
      <family val="2"/>
    </font>
    <font>
      <sz val="8"/>
      <color theme="1"/>
      <name val="Calibri"/>
      <family val="2"/>
      <scheme val="minor"/>
    </font>
    <font>
      <b/>
      <sz val="8"/>
      <color theme="1"/>
      <name val="Arial"/>
      <family val="2"/>
    </font>
    <font>
      <b/>
      <sz val="8"/>
      <color rgb="FF000000"/>
      <name val="Bosch Office Sans"/>
    </font>
    <font>
      <sz val="8"/>
      <color rgb="FF000000"/>
      <name val="Bosch Office Sans"/>
    </font>
    <font>
      <vertAlign val="superscript"/>
      <sz val="8"/>
      <color rgb="FF000000"/>
      <name val="Bosch Office Sans"/>
    </font>
    <font>
      <sz val="8"/>
      <color rgb="FF0070C0"/>
      <name val="Bosch Office Sans"/>
    </font>
    <font>
      <sz val="8"/>
      <color theme="1"/>
      <name val="Bosch Office Sans"/>
    </font>
    <font>
      <sz val="10"/>
      <color rgb="FFFF0000"/>
      <name val="Arial"/>
      <family val="2"/>
    </font>
    <font>
      <b/>
      <sz val="14"/>
      <name val="Arial"/>
      <family val="2"/>
    </font>
    <font>
      <sz val="12"/>
      <color theme="1"/>
      <name val="Calibri"/>
      <family val="2"/>
      <scheme val="minor"/>
    </font>
    <font>
      <b/>
      <sz val="11"/>
      <color theme="1"/>
      <name val="Arial"/>
      <family val="2"/>
    </font>
    <font>
      <b/>
      <sz val="14"/>
      <color theme="0"/>
      <name val="Arial"/>
      <family val="2"/>
    </font>
    <font>
      <sz val="10"/>
      <color theme="0" tint="-4.9989318521683403E-2"/>
      <name val="Arial"/>
      <family val="2"/>
    </font>
    <font>
      <b/>
      <sz val="10"/>
      <color theme="1"/>
      <name val="Calibri"/>
      <family val="2"/>
      <scheme val="minor"/>
    </font>
    <font>
      <sz val="10"/>
      <color rgb="FF000000"/>
      <name val="Arial"/>
      <family val="2"/>
    </font>
    <font>
      <sz val="11"/>
      <color theme="1"/>
      <name val="Arial"/>
      <family val="2"/>
    </font>
    <font>
      <sz val="9"/>
      <color indexed="81"/>
      <name val="Tahoma"/>
      <family val="2"/>
    </font>
    <font>
      <b/>
      <sz val="9"/>
      <color indexed="81"/>
      <name val="Tahoma"/>
      <family val="2"/>
    </font>
    <font>
      <b/>
      <sz val="11"/>
      <color theme="0"/>
      <name val="Arial"/>
      <family val="2"/>
    </font>
    <font>
      <sz val="13"/>
      <color theme="1"/>
      <name val="Arial"/>
      <family val="2"/>
    </font>
    <font>
      <b/>
      <sz val="13"/>
      <color theme="1"/>
      <name val="Arial"/>
      <family val="2"/>
    </font>
    <font>
      <sz val="12"/>
      <color rgb="FFFF0000"/>
      <name val="Arial"/>
      <family val="2"/>
    </font>
    <font>
      <sz val="12"/>
      <color theme="1"/>
      <name val="Arial"/>
      <family val="2"/>
    </font>
    <font>
      <b/>
      <sz val="12"/>
      <color theme="1"/>
      <name val="Arial"/>
      <family val="2"/>
    </font>
    <font>
      <sz val="12"/>
      <name val="Arial"/>
      <family val="2"/>
    </font>
    <font>
      <b/>
      <sz val="12"/>
      <color theme="0"/>
      <name val="Arial"/>
      <family val="2"/>
    </font>
    <font>
      <b/>
      <sz val="9"/>
      <color theme="0"/>
      <name val="Arial"/>
      <family val="2"/>
    </font>
    <font>
      <sz val="10"/>
      <color theme="1"/>
      <name val="Calibri"/>
      <family val="2"/>
    </font>
    <font>
      <b/>
      <sz val="9"/>
      <name val="Arial"/>
      <family val="2"/>
    </font>
    <font>
      <b/>
      <sz val="10"/>
      <color theme="0"/>
      <name val="Arial"/>
      <family val="2"/>
    </font>
    <font>
      <b/>
      <sz val="10"/>
      <name val="Arial"/>
      <family val="2"/>
    </font>
    <font>
      <sz val="10"/>
      <color rgb="FF99B3D3"/>
      <name val="Arial"/>
      <family val="2"/>
    </font>
    <font>
      <sz val="10"/>
      <color theme="0"/>
      <name val="Arial"/>
      <family val="2"/>
    </font>
  </fonts>
  <fills count="106">
    <fill>
      <patternFill patternType="none"/>
    </fill>
    <fill>
      <patternFill patternType="gray125"/>
    </fill>
    <fill>
      <patternFill patternType="solid">
        <fgColor indexed="9"/>
      </patternFill>
    </fill>
    <fill>
      <patternFill patternType="solid">
        <fgColor rgb="FFFFFFCC"/>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FF8F8F"/>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0" tint="-0.14996795556505021"/>
        <bgColor auto="1"/>
      </patternFill>
    </fill>
    <fill>
      <patternFill patternType="solid">
        <fgColor theme="0" tint="-0.14996795556505021"/>
        <bgColor indexed="64"/>
      </patternFill>
    </fill>
    <fill>
      <patternFill patternType="solid">
        <fgColor rgb="FFFFFFCC"/>
        <bgColor auto="1"/>
      </patternFill>
    </fill>
    <fill>
      <patternFill patternType="lightGray">
        <bgColor theme="0" tint="-0.14996795556505021"/>
      </patternFill>
    </fill>
    <fill>
      <patternFill patternType="solid">
        <fgColor rgb="FF5581B7"/>
        <bgColor indexed="64"/>
      </patternFill>
    </fill>
    <fill>
      <patternFill patternType="solid">
        <fgColor rgb="FF638CBD"/>
        <bgColor indexed="64"/>
      </patternFill>
    </fill>
    <fill>
      <patternFill patternType="solid">
        <fgColor rgb="FF7095C2"/>
        <bgColor indexed="64"/>
      </patternFill>
    </fill>
    <fill>
      <patternFill patternType="solid">
        <fgColor rgb="FFCD853F"/>
        <bgColor indexed="64"/>
      </patternFill>
    </fill>
    <fill>
      <patternFill patternType="solid">
        <fgColor rgb="FFD1904F"/>
        <bgColor indexed="64"/>
      </patternFill>
    </fill>
    <fill>
      <patternFill patternType="solid">
        <fgColor rgb="FFD9A36D"/>
        <bgColor indexed="64"/>
      </patternFill>
    </fill>
    <fill>
      <patternFill patternType="solid">
        <fgColor rgb="FFDDAD7D"/>
        <bgColor indexed="64"/>
      </patternFill>
    </fill>
    <fill>
      <patternFill patternType="solid">
        <fgColor rgb="FFE1B68B"/>
        <bgColor indexed="64"/>
      </patternFill>
    </fill>
    <fill>
      <patternFill patternType="solid">
        <fgColor rgb="FFE5C09B"/>
        <bgColor indexed="64"/>
      </patternFill>
    </fill>
    <fill>
      <patternFill patternType="solid">
        <fgColor rgb="FFE9C9A9"/>
        <bgColor indexed="64"/>
      </patternFill>
    </fill>
    <fill>
      <patternFill patternType="solid">
        <fgColor rgb="FFEDD3B9"/>
        <bgColor indexed="64"/>
      </patternFill>
    </fill>
    <fill>
      <patternFill patternType="solid">
        <fgColor rgb="FFF1DCC7"/>
        <bgColor indexed="64"/>
      </patternFill>
    </fill>
    <fill>
      <patternFill patternType="solid">
        <fgColor rgb="FFF5E6D7"/>
        <bgColor indexed="64"/>
      </patternFill>
    </fill>
    <fill>
      <patternFill patternType="solid">
        <fgColor rgb="FFF9F0E7"/>
        <bgColor indexed="64"/>
      </patternFill>
    </fill>
    <fill>
      <patternFill patternType="solid">
        <fgColor rgb="FFC77D33"/>
        <bgColor indexed="64"/>
      </patternFill>
    </fill>
    <fill>
      <patternFill patternType="solid">
        <fgColor rgb="FFB7732F"/>
        <bgColor indexed="64"/>
      </patternFill>
    </fill>
    <fill>
      <patternFill patternType="solid">
        <fgColor rgb="FFCCCC00"/>
        <bgColor indexed="64"/>
      </patternFill>
    </fill>
    <fill>
      <patternFill patternType="solid">
        <fgColor rgb="FFE3DE00"/>
        <bgColor indexed="64"/>
      </patternFill>
    </fill>
    <fill>
      <patternFill patternType="solid">
        <fgColor rgb="FFF6F000"/>
        <bgColor indexed="64"/>
      </patternFill>
    </fill>
    <fill>
      <patternFill patternType="solid">
        <fgColor rgb="FFFFF909"/>
        <bgColor indexed="64"/>
      </patternFill>
    </fill>
    <fill>
      <patternFill patternType="solid">
        <fgColor rgb="FFFFFC7D"/>
        <bgColor indexed="64"/>
      </patternFill>
    </fill>
    <fill>
      <patternFill patternType="solid">
        <fgColor rgb="FFFFFEC9"/>
        <bgColor indexed="64"/>
      </patternFill>
    </fill>
    <fill>
      <patternFill patternType="solid">
        <fgColor rgb="FFFFFFEF"/>
        <bgColor indexed="64"/>
      </patternFill>
    </fill>
    <fill>
      <patternFill patternType="solid">
        <fgColor rgb="FFF2EC00"/>
        <bgColor indexed="64"/>
      </patternFill>
    </fill>
    <fill>
      <patternFill patternType="solid">
        <fgColor rgb="FFBCB800"/>
        <bgColor indexed="64"/>
      </patternFill>
    </fill>
    <fill>
      <patternFill patternType="solid">
        <fgColor rgb="FFA8A400"/>
        <bgColor indexed="64"/>
      </patternFill>
    </fill>
    <fill>
      <patternFill patternType="solid">
        <fgColor rgb="FF969200"/>
        <bgColor indexed="64"/>
      </patternFill>
    </fill>
    <fill>
      <patternFill patternType="solid">
        <fgColor rgb="FF827F00"/>
        <bgColor indexed="64"/>
      </patternFill>
    </fill>
    <fill>
      <patternFill patternType="solid">
        <fgColor rgb="FF706D00"/>
        <bgColor indexed="64"/>
      </patternFill>
    </fill>
    <fill>
      <patternFill patternType="solid">
        <fgColor rgb="FF8439BD"/>
        <bgColor indexed="64"/>
      </patternFill>
    </fill>
    <fill>
      <patternFill patternType="solid">
        <fgColor rgb="FF9751CB"/>
        <bgColor indexed="64"/>
      </patternFill>
    </fill>
    <fill>
      <patternFill patternType="solid">
        <fgColor rgb="FF9F5FCF"/>
        <bgColor indexed="64"/>
      </patternFill>
    </fill>
    <fill>
      <patternFill patternType="solid">
        <fgColor rgb="FFA86ED4"/>
        <bgColor indexed="64"/>
      </patternFill>
    </fill>
    <fill>
      <patternFill patternType="solid">
        <fgColor rgb="FFB17ED8"/>
        <bgColor indexed="64"/>
      </patternFill>
    </fill>
    <fill>
      <patternFill patternType="solid">
        <fgColor rgb="FFBA8CDC"/>
        <bgColor indexed="64"/>
      </patternFill>
    </fill>
    <fill>
      <patternFill patternType="solid">
        <fgColor rgb="FFC39BE1"/>
        <bgColor indexed="64"/>
      </patternFill>
    </fill>
    <fill>
      <patternFill patternType="solid">
        <fgColor rgb="FFCBA9E5"/>
        <bgColor indexed="64"/>
      </patternFill>
    </fill>
    <fill>
      <patternFill patternType="solid">
        <fgColor rgb="FFD5B8EA"/>
        <bgColor indexed="64"/>
      </patternFill>
    </fill>
    <fill>
      <patternFill patternType="solid">
        <fgColor rgb="FFDEC7EF"/>
        <bgColor indexed="64"/>
      </patternFill>
    </fill>
    <fill>
      <patternFill patternType="solid">
        <fgColor rgb="FFE6D5F3"/>
        <bgColor indexed="64"/>
      </patternFill>
    </fill>
    <fill>
      <patternFill patternType="solid">
        <fgColor rgb="FFEFE5F7"/>
        <bgColor indexed="64"/>
      </patternFill>
    </fill>
    <fill>
      <patternFill patternType="solid">
        <fgColor rgb="FFCD3278"/>
        <bgColor indexed="64"/>
      </patternFill>
    </fill>
    <fill>
      <patternFill patternType="solid">
        <fgColor rgb="FFD6528E"/>
        <bgColor indexed="64"/>
      </patternFill>
    </fill>
    <fill>
      <patternFill patternType="solid">
        <fgColor rgb="FFD96197"/>
        <bgColor indexed="64"/>
      </patternFill>
    </fill>
    <fill>
      <patternFill patternType="solid">
        <fgColor rgb="FFDD71A2"/>
        <bgColor indexed="64"/>
      </patternFill>
    </fill>
    <fill>
      <patternFill patternType="solid">
        <fgColor rgb="FFE080AB"/>
        <bgColor indexed="64"/>
      </patternFill>
    </fill>
    <fill>
      <patternFill patternType="solid">
        <fgColor rgb="FFE490B6"/>
        <bgColor indexed="64"/>
      </patternFill>
    </fill>
    <fill>
      <patternFill patternType="solid">
        <fgColor rgb="FFE8A0C1"/>
        <bgColor indexed="64"/>
      </patternFill>
    </fill>
    <fill>
      <patternFill patternType="solid">
        <fgColor rgb="FFECAECA"/>
        <bgColor indexed="64"/>
      </patternFill>
    </fill>
    <fill>
      <patternFill patternType="solid">
        <fgColor rgb="FFF3CDDE"/>
        <bgColor indexed="64"/>
      </patternFill>
    </fill>
    <fill>
      <patternFill patternType="solid">
        <fgColor rgb="FFF7DDE9"/>
        <bgColor indexed="64"/>
      </patternFill>
    </fill>
    <fill>
      <patternFill patternType="solid">
        <fgColor theme="0" tint="-0.34998626667073579"/>
        <bgColor indexed="64"/>
      </patternFill>
    </fill>
    <fill>
      <patternFill patternType="solid">
        <fgColor rgb="FFB0B0B0"/>
        <bgColor indexed="64"/>
      </patternFill>
    </fill>
    <fill>
      <patternFill patternType="solid">
        <fgColor rgb="FFBABABA"/>
        <bgColor indexed="64"/>
      </patternFill>
    </fill>
    <fill>
      <patternFill patternType="solid">
        <fgColor rgb="FFC4C4C4"/>
        <bgColor indexed="64"/>
      </patternFill>
    </fill>
    <fill>
      <patternFill patternType="solid">
        <fgColor rgb="FFCDCDCD"/>
        <bgColor indexed="64"/>
      </patternFill>
    </fill>
    <fill>
      <patternFill patternType="solid">
        <fgColor rgb="FFD7D7D7"/>
        <bgColor indexed="64"/>
      </patternFill>
    </fill>
    <fill>
      <patternFill patternType="solid">
        <fgColor rgb="FFE0E0E0"/>
        <bgColor indexed="64"/>
      </patternFill>
    </fill>
    <fill>
      <patternFill patternType="solid">
        <fgColor rgb="FFEAEAEA"/>
        <bgColor indexed="64"/>
      </patternFill>
    </fill>
    <fill>
      <patternFill patternType="solid">
        <fgColor rgb="FFF3F3F3"/>
        <bgColor indexed="64"/>
      </patternFill>
    </fill>
    <fill>
      <patternFill patternType="solid">
        <fgColor rgb="FF9D9D9D"/>
        <bgColor indexed="64"/>
      </patternFill>
    </fill>
    <fill>
      <patternFill patternType="solid">
        <fgColor rgb="FF949494"/>
        <bgColor indexed="64"/>
      </patternFill>
    </fill>
    <fill>
      <patternFill patternType="solid">
        <fgColor rgb="FF8A8A8A"/>
        <bgColor indexed="64"/>
      </patternFill>
    </fill>
    <fill>
      <patternFill patternType="solid">
        <fgColor rgb="FF808080"/>
        <bgColor indexed="64"/>
      </patternFill>
    </fill>
    <fill>
      <patternFill patternType="solid">
        <fgColor rgb="FFFF0000"/>
        <bgColor indexed="64"/>
      </patternFill>
    </fill>
    <fill>
      <patternFill patternType="solid">
        <fgColor rgb="FF00B050"/>
        <bgColor indexed="64"/>
      </patternFill>
    </fill>
    <fill>
      <patternFill patternType="solid">
        <fgColor rgb="FFA6A6A6"/>
        <bgColor indexed="64"/>
      </patternFill>
    </fill>
    <fill>
      <patternFill patternType="solid">
        <fgColor rgb="FF0000FF"/>
        <bgColor indexed="64"/>
      </patternFill>
    </fill>
    <fill>
      <patternFill patternType="solid">
        <fgColor rgb="FF00B0F0"/>
        <bgColor indexed="64"/>
      </patternFill>
    </fill>
    <fill>
      <patternFill patternType="solid">
        <fgColor theme="2" tint="-0.499984740745262"/>
        <bgColor indexed="64"/>
      </patternFill>
    </fill>
    <fill>
      <patternFill patternType="solid">
        <fgColor rgb="FFF4B183"/>
        <bgColor indexed="64"/>
      </patternFill>
    </fill>
    <fill>
      <patternFill patternType="solid">
        <fgColor rgb="FFCAD9C2"/>
        <bgColor indexed="64"/>
      </patternFill>
    </fill>
    <fill>
      <patternFill patternType="solid">
        <fgColor rgb="FF7E9FC8"/>
        <bgColor indexed="64"/>
      </patternFill>
    </fill>
    <fill>
      <patternFill patternType="solid">
        <fgColor rgb="FF8CAACE"/>
        <bgColor indexed="64"/>
      </patternFill>
    </fill>
    <fill>
      <patternFill patternType="solid">
        <fgColor rgb="FF99B3D3"/>
        <bgColor indexed="64"/>
      </patternFill>
    </fill>
    <fill>
      <patternFill patternType="solid">
        <fgColor rgb="FFA7BED9"/>
        <bgColor indexed="64"/>
      </patternFill>
    </fill>
    <fill>
      <patternFill patternType="solid">
        <fgColor rgb="FFB4C7DE"/>
        <bgColor indexed="64"/>
      </patternFill>
    </fill>
    <fill>
      <patternFill patternType="solid">
        <fgColor rgb="FFC2D1E4"/>
        <bgColor indexed="64"/>
      </patternFill>
    </fill>
    <fill>
      <patternFill patternType="solid">
        <fgColor rgb="FFCEDBEA"/>
        <bgColor indexed="64"/>
      </patternFill>
    </fill>
    <fill>
      <patternFill patternType="solid">
        <fgColor rgb="FFDCE5F0"/>
        <bgColor indexed="64"/>
      </patternFill>
    </fill>
    <fill>
      <patternFill patternType="solid">
        <fgColor rgb="FFEAEFF6"/>
        <bgColor indexed="64"/>
      </patternFill>
    </fill>
    <fill>
      <patternFill patternType="solid">
        <fgColor rgb="FF00000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FFD5D5"/>
        <bgColor indexed="64"/>
      </patternFill>
    </fill>
  </fills>
  <borders count="9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style="thin">
        <color indexed="64"/>
      </right>
      <top style="thin">
        <color indexed="64"/>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style="thin">
        <color indexed="64"/>
      </right>
      <top/>
      <bottom/>
      <diagonal/>
    </border>
    <border>
      <left style="thin">
        <color theme="0"/>
      </left>
      <right style="thin">
        <color indexed="64"/>
      </right>
      <top style="thin">
        <color theme="0"/>
      </top>
      <bottom style="thin">
        <color indexed="64"/>
      </bottom>
      <diagonal/>
    </border>
    <border>
      <left style="medium">
        <color auto="1"/>
      </left>
      <right/>
      <top/>
      <bottom style="thin">
        <color indexed="64"/>
      </bottom>
      <diagonal/>
    </border>
    <border>
      <left/>
      <right style="medium">
        <color auto="1"/>
      </right>
      <top/>
      <bottom style="thin">
        <color indexed="64"/>
      </bottom>
      <diagonal/>
    </border>
    <border>
      <left style="medium">
        <color rgb="FFFF0000"/>
      </left>
      <right/>
      <top style="medium">
        <color rgb="FFFF0000"/>
      </top>
      <bottom style="thin">
        <color indexed="64"/>
      </bottom>
      <diagonal/>
    </border>
    <border>
      <left/>
      <right/>
      <top style="medium">
        <color rgb="FFFF0000"/>
      </top>
      <bottom style="thin">
        <color indexed="64"/>
      </bottom>
      <diagonal/>
    </border>
    <border>
      <left/>
      <right style="thin">
        <color indexed="64"/>
      </right>
      <top style="medium">
        <color rgb="FFFF0000"/>
      </top>
      <bottom style="thin">
        <color indexed="64"/>
      </bottom>
      <diagonal/>
    </border>
    <border>
      <left style="thin">
        <color indexed="64"/>
      </left>
      <right/>
      <top style="medium">
        <color rgb="FFFF0000"/>
      </top>
      <bottom style="thin">
        <color indexed="64"/>
      </bottom>
      <diagonal/>
    </border>
    <border>
      <left style="medium">
        <color indexed="64"/>
      </left>
      <right/>
      <top style="medium">
        <color rgb="FFFF0000"/>
      </top>
      <bottom style="thin">
        <color indexed="64"/>
      </bottom>
      <diagonal/>
    </border>
    <border>
      <left/>
      <right style="medium">
        <color indexed="64"/>
      </right>
      <top style="medium">
        <color rgb="FFFF0000"/>
      </top>
      <bottom style="thin">
        <color indexed="64"/>
      </bottom>
      <diagonal/>
    </border>
    <border>
      <left/>
      <right style="medium">
        <color rgb="FFFF0000"/>
      </right>
      <top style="medium">
        <color rgb="FFFF0000"/>
      </top>
      <bottom style="thin">
        <color indexed="64"/>
      </bottom>
      <diagonal/>
    </border>
    <border>
      <left style="medium">
        <color rgb="FFFF0000"/>
      </left>
      <right/>
      <top style="thin">
        <color indexed="64"/>
      </top>
      <bottom style="medium">
        <color rgb="FFFF0000"/>
      </bottom>
      <diagonal/>
    </border>
    <border>
      <left/>
      <right/>
      <top style="thin">
        <color indexed="64"/>
      </top>
      <bottom style="medium">
        <color rgb="FFFF0000"/>
      </bottom>
      <diagonal/>
    </border>
    <border>
      <left/>
      <right style="thin">
        <color indexed="64"/>
      </right>
      <top style="thin">
        <color indexed="64"/>
      </top>
      <bottom style="medium">
        <color rgb="FFFF0000"/>
      </bottom>
      <diagonal/>
    </border>
    <border>
      <left style="thin">
        <color indexed="64"/>
      </left>
      <right/>
      <top style="thin">
        <color indexed="64"/>
      </top>
      <bottom style="medium">
        <color rgb="FFFF0000"/>
      </bottom>
      <diagonal/>
    </border>
    <border>
      <left style="medium">
        <color indexed="64"/>
      </left>
      <right/>
      <top style="thin">
        <color indexed="64"/>
      </top>
      <bottom style="medium">
        <color rgb="FFFF0000"/>
      </bottom>
      <diagonal/>
    </border>
    <border>
      <left/>
      <right style="medium">
        <color indexed="64"/>
      </right>
      <top style="thin">
        <color indexed="64"/>
      </top>
      <bottom style="medium">
        <color rgb="FFFF0000"/>
      </bottom>
      <diagonal/>
    </border>
    <border>
      <left/>
      <right style="medium">
        <color rgb="FFFF0000"/>
      </right>
      <top style="thin">
        <color indexed="64"/>
      </top>
      <bottom style="medium">
        <color rgb="FFFF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thin">
        <color indexed="64"/>
      </right>
      <top style="medium">
        <color rgb="FFFF0000"/>
      </top>
      <bottom style="medium">
        <color rgb="FFFF0000"/>
      </bottom>
      <diagonal/>
    </border>
    <border>
      <left style="thin">
        <color indexed="64"/>
      </left>
      <right/>
      <top style="medium">
        <color rgb="FFFF0000"/>
      </top>
      <bottom style="medium">
        <color rgb="FFFF0000"/>
      </bottom>
      <diagonal/>
    </border>
    <border>
      <left style="medium">
        <color indexed="64"/>
      </left>
      <right/>
      <top style="medium">
        <color rgb="FFFF0000"/>
      </top>
      <bottom style="medium">
        <color rgb="FFFF0000"/>
      </bottom>
      <diagonal/>
    </border>
    <border>
      <left/>
      <right style="medium">
        <color indexed="64"/>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18">
    <xf numFmtId="0" fontId="0" fillId="0" borderId="0"/>
    <xf numFmtId="0" fontId="7" fillId="0" borderId="0"/>
    <xf numFmtId="0" fontId="7" fillId="0" borderId="0"/>
    <xf numFmtId="0" fontId="8" fillId="0" borderId="0"/>
    <xf numFmtId="165" fontId="8" fillId="0" borderId="0" applyFont="0" applyFill="0" applyBorder="0" applyAlignment="0" applyProtection="0"/>
    <xf numFmtId="0" fontId="7" fillId="0" borderId="0"/>
    <xf numFmtId="165" fontId="7" fillId="0" borderId="0" applyFont="0" applyFill="0" applyBorder="0" applyAlignment="0" applyProtection="0"/>
    <xf numFmtId="166" fontId="7" fillId="2" borderId="0"/>
    <xf numFmtId="0" fontId="7" fillId="0" borderId="0"/>
    <xf numFmtId="0" fontId="7" fillId="0" borderId="0"/>
    <xf numFmtId="0" fontId="7" fillId="0" borderId="0"/>
    <xf numFmtId="0" fontId="7" fillId="0" borderId="0"/>
    <xf numFmtId="9" fontId="10" fillId="0" borderId="0" applyFont="0" applyFill="0" applyBorder="0" applyAlignment="0" applyProtection="0"/>
    <xf numFmtId="0" fontId="5" fillId="0" borderId="0"/>
    <xf numFmtId="0" fontId="4" fillId="0" borderId="0"/>
    <xf numFmtId="0" fontId="3" fillId="0" borderId="0"/>
    <xf numFmtId="0" fontId="2" fillId="0" borderId="0"/>
    <xf numFmtId="0" fontId="1" fillId="0" borderId="0"/>
  </cellStyleXfs>
  <cellXfs count="400">
    <xf numFmtId="0" fontId="0" fillId="0" borderId="0" xfId="0"/>
    <xf numFmtId="0" fontId="0" fillId="0" borderId="0" xfId="0"/>
    <xf numFmtId="0" fontId="6" fillId="0" borderId="0" xfId="0" applyFont="1" applyFill="1" applyAlignment="1">
      <alignment horizontal="left"/>
    </xf>
    <xf numFmtId="0" fontId="0" fillId="0" borderId="0" xfId="0" applyFont="1" applyFill="1" applyAlignment="1">
      <alignment horizontal="left"/>
    </xf>
    <xf numFmtId="0" fontId="6" fillId="0" borderId="0" xfId="0" applyFont="1" applyFill="1" applyAlignment="1"/>
    <xf numFmtId="0" fontId="18" fillId="6" borderId="4" xfId="0" applyFont="1" applyFill="1" applyBorder="1" applyAlignment="1">
      <alignment horizontal="left" vertical="center" wrapText="1" readingOrder="1"/>
    </xf>
    <xf numFmtId="0" fontId="19" fillId="0" borderId="4" xfId="0" applyFont="1" applyBorder="1" applyAlignment="1">
      <alignment horizontal="left" vertical="center" wrapText="1" readingOrder="1"/>
    </xf>
    <xf numFmtId="0" fontId="19" fillId="6" borderId="4" xfId="0" applyFont="1" applyFill="1" applyBorder="1" applyAlignment="1">
      <alignment horizontal="left" vertical="center" wrapText="1" readingOrder="1"/>
    </xf>
    <xf numFmtId="0" fontId="21" fillId="0" borderId="4" xfId="0" applyFont="1" applyBorder="1" applyAlignment="1">
      <alignment horizontal="left" vertical="center" wrapText="1" readingOrder="1"/>
    </xf>
    <xf numFmtId="0" fontId="22" fillId="4" borderId="4" xfId="0" applyFont="1" applyFill="1" applyBorder="1" applyAlignment="1">
      <alignment horizontal="center" vertical="center" wrapText="1" readingOrder="1"/>
    </xf>
    <xf numFmtId="0" fontId="22" fillId="4" borderId="9" xfId="0" applyFont="1" applyFill="1" applyBorder="1" applyAlignment="1">
      <alignment horizontal="center" vertical="center" wrapText="1" readingOrder="1"/>
    </xf>
    <xf numFmtId="0" fontId="19" fillId="6" borderId="4" xfId="0" applyFont="1" applyFill="1" applyBorder="1" applyAlignment="1">
      <alignment horizontal="center" vertical="center" wrapText="1" readingOrder="1"/>
    </xf>
    <xf numFmtId="0" fontId="19" fillId="0" borderId="4" xfId="0" applyFont="1" applyBorder="1" applyAlignment="1">
      <alignment horizontal="center" vertical="center" wrapText="1" readingOrder="1"/>
    </xf>
    <xf numFmtId="0" fontId="14" fillId="6" borderId="4" xfId="14" applyFont="1" applyFill="1" applyBorder="1" applyAlignment="1">
      <alignment horizontal="center" vertical="center" wrapText="1" readingOrder="1"/>
    </xf>
    <xf numFmtId="0" fontId="15" fillId="6" borderId="4" xfId="14" applyFont="1" applyFill="1" applyBorder="1" applyAlignment="1">
      <alignment horizontal="center" vertical="center" wrapText="1" readingOrder="1"/>
    </xf>
    <xf numFmtId="0" fontId="0" fillId="0" borderId="0" xfId="0" applyAlignment="1">
      <alignment horizontal="left" vertical="top"/>
    </xf>
    <xf numFmtId="0" fontId="25" fillId="0" borderId="0" xfId="0" applyFont="1" applyAlignment="1">
      <alignment horizontal="left" vertical="top" wrapText="1"/>
    </xf>
    <xf numFmtId="0" fontId="13" fillId="6" borderId="4" xfId="0" applyFont="1" applyFill="1" applyBorder="1" applyAlignment="1">
      <alignment horizontal="center" vertical="center" wrapText="1"/>
    </xf>
    <xf numFmtId="164" fontId="26" fillId="8" borderId="4" xfId="0" applyNumberFormat="1" applyFont="1" applyFill="1" applyBorder="1" applyAlignment="1">
      <alignment horizontal="center" vertical="center"/>
    </xf>
    <xf numFmtId="0" fontId="18" fillId="6" borderId="4" xfId="0" applyFont="1" applyFill="1" applyBorder="1" applyAlignment="1">
      <alignment horizontal="center" vertical="center" wrapText="1" readingOrder="1"/>
    </xf>
    <xf numFmtId="0" fontId="28" fillId="0" borderId="0" xfId="0" applyFont="1"/>
    <xf numFmtId="0" fontId="0" fillId="7" borderId="0" xfId="0" applyFill="1" applyAlignment="1">
      <alignment horizontal="center"/>
    </xf>
    <xf numFmtId="0" fontId="16" fillId="6" borderId="4" xfId="16" applyFont="1" applyFill="1" applyBorder="1" applyAlignment="1">
      <alignment horizontal="center"/>
    </xf>
    <xf numFmtId="0" fontId="16" fillId="6" borderId="1" xfId="16" applyFont="1" applyFill="1" applyBorder="1" applyAlignment="1">
      <alignment horizontal="center"/>
    </xf>
    <xf numFmtId="0" fontId="16" fillId="6" borderId="3" xfId="16" applyFont="1" applyFill="1" applyBorder="1" applyAlignment="1">
      <alignment horizontal="center"/>
    </xf>
    <xf numFmtId="0" fontId="16" fillId="0" borderId="4" xfId="16" applyFont="1" applyBorder="1"/>
    <xf numFmtId="0" fontId="16" fillId="0" borderId="1" xfId="16" applyFont="1" applyBorder="1"/>
    <xf numFmtId="9" fontId="16" fillId="0" borderId="4" xfId="12" applyFont="1" applyFill="1" applyBorder="1" applyAlignment="1">
      <alignment horizontal="center"/>
    </xf>
    <xf numFmtId="0" fontId="23" fillId="0" borderId="0" xfId="0" applyFont="1"/>
    <xf numFmtId="164" fontId="14" fillId="10" borderId="31" xfId="14" applyNumberFormat="1" applyFont="1" applyFill="1" applyBorder="1" applyAlignment="1">
      <alignment horizontal="center" vertical="center" wrapText="1" readingOrder="1"/>
    </xf>
    <xf numFmtId="9" fontId="29" fillId="6" borderId="37" xfId="16" applyNumberFormat="1" applyFont="1" applyFill="1" applyBorder="1" applyAlignment="1">
      <alignment horizontal="center"/>
    </xf>
    <xf numFmtId="0" fontId="16" fillId="6" borderId="37" xfId="16" applyFont="1" applyFill="1" applyBorder="1" applyAlignment="1">
      <alignment horizontal="center"/>
    </xf>
    <xf numFmtId="164" fontId="14" fillId="10" borderId="11" xfId="14" applyNumberFormat="1" applyFont="1" applyFill="1" applyBorder="1" applyAlignment="1">
      <alignment horizontal="center" vertical="center" wrapText="1" readingOrder="1"/>
    </xf>
    <xf numFmtId="164" fontId="14" fillId="10" borderId="19" xfId="14" applyNumberFormat="1" applyFont="1" applyFill="1" applyBorder="1" applyAlignment="1">
      <alignment horizontal="center" vertical="center" wrapText="1" readingOrder="1"/>
    </xf>
    <xf numFmtId="164" fontId="14" fillId="10" borderId="30" xfId="14" applyNumberFormat="1" applyFont="1" applyFill="1" applyBorder="1" applyAlignment="1">
      <alignment horizontal="center" vertical="center" wrapText="1" readingOrder="1"/>
    </xf>
    <xf numFmtId="0" fontId="11" fillId="0" borderId="0" xfId="14" applyFont="1" applyFill="1" applyBorder="1" applyAlignment="1">
      <alignment horizontal="center" vertical="center" wrapText="1" readingOrder="1"/>
    </xf>
    <xf numFmtId="3" fontId="14" fillId="10" borderId="48" xfId="14" applyNumberFormat="1" applyFont="1" applyFill="1" applyBorder="1" applyAlignment="1">
      <alignment horizontal="center" vertical="center" wrapText="1" readingOrder="1"/>
    </xf>
    <xf numFmtId="3" fontId="14" fillId="10" borderId="26" xfId="14" applyNumberFormat="1" applyFont="1" applyFill="1" applyBorder="1" applyAlignment="1">
      <alignment horizontal="center" vertical="center" wrapText="1" readingOrder="1"/>
    </xf>
    <xf numFmtId="0" fontId="6" fillId="0" borderId="0" xfId="0" applyFont="1"/>
    <xf numFmtId="0" fontId="14" fillId="13" borderId="0" xfId="14" applyFont="1" applyFill="1" applyBorder="1" applyAlignment="1">
      <alignment horizontal="center" vertical="center" wrapText="1" readingOrder="1"/>
    </xf>
    <xf numFmtId="0" fontId="14" fillId="14" borderId="0" xfId="14" applyFont="1" applyFill="1" applyBorder="1" applyAlignment="1">
      <alignment horizontal="center" vertical="center" wrapText="1" readingOrder="1"/>
    </xf>
    <xf numFmtId="0" fontId="15" fillId="15" borderId="0" xfId="14" applyFont="1" applyFill="1" applyBorder="1" applyAlignment="1">
      <alignment horizontal="center" vertical="center" wrapText="1" readingOrder="1"/>
    </xf>
    <xf numFmtId="3" fontId="14" fillId="10" borderId="47" xfId="14" applyNumberFormat="1" applyFont="1" applyFill="1" applyBorder="1" applyAlignment="1">
      <alignment horizontal="center" vertical="center" wrapText="1" readingOrder="1"/>
    </xf>
    <xf numFmtId="3" fontId="14" fillId="10" borderId="49" xfId="14" applyNumberFormat="1" applyFont="1" applyFill="1" applyBorder="1" applyAlignment="1">
      <alignment horizontal="center" vertical="center" wrapText="1" readingOrder="1"/>
    </xf>
    <xf numFmtId="0" fontId="11" fillId="6" borderId="17" xfId="14" applyFont="1" applyFill="1" applyBorder="1" applyAlignment="1">
      <alignment horizontal="center" vertical="center" wrapText="1" readingOrder="1"/>
    </xf>
    <xf numFmtId="0" fontId="14" fillId="6" borderId="17" xfId="14" applyFont="1" applyFill="1" applyBorder="1" applyAlignment="1">
      <alignment horizontal="center" vertical="center" wrapText="1" readingOrder="1"/>
    </xf>
    <xf numFmtId="0" fontId="14" fillId="6" borderId="22" xfId="14" applyFont="1" applyFill="1" applyBorder="1" applyAlignment="1">
      <alignment horizontal="center" vertical="center" wrapText="1" readingOrder="1"/>
    </xf>
    <xf numFmtId="0" fontId="14" fillId="3" borderId="22" xfId="14" applyFont="1" applyFill="1" applyBorder="1" applyAlignment="1" applyProtection="1">
      <alignment horizontal="center" vertical="center" wrapText="1" readingOrder="1"/>
      <protection locked="0"/>
    </xf>
    <xf numFmtId="0" fontId="14" fillId="3" borderId="17" xfId="14" applyFont="1" applyFill="1" applyBorder="1" applyAlignment="1" applyProtection="1">
      <alignment horizontal="center" vertical="center" wrapText="1" readingOrder="1"/>
      <protection locked="0"/>
    </xf>
    <xf numFmtId="0" fontId="14" fillId="3" borderId="11" xfId="14" applyFont="1" applyFill="1" applyBorder="1" applyAlignment="1" applyProtection="1">
      <alignment horizontal="center" vertical="center" wrapText="1" readingOrder="1"/>
      <protection locked="0"/>
    </xf>
    <xf numFmtId="0" fontId="14" fillId="3" borderId="12" xfId="14" applyFont="1" applyFill="1" applyBorder="1" applyAlignment="1" applyProtection="1">
      <alignment horizontal="center" vertical="center" wrapText="1" readingOrder="1"/>
      <protection locked="0"/>
    </xf>
    <xf numFmtId="0" fontId="14" fillId="3" borderId="18" xfId="14" applyFont="1" applyFill="1" applyBorder="1" applyAlignment="1" applyProtection="1">
      <alignment horizontal="center" vertical="center" wrapText="1" readingOrder="1"/>
      <protection locked="0"/>
    </xf>
    <xf numFmtId="164" fontId="13" fillId="3" borderId="31" xfId="14" applyNumberFormat="1" applyFont="1" applyFill="1" applyBorder="1" applyAlignment="1" applyProtection="1">
      <alignment horizontal="center" vertical="center"/>
      <protection locked="0"/>
    </xf>
    <xf numFmtId="164" fontId="13" fillId="3" borderId="12" xfId="14" applyNumberFormat="1" applyFont="1" applyFill="1" applyBorder="1" applyAlignment="1" applyProtection="1">
      <alignment horizontal="center" vertical="center"/>
      <protection locked="0"/>
    </xf>
    <xf numFmtId="164" fontId="13" fillId="3" borderId="13" xfId="14" applyNumberFormat="1" applyFont="1" applyFill="1" applyBorder="1" applyAlignment="1" applyProtection="1">
      <alignment horizontal="center" vertical="center"/>
      <protection locked="0"/>
    </xf>
    <xf numFmtId="164" fontId="13" fillId="3" borderId="32" xfId="14" applyNumberFormat="1" applyFont="1" applyFill="1" applyBorder="1" applyAlignment="1" applyProtection="1">
      <alignment horizontal="center" vertical="center"/>
      <protection locked="0"/>
    </xf>
    <xf numFmtId="164" fontId="13" fillId="3" borderId="17" xfId="14" applyNumberFormat="1" applyFont="1" applyFill="1" applyBorder="1" applyAlignment="1" applyProtection="1">
      <alignment horizontal="center" vertical="center"/>
      <protection locked="0"/>
    </xf>
    <xf numFmtId="164" fontId="13" fillId="3" borderId="18" xfId="14" applyNumberFormat="1" applyFont="1" applyFill="1" applyBorder="1" applyAlignment="1" applyProtection="1">
      <alignment horizontal="center" vertical="center"/>
      <protection locked="0"/>
    </xf>
    <xf numFmtId="0" fontId="14" fillId="3" borderId="31" xfId="14" applyFont="1" applyFill="1" applyBorder="1" applyAlignment="1" applyProtection="1">
      <alignment horizontal="center" vertical="center" wrapText="1" readingOrder="1"/>
      <protection locked="0"/>
    </xf>
    <xf numFmtId="0" fontId="14" fillId="3" borderId="13" xfId="14" applyFont="1" applyFill="1" applyBorder="1" applyAlignment="1" applyProtection="1">
      <alignment horizontal="center" vertical="center" wrapText="1" readingOrder="1"/>
      <protection locked="0"/>
    </xf>
    <xf numFmtId="0" fontId="14" fillId="3" borderId="3" xfId="14" applyFont="1" applyFill="1" applyBorder="1" applyAlignment="1" applyProtection="1">
      <alignment horizontal="center" vertical="center" wrapText="1" readingOrder="1"/>
      <protection locked="0"/>
    </xf>
    <xf numFmtId="0" fontId="14" fillId="3" borderId="4" xfId="14" applyFont="1" applyFill="1" applyBorder="1" applyAlignment="1" applyProtection="1">
      <alignment horizontal="center" vertical="center" wrapText="1" readingOrder="1"/>
      <protection locked="0"/>
    </xf>
    <xf numFmtId="0" fontId="14" fillId="3" borderId="6" xfId="14" applyFont="1" applyFill="1" applyBorder="1" applyAlignment="1" applyProtection="1">
      <alignment horizontal="center" vertical="center" wrapText="1" readingOrder="1"/>
      <protection locked="0"/>
    </xf>
    <xf numFmtId="0" fontId="14" fillId="3" borderId="32" xfId="14" applyFont="1" applyFill="1" applyBorder="1" applyAlignment="1" applyProtection="1">
      <alignment horizontal="center" vertical="center" wrapText="1" readingOrder="1"/>
      <protection locked="0"/>
    </xf>
    <xf numFmtId="164" fontId="14" fillId="3" borderId="31" xfId="14" applyNumberFormat="1" applyFont="1" applyFill="1" applyBorder="1" applyAlignment="1" applyProtection="1">
      <alignment horizontal="center" vertical="center" wrapText="1" readingOrder="1"/>
      <protection locked="0"/>
    </xf>
    <xf numFmtId="164" fontId="14" fillId="3" borderId="12" xfId="14" applyNumberFormat="1" applyFont="1" applyFill="1" applyBorder="1" applyAlignment="1" applyProtection="1">
      <alignment horizontal="center" vertical="center" wrapText="1" readingOrder="1"/>
      <protection locked="0"/>
    </xf>
    <xf numFmtId="164" fontId="14" fillId="3" borderId="13" xfId="14" applyNumberFormat="1" applyFont="1" applyFill="1" applyBorder="1" applyAlignment="1" applyProtection="1">
      <alignment horizontal="center" vertical="center" wrapText="1" readingOrder="1"/>
      <protection locked="0"/>
    </xf>
    <xf numFmtId="9" fontId="14" fillId="3" borderId="32" xfId="14" applyNumberFormat="1" applyFont="1" applyFill="1" applyBorder="1" applyAlignment="1" applyProtection="1">
      <alignment horizontal="center" vertical="center" wrapText="1" readingOrder="1"/>
      <protection locked="0"/>
    </xf>
    <xf numFmtId="9" fontId="14" fillId="3" borderId="17" xfId="14" applyNumberFormat="1" applyFont="1" applyFill="1" applyBorder="1" applyAlignment="1" applyProtection="1">
      <alignment horizontal="center" vertical="center" wrapText="1" readingOrder="1"/>
      <protection locked="0"/>
    </xf>
    <xf numFmtId="9" fontId="14" fillId="3" borderId="18" xfId="14" applyNumberFormat="1" applyFont="1" applyFill="1" applyBorder="1" applyAlignment="1" applyProtection="1">
      <alignment horizontal="center" vertical="center" wrapText="1" readingOrder="1"/>
      <protection locked="0"/>
    </xf>
    <xf numFmtId="164" fontId="13" fillId="3" borderId="11" xfId="14" applyNumberFormat="1" applyFont="1" applyFill="1" applyBorder="1" applyAlignment="1" applyProtection="1">
      <alignment horizontal="center" vertical="center"/>
      <protection locked="0"/>
    </xf>
    <xf numFmtId="164" fontId="13" fillId="3" borderId="22" xfId="14" applyNumberFormat="1" applyFont="1" applyFill="1" applyBorder="1" applyAlignment="1" applyProtection="1">
      <alignment horizontal="center" vertical="center"/>
      <protection locked="0"/>
    </xf>
    <xf numFmtId="0" fontId="14" fillId="3" borderId="23" xfId="14" applyFont="1" applyFill="1" applyBorder="1" applyAlignment="1" applyProtection="1">
      <alignment horizontal="center" vertical="center" wrapText="1" readingOrder="1"/>
      <protection locked="0"/>
    </xf>
    <xf numFmtId="0" fontId="14" fillId="3" borderId="8" xfId="14" applyFont="1" applyFill="1" applyBorder="1" applyAlignment="1" applyProtection="1">
      <alignment horizontal="center" vertical="center" wrapText="1" readingOrder="1"/>
      <protection locked="0"/>
    </xf>
    <xf numFmtId="0" fontId="14" fillId="3" borderId="7" xfId="14" applyFont="1" applyFill="1" applyBorder="1" applyAlignment="1" applyProtection="1">
      <alignment horizontal="center" vertical="center" wrapText="1" readingOrder="1"/>
      <protection locked="0"/>
    </xf>
    <xf numFmtId="0" fontId="14" fillId="3" borderId="14" xfId="14" applyFont="1" applyFill="1" applyBorder="1" applyAlignment="1" applyProtection="1">
      <alignment horizontal="center" vertical="center" wrapText="1" readingOrder="1"/>
      <protection locked="0"/>
    </xf>
    <xf numFmtId="0" fontId="14" fillId="3" borderId="9" xfId="14" applyFont="1" applyFill="1" applyBorder="1" applyAlignment="1" applyProtection="1">
      <alignment horizontal="center" vertical="center" wrapText="1" readingOrder="1"/>
      <protection locked="0"/>
    </xf>
    <xf numFmtId="164" fontId="14" fillId="3" borderId="11" xfId="14" applyNumberFormat="1" applyFont="1" applyFill="1" applyBorder="1" applyAlignment="1" applyProtection="1">
      <alignment horizontal="center" vertical="center" wrapText="1" readingOrder="1"/>
      <protection locked="0"/>
    </xf>
    <xf numFmtId="9" fontId="14" fillId="3" borderId="22" xfId="14" applyNumberFormat="1" applyFont="1" applyFill="1" applyBorder="1" applyAlignment="1" applyProtection="1">
      <alignment horizontal="center" vertical="center" wrapText="1" readingOrder="1"/>
      <protection locked="0"/>
    </xf>
    <xf numFmtId="0" fontId="31" fillId="0" borderId="0" xfId="0" applyFont="1"/>
    <xf numFmtId="0" fontId="11" fillId="6" borderId="12" xfId="17" applyFont="1" applyFill="1" applyBorder="1" applyAlignment="1">
      <alignment horizontal="center" vertical="center" wrapText="1" readingOrder="1"/>
    </xf>
    <xf numFmtId="0" fontId="35" fillId="0" borderId="0" xfId="0" applyFont="1"/>
    <xf numFmtId="0" fontId="36" fillId="0" borderId="0" xfId="0" applyFont="1" applyFill="1" applyAlignment="1"/>
    <xf numFmtId="167" fontId="13" fillId="0" borderId="0" xfId="0" applyNumberFormat="1" applyFont="1"/>
    <xf numFmtId="17" fontId="14" fillId="6" borderId="4" xfId="14" applyNumberFormat="1" applyFont="1" applyFill="1" applyBorder="1" applyAlignment="1">
      <alignment horizontal="center" vertical="center" wrapText="1" readingOrder="1"/>
    </xf>
    <xf numFmtId="0" fontId="14" fillId="17" borderId="4" xfId="14" applyFont="1" applyFill="1" applyBorder="1" applyAlignment="1">
      <alignment horizontal="center" vertical="center" wrapText="1" readingOrder="1"/>
    </xf>
    <xf numFmtId="1" fontId="13" fillId="18" borderId="11" xfId="14" applyNumberFormat="1" applyFont="1" applyFill="1" applyBorder="1" applyAlignment="1">
      <alignment horizontal="center" vertical="center"/>
    </xf>
    <xf numFmtId="1" fontId="13" fillId="18" borderId="12" xfId="14" applyNumberFormat="1" applyFont="1" applyFill="1" applyBorder="1" applyAlignment="1">
      <alignment horizontal="center" vertical="center"/>
    </xf>
    <xf numFmtId="0" fontId="14" fillId="19" borderId="11" xfId="14" applyFont="1" applyFill="1" applyBorder="1" applyAlignment="1" applyProtection="1">
      <alignment horizontal="center" vertical="center" wrapText="1" readingOrder="1"/>
      <protection locked="0"/>
    </xf>
    <xf numFmtId="0" fontId="14" fillId="19" borderId="12" xfId="14" applyFont="1" applyFill="1" applyBorder="1" applyAlignment="1" applyProtection="1">
      <alignment horizontal="center" vertical="center" wrapText="1" readingOrder="1"/>
      <protection locked="0"/>
    </xf>
    <xf numFmtId="0" fontId="14" fillId="18" borderId="22" xfId="14" applyFont="1" applyFill="1" applyBorder="1" applyAlignment="1" applyProtection="1">
      <alignment horizontal="center" vertical="center" wrapText="1" readingOrder="1"/>
    </xf>
    <xf numFmtId="0" fontId="14" fillId="18" borderId="17" xfId="14" applyFont="1" applyFill="1" applyBorder="1" applyAlignment="1" applyProtection="1">
      <alignment horizontal="center" vertical="center" wrapText="1" readingOrder="1"/>
    </xf>
    <xf numFmtId="0" fontId="15" fillId="20" borderId="4" xfId="14" applyFont="1" applyFill="1" applyBorder="1" applyAlignment="1">
      <alignment horizontal="center" vertical="center" wrapText="1" readingOrder="1"/>
    </xf>
    <xf numFmtId="0" fontId="37" fillId="3" borderId="0" xfId="0" applyFont="1" applyFill="1"/>
    <xf numFmtId="0" fontId="38" fillId="0" borderId="0" xfId="0" applyFont="1"/>
    <xf numFmtId="0" fontId="39" fillId="0" borderId="0" xfId="0" applyFont="1"/>
    <xf numFmtId="0" fontId="37" fillId="3" borderId="0" xfId="0" applyFont="1" applyFill="1" applyAlignment="1"/>
    <xf numFmtId="3" fontId="37" fillId="0" borderId="0" xfId="0" applyNumberFormat="1" applyFont="1" applyFill="1" applyBorder="1" applyAlignment="1"/>
    <xf numFmtId="0" fontId="40" fillId="11" borderId="40" xfId="8" applyFont="1" applyFill="1" applyBorder="1"/>
    <xf numFmtId="0" fontId="40" fillId="11" borderId="41" xfId="8" applyFont="1" applyFill="1" applyBorder="1"/>
    <xf numFmtId="0" fontId="0" fillId="0" borderId="0" xfId="0" applyFont="1"/>
    <xf numFmtId="0" fontId="31" fillId="0" borderId="0" xfId="14" applyFont="1"/>
    <xf numFmtId="0" fontId="31" fillId="0" borderId="0" xfId="14" applyFont="1" applyFill="1"/>
    <xf numFmtId="0" fontId="31" fillId="0" borderId="0" xfId="14" applyFont="1" applyFill="1" applyBorder="1"/>
    <xf numFmtId="49" fontId="30" fillId="10" borderId="49" xfId="14" applyNumberFormat="1" applyFont="1" applyFill="1" applyBorder="1" applyAlignment="1" applyProtection="1">
      <alignment horizontal="center" vertical="center" wrapText="1" readingOrder="1"/>
    </xf>
    <xf numFmtId="0" fontId="38" fillId="12" borderId="45" xfId="14" applyFont="1" applyFill="1" applyBorder="1" applyProtection="1">
      <protection locked="0"/>
    </xf>
    <xf numFmtId="0" fontId="0" fillId="21" borderId="0" xfId="0" applyFill="1"/>
    <xf numFmtId="0" fontId="0" fillId="33" borderId="0" xfId="0" applyFill="1"/>
    <xf numFmtId="0" fontId="0" fillId="34" borderId="0" xfId="0" applyFill="1"/>
    <xf numFmtId="0" fontId="0" fillId="36" borderId="0" xfId="0" applyFill="1"/>
    <xf numFmtId="0" fontId="0" fillId="42" borderId="0" xfId="0" applyFill="1"/>
    <xf numFmtId="0" fontId="0" fillId="43"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61" borderId="0" xfId="0" applyFill="1"/>
    <xf numFmtId="0" fontId="0" fillId="62" borderId="0" xfId="0" applyFill="1"/>
    <xf numFmtId="0" fontId="0" fillId="63"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0" borderId="0" xfId="0" applyBorder="1"/>
    <xf numFmtId="0" fontId="0" fillId="0" borderId="55" xfId="0" applyBorder="1"/>
    <xf numFmtId="0" fontId="0" fillId="0" borderId="5" xfId="0" applyBorder="1"/>
    <xf numFmtId="0" fontId="0" fillId="41" borderId="29" xfId="0" applyFill="1" applyBorder="1"/>
    <xf numFmtId="0" fontId="0" fillId="0" borderId="35" xfId="0" applyBorder="1"/>
    <xf numFmtId="0" fontId="0" fillId="40" borderId="56" xfId="0" applyFill="1" applyBorder="1"/>
    <xf numFmtId="0" fontId="0" fillId="39" borderId="56" xfId="0" applyFill="1" applyBorder="1"/>
    <xf numFmtId="0" fontId="0" fillId="44" borderId="56" xfId="0" applyFill="1" applyBorder="1"/>
    <xf numFmtId="0" fontId="0" fillId="38" borderId="56" xfId="0" applyFill="1" applyBorder="1"/>
    <xf numFmtId="0" fontId="0" fillId="37" borderId="56" xfId="0" applyFill="1" applyBorder="1"/>
    <xf numFmtId="0" fontId="0" fillId="45" borderId="56" xfId="0" applyFill="1" applyBorder="1"/>
    <xf numFmtId="0" fontId="0" fillId="0" borderId="42" xfId="0" applyBorder="1"/>
    <xf numFmtId="0" fontId="0" fillId="0" borderId="36" xfId="0" applyBorder="1"/>
    <xf numFmtId="0" fontId="0" fillId="46" borderId="33" xfId="0" applyFill="1" applyBorder="1"/>
    <xf numFmtId="0" fontId="0" fillId="32" borderId="29" xfId="0" applyFill="1" applyBorder="1"/>
    <xf numFmtId="0" fontId="0" fillId="31" borderId="56" xfId="0" applyFill="1" applyBorder="1"/>
    <xf numFmtId="0" fontId="0" fillId="30" borderId="56" xfId="0" applyFill="1" applyBorder="1"/>
    <xf numFmtId="0" fontId="0" fillId="29" borderId="56" xfId="0" applyFill="1" applyBorder="1"/>
    <xf numFmtId="0" fontId="0" fillId="28" borderId="56" xfId="0" applyFill="1" applyBorder="1"/>
    <xf numFmtId="0" fontId="0" fillId="27" borderId="56" xfId="0" applyFill="1" applyBorder="1"/>
    <xf numFmtId="0" fontId="0" fillId="26" borderId="56" xfId="0" applyFill="1" applyBorder="1"/>
    <xf numFmtId="0" fontId="0" fillId="25" borderId="56" xfId="0" applyFill="1" applyBorder="1"/>
    <xf numFmtId="0" fontId="0" fillId="24" borderId="56" xfId="0" applyFill="1" applyBorder="1"/>
    <xf numFmtId="0" fontId="0" fillId="35" borderId="33" xfId="0" applyFill="1" applyBorder="1"/>
    <xf numFmtId="0" fontId="0" fillId="23" borderId="56" xfId="0" applyFill="1" applyBorder="1"/>
    <xf numFmtId="0" fontId="0" fillId="60" borderId="29" xfId="0" applyFill="1" applyBorder="1"/>
    <xf numFmtId="0" fontId="0" fillId="59" borderId="56" xfId="0" applyFill="1" applyBorder="1"/>
    <xf numFmtId="0" fontId="0" fillId="58" borderId="56" xfId="0" applyFill="1" applyBorder="1"/>
    <xf numFmtId="0" fontId="0" fillId="57" borderId="56" xfId="0" applyFill="1" applyBorder="1"/>
    <xf numFmtId="0" fontId="0" fillId="56" borderId="56" xfId="0" applyFill="1" applyBorder="1"/>
    <xf numFmtId="0" fontId="0" fillId="55" borderId="56" xfId="0" applyFill="1" applyBorder="1"/>
    <xf numFmtId="0" fontId="0" fillId="54" borderId="56" xfId="0" applyFill="1" applyBorder="1"/>
    <xf numFmtId="0" fontId="0" fillId="53" borderId="33" xfId="0" applyFill="1" applyBorder="1"/>
    <xf numFmtId="0" fontId="0" fillId="71" borderId="29" xfId="0" applyFill="1" applyBorder="1"/>
    <xf numFmtId="0" fontId="0" fillId="70" borderId="56" xfId="0" applyFill="1" applyBorder="1"/>
    <xf numFmtId="0" fontId="0" fillId="69" borderId="56" xfId="0" applyFill="1" applyBorder="1"/>
    <xf numFmtId="0" fontId="0" fillId="68" borderId="56" xfId="0" applyFill="1" applyBorder="1"/>
    <xf numFmtId="0" fontId="0" fillId="67" borderId="56" xfId="0" applyFill="1" applyBorder="1"/>
    <xf numFmtId="0" fontId="0" fillId="66" borderId="56" xfId="0" applyFill="1" applyBorder="1"/>
    <xf numFmtId="0" fontId="0" fillId="65" borderId="56" xfId="0" applyFill="1" applyBorder="1"/>
    <xf numFmtId="0" fontId="0" fillId="64" borderId="33" xfId="0" applyFill="1" applyBorder="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0" borderId="0" xfId="0" applyFill="1" applyBorder="1"/>
    <xf numFmtId="0" fontId="0" fillId="100" borderId="29" xfId="0" applyFill="1" applyBorder="1"/>
    <xf numFmtId="0" fontId="0" fillId="99" borderId="56" xfId="0" applyFill="1" applyBorder="1"/>
    <xf numFmtId="0" fontId="0" fillId="98" borderId="56" xfId="0" applyFill="1" applyBorder="1"/>
    <xf numFmtId="0" fontId="0" fillId="97" borderId="56" xfId="0" applyFill="1" applyBorder="1"/>
    <xf numFmtId="0" fontId="0" fillId="96" borderId="56" xfId="0" applyFill="1" applyBorder="1"/>
    <xf numFmtId="0" fontId="0" fillId="95" borderId="56" xfId="0" applyFill="1" applyBorder="1"/>
    <xf numFmtId="0" fontId="0" fillId="94" borderId="56" xfId="0" applyFill="1" applyBorder="1"/>
    <xf numFmtId="0" fontId="0" fillId="93" borderId="56" xfId="0" applyFill="1" applyBorder="1"/>
    <xf numFmtId="0" fontId="0" fillId="22" borderId="33" xfId="0" applyFill="1" applyBorder="1"/>
    <xf numFmtId="0" fontId="0" fillId="101" borderId="0" xfId="0" applyFill="1"/>
    <xf numFmtId="0" fontId="0" fillId="102" borderId="0" xfId="0" applyFill="1"/>
    <xf numFmtId="0" fontId="0" fillId="103" borderId="0" xfId="0" applyFill="1"/>
    <xf numFmtId="3" fontId="0" fillId="0" borderId="0" xfId="0" applyNumberFormat="1"/>
    <xf numFmtId="0" fontId="38" fillId="0" borderId="0" xfId="0" applyFont="1" applyAlignment="1">
      <alignment horizontal="center"/>
    </xf>
    <xf numFmtId="0" fontId="31" fillId="0" borderId="0" xfId="14" applyFont="1" applyAlignment="1">
      <alignment horizontal="center"/>
    </xf>
    <xf numFmtId="0" fontId="0" fillId="0" borderId="0" xfId="0" applyAlignment="1">
      <alignment horizontal="center"/>
    </xf>
    <xf numFmtId="3" fontId="44" fillId="3" borderId="57" xfId="0" applyNumberFormat="1" applyFont="1" applyFill="1" applyBorder="1" applyAlignment="1">
      <alignment horizontal="center" vertical="center"/>
    </xf>
    <xf numFmtId="3" fontId="45" fillId="16" borderId="1" xfId="0" applyNumberFormat="1" applyFont="1" applyFill="1" applyBorder="1"/>
    <xf numFmtId="3" fontId="45" fillId="16" borderId="2" xfId="0" applyNumberFormat="1" applyFont="1" applyFill="1" applyBorder="1"/>
    <xf numFmtId="3" fontId="45" fillId="16" borderId="3" xfId="0" applyNumberFormat="1" applyFont="1" applyFill="1" applyBorder="1"/>
    <xf numFmtId="3" fontId="7" fillId="3" borderId="1" xfId="0" applyNumberFormat="1" applyFont="1" applyFill="1" applyBorder="1"/>
    <xf numFmtId="3" fontId="7" fillId="3" borderId="2" xfId="0" applyNumberFormat="1" applyFont="1" applyFill="1" applyBorder="1"/>
    <xf numFmtId="3" fontId="7" fillId="3" borderId="3" xfId="0" applyNumberFormat="1" applyFont="1" applyFill="1" applyBorder="1"/>
    <xf numFmtId="3" fontId="0" fillId="0" borderId="0" xfId="0" applyNumberFormat="1" applyAlignment="1">
      <alignment horizontal="center"/>
    </xf>
    <xf numFmtId="3" fontId="43" fillId="104" borderId="0" xfId="0" quotePrefix="1" applyNumberFormat="1" applyFont="1" applyFill="1" applyAlignment="1">
      <alignment horizontal="center"/>
    </xf>
    <xf numFmtId="3" fontId="43" fillId="104" borderId="0" xfId="0" applyNumberFormat="1" applyFont="1" applyFill="1" applyAlignment="1">
      <alignment horizontal="center"/>
    </xf>
    <xf numFmtId="17" fontId="14" fillId="6" borderId="7" xfId="14" applyNumberFormat="1" applyFont="1" applyFill="1" applyBorder="1" applyAlignment="1">
      <alignment horizontal="center" vertical="center" wrapText="1" readingOrder="1"/>
    </xf>
    <xf numFmtId="17" fontId="14" fillId="6" borderId="6" xfId="14" applyNumberFormat="1" applyFont="1" applyFill="1" applyBorder="1" applyAlignment="1">
      <alignment horizontal="center" vertical="center" wrapText="1" readingOrder="1"/>
    </xf>
    <xf numFmtId="3" fontId="0" fillId="0" borderId="46" xfId="0" applyNumberFormat="1" applyBorder="1"/>
    <xf numFmtId="3" fontId="0" fillId="0" borderId="47" xfId="0" applyNumberFormat="1" applyBorder="1"/>
    <xf numFmtId="3" fontId="45" fillId="16" borderId="37" xfId="0" applyNumberFormat="1" applyFont="1" applyFill="1" applyBorder="1"/>
    <xf numFmtId="3" fontId="45" fillId="16" borderId="53" xfId="0" applyNumberFormat="1" applyFont="1" applyFill="1" applyBorder="1"/>
    <xf numFmtId="3" fontId="7" fillId="3" borderId="37" xfId="0" applyNumberFormat="1" applyFont="1" applyFill="1" applyBorder="1"/>
    <xf numFmtId="3" fontId="7" fillId="3" borderId="53" xfId="0" applyNumberFormat="1" applyFont="1" applyFill="1" applyBorder="1"/>
    <xf numFmtId="17" fontId="14" fillId="6" borderId="1" xfId="14" applyNumberFormat="1" applyFont="1" applyFill="1" applyBorder="1" applyAlignment="1">
      <alignment horizontal="center" vertical="center" wrapText="1" readingOrder="1"/>
    </xf>
    <xf numFmtId="0" fontId="14" fillId="6" borderId="7" xfId="14" applyFont="1" applyFill="1" applyBorder="1" applyAlignment="1">
      <alignment horizontal="center" vertical="center" wrapText="1" readingOrder="1"/>
    </xf>
    <xf numFmtId="0" fontId="14" fillId="6" borderId="6" xfId="14" applyFont="1" applyFill="1" applyBorder="1" applyAlignment="1">
      <alignment horizontal="center" vertical="center" wrapText="1" readingOrder="1"/>
    </xf>
    <xf numFmtId="3" fontId="46" fillId="16" borderId="37" xfId="0" applyNumberFormat="1" applyFont="1" applyFill="1" applyBorder="1"/>
    <xf numFmtId="3" fontId="46" fillId="16" borderId="53" xfId="0" applyNumberFormat="1" applyFont="1" applyFill="1" applyBorder="1"/>
    <xf numFmtId="0" fontId="14" fillId="18" borderId="22" xfId="14" applyFont="1" applyFill="1" applyBorder="1" applyAlignment="1">
      <alignment horizontal="center" vertical="center" wrapText="1" readingOrder="1"/>
    </xf>
    <xf numFmtId="0" fontId="14" fillId="18" borderId="17" xfId="14" applyFont="1" applyFill="1" applyBorder="1" applyAlignment="1">
      <alignment horizontal="center" vertical="center" wrapText="1" readingOrder="1"/>
    </xf>
    <xf numFmtId="164" fontId="13" fillId="10" borderId="11" xfId="14" applyNumberFormat="1" applyFont="1" applyFill="1" applyBorder="1" applyAlignment="1">
      <alignment horizontal="center" vertical="center"/>
    </xf>
    <xf numFmtId="164" fontId="13" fillId="10" borderId="13" xfId="14" applyNumberFormat="1" applyFont="1" applyFill="1" applyBorder="1" applyAlignment="1">
      <alignment horizontal="center" vertical="center"/>
    </xf>
    <xf numFmtId="164" fontId="13" fillId="10" borderId="22" xfId="14" applyNumberFormat="1" applyFont="1" applyFill="1" applyBorder="1" applyAlignment="1">
      <alignment horizontal="center" vertical="center"/>
    </xf>
    <xf numFmtId="164" fontId="13" fillId="10" borderId="18" xfId="14" applyNumberFormat="1" applyFont="1" applyFill="1" applyBorder="1" applyAlignment="1">
      <alignment horizontal="center" vertical="center"/>
    </xf>
    <xf numFmtId="0" fontId="14" fillId="10" borderId="23" xfId="14" applyFont="1" applyFill="1" applyBorder="1" applyAlignment="1">
      <alignment horizontal="center" vertical="center" wrapText="1" readingOrder="1"/>
    </xf>
    <xf numFmtId="0" fontId="14" fillId="10" borderId="24" xfId="14" applyFont="1" applyFill="1" applyBorder="1" applyAlignment="1">
      <alignment horizontal="center" vertical="center" wrapText="1" readingOrder="1"/>
    </xf>
    <xf numFmtId="0" fontId="14" fillId="10" borderId="7" xfId="14" applyFont="1" applyFill="1" applyBorder="1" applyAlignment="1">
      <alignment horizontal="center" vertical="center" wrapText="1" readingOrder="1"/>
    </xf>
    <xf numFmtId="0" fontId="14" fillId="10" borderId="6" xfId="14" applyFont="1" applyFill="1" applyBorder="1" applyAlignment="1">
      <alignment horizontal="center" vertical="center" wrapText="1" readingOrder="1"/>
    </xf>
    <xf numFmtId="0" fontId="14" fillId="10" borderId="14" xfId="14" applyFont="1" applyFill="1" applyBorder="1" applyAlignment="1">
      <alignment horizontal="center" vertical="center" wrapText="1" readingOrder="1"/>
    </xf>
    <xf numFmtId="0" fontId="14" fillId="10" borderId="25" xfId="14" applyFont="1" applyFill="1" applyBorder="1" applyAlignment="1">
      <alignment horizontal="center" vertical="center" wrapText="1" readingOrder="1"/>
    </xf>
    <xf numFmtId="164" fontId="14" fillId="10" borderId="13" xfId="14" applyNumberFormat="1" applyFont="1" applyFill="1" applyBorder="1" applyAlignment="1">
      <alignment horizontal="center" vertical="center" wrapText="1" readingOrder="1"/>
    </xf>
    <xf numFmtId="9" fontId="14" fillId="10" borderId="22" xfId="14" applyNumberFormat="1" applyFont="1" applyFill="1" applyBorder="1" applyAlignment="1">
      <alignment horizontal="center" vertical="center" wrapText="1" readingOrder="1"/>
    </xf>
    <xf numFmtId="9" fontId="14" fillId="10" borderId="18" xfId="14" applyNumberFormat="1" applyFont="1" applyFill="1" applyBorder="1" applyAlignment="1">
      <alignment horizontal="center" vertical="center" wrapText="1" readingOrder="1"/>
    </xf>
    <xf numFmtId="3" fontId="42" fillId="16" borderId="57" xfId="0" applyNumberFormat="1" applyFont="1" applyFill="1" applyBorder="1" applyAlignment="1">
      <alignment horizontal="center" vertical="center"/>
    </xf>
    <xf numFmtId="49" fontId="0" fillId="0" borderId="0" xfId="0" applyNumberFormat="1"/>
    <xf numFmtId="3" fontId="45" fillId="16" borderId="60" xfId="0" applyNumberFormat="1" applyFont="1" applyFill="1" applyBorder="1"/>
    <xf numFmtId="3" fontId="45" fillId="16" borderId="61" xfId="0" applyNumberFormat="1" applyFont="1" applyFill="1" applyBorder="1"/>
    <xf numFmtId="3" fontId="45" fillId="16" borderId="62" xfId="0" applyNumberFormat="1" applyFont="1" applyFill="1" applyBorder="1"/>
    <xf numFmtId="3" fontId="45" fillId="16" borderId="63" xfId="0" applyNumberFormat="1" applyFont="1" applyFill="1" applyBorder="1"/>
    <xf numFmtId="3" fontId="45" fillId="16" borderId="64" xfId="0" applyNumberFormat="1" applyFont="1" applyFill="1" applyBorder="1"/>
    <xf numFmtId="3" fontId="45" fillId="16" borderId="65" xfId="0" applyNumberFormat="1" applyFont="1" applyFill="1" applyBorder="1"/>
    <xf numFmtId="3" fontId="45" fillId="16" borderId="66" xfId="0" applyNumberFormat="1" applyFont="1" applyFill="1" applyBorder="1"/>
    <xf numFmtId="3" fontId="46" fillId="16" borderId="2" xfId="0" applyNumberFormat="1" applyFont="1" applyFill="1" applyBorder="1"/>
    <xf numFmtId="3" fontId="45" fillId="16" borderId="67" xfId="0" applyNumberFormat="1" applyFont="1" applyFill="1" applyBorder="1"/>
    <xf numFmtId="3" fontId="45" fillId="16" borderId="68" xfId="0" applyNumberFormat="1" applyFont="1" applyFill="1" applyBorder="1"/>
    <xf numFmtId="3" fontId="45" fillId="16" borderId="69" xfId="0" applyNumberFormat="1" applyFont="1" applyFill="1" applyBorder="1"/>
    <xf numFmtId="3" fontId="45" fillId="16" borderId="70" xfId="0" applyNumberFormat="1" applyFont="1" applyFill="1" applyBorder="1"/>
    <xf numFmtId="3" fontId="45" fillId="16" borderId="71" xfId="0" applyNumberFormat="1" applyFont="1" applyFill="1" applyBorder="1"/>
    <xf numFmtId="3" fontId="45" fillId="16" borderId="72" xfId="0" applyNumberFormat="1" applyFont="1" applyFill="1" applyBorder="1"/>
    <xf numFmtId="3" fontId="45" fillId="16" borderId="73" xfId="0" applyNumberFormat="1" applyFont="1" applyFill="1" applyBorder="1"/>
    <xf numFmtId="3" fontId="45" fillId="16" borderId="74" xfId="0" applyNumberFormat="1" applyFont="1" applyFill="1" applyBorder="1"/>
    <xf numFmtId="3" fontId="45" fillId="16" borderId="75" xfId="0" applyNumberFormat="1" applyFont="1" applyFill="1" applyBorder="1"/>
    <xf numFmtId="3" fontId="45" fillId="16" borderId="76" xfId="0" applyNumberFormat="1" applyFont="1" applyFill="1" applyBorder="1"/>
    <xf numFmtId="3" fontId="45" fillId="16" borderId="77" xfId="0" applyNumberFormat="1" applyFont="1" applyFill="1" applyBorder="1"/>
    <xf numFmtId="3" fontId="45" fillId="16" borderId="78" xfId="0" applyNumberFormat="1" applyFont="1" applyFill="1" applyBorder="1"/>
    <xf numFmtId="3" fontId="45" fillId="16" borderId="79" xfId="0" applyNumberFormat="1" applyFont="1" applyFill="1" applyBorder="1"/>
    <xf numFmtId="3" fontId="45" fillId="16" borderId="80" xfId="0" applyNumberFormat="1" applyFont="1" applyFill="1" applyBorder="1"/>
    <xf numFmtId="164" fontId="14" fillId="10" borderId="81" xfId="14" applyNumberFormat="1" applyFont="1" applyFill="1" applyBorder="1" applyAlignment="1">
      <alignment horizontal="center" vertical="center" wrapText="1" readingOrder="1"/>
    </xf>
    <xf numFmtId="0" fontId="14" fillId="3" borderId="82" xfId="14" applyFont="1" applyFill="1" applyBorder="1" applyAlignment="1" applyProtection="1">
      <alignment horizontal="center" vertical="center" wrapText="1" readingOrder="1"/>
      <protection locked="0"/>
    </xf>
    <xf numFmtId="164" fontId="13" fillId="3" borderId="83" xfId="14" applyNumberFormat="1" applyFont="1" applyFill="1" applyBorder="1" applyAlignment="1" applyProtection="1">
      <alignment horizontal="center" vertical="center"/>
      <protection locked="0"/>
    </xf>
    <xf numFmtId="164" fontId="13" fillId="3" borderId="82" xfId="14" applyNumberFormat="1" applyFont="1" applyFill="1" applyBorder="1" applyAlignment="1" applyProtection="1">
      <alignment horizontal="center" vertical="center"/>
      <protection locked="0"/>
    </xf>
    <xf numFmtId="0" fontId="14" fillId="3" borderId="42" xfId="14" applyFont="1" applyFill="1" applyBorder="1" applyAlignment="1" applyProtection="1">
      <alignment horizontal="center" vertical="center" wrapText="1" readingOrder="1"/>
      <protection locked="0"/>
    </xf>
    <xf numFmtId="0" fontId="14" fillId="3" borderId="1" xfId="14" applyFont="1" applyFill="1" applyBorder="1" applyAlignment="1" applyProtection="1">
      <alignment horizontal="center" vertical="center" wrapText="1" readingOrder="1"/>
      <protection locked="0"/>
    </xf>
    <xf numFmtId="0" fontId="14" fillId="3" borderId="55" xfId="14" applyFont="1" applyFill="1" applyBorder="1" applyAlignment="1" applyProtection="1">
      <alignment horizontal="center" vertical="center" wrapText="1" readingOrder="1"/>
      <protection locked="0"/>
    </xf>
    <xf numFmtId="164" fontId="14" fillId="3" borderId="83" xfId="14" applyNumberFormat="1" applyFont="1" applyFill="1" applyBorder="1" applyAlignment="1" applyProtection="1">
      <alignment horizontal="center" vertical="center" wrapText="1" readingOrder="1"/>
      <protection locked="0"/>
    </xf>
    <xf numFmtId="9" fontId="14" fillId="3" borderId="82" xfId="14" applyNumberFormat="1" applyFont="1" applyFill="1" applyBorder="1" applyAlignment="1" applyProtection="1">
      <alignment horizontal="center" vertical="center" wrapText="1" readingOrder="1"/>
      <protection locked="0"/>
    </xf>
    <xf numFmtId="3" fontId="14" fillId="10" borderId="50" xfId="14" applyNumberFormat="1" applyFont="1" applyFill="1" applyBorder="1" applyAlignment="1">
      <alignment horizontal="center" vertical="center" wrapText="1" readingOrder="1"/>
    </xf>
    <xf numFmtId="168" fontId="14" fillId="10" borderId="51" xfId="14" applyNumberFormat="1" applyFont="1" applyFill="1" applyBorder="1" applyAlignment="1">
      <alignment horizontal="center" vertical="center" wrapText="1" readingOrder="1"/>
    </xf>
    <xf numFmtId="168" fontId="14" fillId="10" borderId="50" xfId="14" applyNumberFormat="1" applyFont="1" applyFill="1" applyBorder="1" applyAlignment="1">
      <alignment horizontal="center" vertical="center" wrapText="1" readingOrder="1"/>
    </xf>
    <xf numFmtId="0" fontId="14" fillId="19" borderId="13" xfId="14" applyFont="1" applyFill="1" applyBorder="1" applyAlignment="1" applyProtection="1">
      <alignment horizontal="center" vertical="center" wrapText="1" readingOrder="1"/>
      <protection locked="0"/>
    </xf>
    <xf numFmtId="0" fontId="14" fillId="18" borderId="18" xfId="14" applyFont="1" applyFill="1" applyBorder="1" applyAlignment="1" applyProtection="1">
      <alignment horizontal="center" vertical="center" wrapText="1" readingOrder="1"/>
    </xf>
    <xf numFmtId="0" fontId="31" fillId="12" borderId="43" xfId="14" applyFont="1" applyFill="1" applyBorder="1"/>
    <xf numFmtId="0" fontId="14" fillId="10" borderId="45" xfId="14" applyFont="1" applyFill="1" applyBorder="1" applyAlignment="1">
      <alignment horizontal="right" vertical="center" wrapText="1" readingOrder="1"/>
    </xf>
    <xf numFmtId="0" fontId="9" fillId="10" borderId="54" xfId="14" applyFont="1" applyFill="1" applyBorder="1" applyAlignment="1">
      <alignment horizontal="right" vertical="center" wrapText="1" readingOrder="1"/>
    </xf>
    <xf numFmtId="0" fontId="14" fillId="10" borderId="38" xfId="14" applyFont="1" applyFill="1" applyBorder="1" applyAlignment="1">
      <alignment horizontal="right" vertical="center" wrapText="1" readingOrder="1"/>
    </xf>
    <xf numFmtId="0" fontId="14" fillId="10" borderId="53" xfId="14" applyFont="1" applyFill="1" applyBorder="1" applyAlignment="1">
      <alignment horizontal="right" vertical="center" wrapText="1" readingOrder="1"/>
    </xf>
    <xf numFmtId="0" fontId="14" fillId="10" borderId="54" xfId="14" applyFont="1" applyFill="1" applyBorder="1" applyAlignment="1">
      <alignment horizontal="right" vertical="center" wrapText="1" readingOrder="1"/>
    </xf>
    <xf numFmtId="49" fontId="30" fillId="10" borderId="51" xfId="14" applyNumberFormat="1" applyFont="1" applyFill="1" applyBorder="1" applyAlignment="1" applyProtection="1">
      <alignment horizontal="center" vertical="center" wrapText="1" readingOrder="1"/>
    </xf>
    <xf numFmtId="3" fontId="14" fillId="10" borderId="84" xfId="14" applyNumberFormat="1" applyFont="1" applyFill="1" applyBorder="1" applyAlignment="1">
      <alignment horizontal="center" vertical="center" wrapText="1" readingOrder="1"/>
    </xf>
    <xf numFmtId="3" fontId="14" fillId="10" borderId="81" xfId="14" applyNumberFormat="1" applyFont="1" applyFill="1" applyBorder="1" applyAlignment="1">
      <alignment horizontal="center" vertical="center" wrapText="1" readingOrder="1"/>
    </xf>
    <xf numFmtId="3" fontId="14" fillId="10" borderId="38" xfId="14" applyNumberFormat="1" applyFont="1" applyFill="1" applyBorder="1" applyAlignment="1">
      <alignment horizontal="center" vertical="center" wrapText="1" readingOrder="1"/>
    </xf>
    <xf numFmtId="3" fontId="14" fillId="10" borderId="51" xfId="14" applyNumberFormat="1" applyFont="1" applyFill="1" applyBorder="1" applyAlignment="1">
      <alignment horizontal="center" vertical="center" wrapText="1" readingOrder="1"/>
    </xf>
    <xf numFmtId="3" fontId="14" fillId="10" borderId="52" xfId="14" applyNumberFormat="1" applyFont="1" applyFill="1" applyBorder="1" applyAlignment="1">
      <alignment horizontal="center" vertical="center" wrapText="1" readingOrder="1"/>
    </xf>
    <xf numFmtId="9" fontId="14" fillId="10" borderId="50" xfId="12" applyFont="1" applyFill="1" applyBorder="1" applyAlignment="1">
      <alignment horizontal="center" vertical="center" wrapText="1" readingOrder="1"/>
    </xf>
    <xf numFmtId="3" fontId="14" fillId="6" borderId="54" xfId="14" applyNumberFormat="1" applyFont="1" applyFill="1" applyBorder="1" applyAlignment="1">
      <alignment horizontal="center" vertical="center" wrapText="1" readingOrder="1"/>
    </xf>
    <xf numFmtId="49" fontId="30" fillId="10" borderId="50" xfId="14" applyNumberFormat="1" applyFont="1" applyFill="1" applyBorder="1" applyAlignment="1" applyProtection="1">
      <alignment horizontal="center" vertical="center" wrapText="1" readingOrder="1"/>
    </xf>
    <xf numFmtId="3" fontId="14" fillId="10" borderId="54" xfId="14" applyNumberFormat="1" applyFont="1" applyFill="1" applyBorder="1" applyAlignment="1">
      <alignment horizontal="center" vertical="center" wrapText="1" readingOrder="1"/>
    </xf>
    <xf numFmtId="0" fontId="41" fillId="9" borderId="36" xfId="14" applyFont="1" applyFill="1" applyBorder="1" applyAlignment="1">
      <alignment horizontal="center" vertical="center" wrapText="1" readingOrder="1"/>
    </xf>
    <xf numFmtId="0" fontId="41" fillId="9" borderId="58" xfId="14" applyFont="1" applyFill="1" applyBorder="1" applyAlignment="1">
      <alignment horizontal="center" vertical="center" wrapText="1" readingOrder="1"/>
    </xf>
    <xf numFmtId="0" fontId="14" fillId="10" borderId="16" xfId="14" applyFont="1" applyFill="1" applyBorder="1" applyAlignment="1">
      <alignment horizontal="center" vertical="center" wrapText="1" readingOrder="1"/>
    </xf>
    <xf numFmtId="0" fontId="14" fillId="10" borderId="27" xfId="14" applyFont="1" applyFill="1" applyBorder="1" applyAlignment="1">
      <alignment horizontal="center" vertical="center" wrapText="1" readingOrder="1"/>
    </xf>
    <xf numFmtId="164" fontId="14" fillId="10" borderId="38" xfId="14" applyNumberFormat="1" applyFont="1" applyFill="1" applyBorder="1" applyAlignment="1">
      <alignment horizontal="center" vertical="center" wrapText="1" readingOrder="1"/>
    </xf>
    <xf numFmtId="0" fontId="14" fillId="18" borderId="4" xfId="14" applyFont="1" applyFill="1" applyBorder="1" applyAlignment="1">
      <alignment horizontal="center" vertical="center" wrapText="1" readingOrder="1"/>
    </xf>
    <xf numFmtId="0" fontId="41" fillId="9" borderId="59" xfId="14" applyFont="1" applyFill="1" applyBorder="1" applyAlignment="1">
      <alignment horizontal="center" vertical="center" wrapText="1" readingOrder="1"/>
    </xf>
    <xf numFmtId="0" fontId="15" fillId="20" borderId="7" xfId="14" applyFont="1" applyFill="1" applyBorder="1" applyAlignment="1">
      <alignment horizontal="center" vertical="center" wrapText="1" readingOrder="1"/>
    </xf>
    <xf numFmtId="0" fontId="15" fillId="20" borderId="6" xfId="14" applyFont="1" applyFill="1" applyBorder="1" applyAlignment="1">
      <alignment horizontal="center" vertical="center" wrapText="1" readingOrder="1"/>
    </xf>
    <xf numFmtId="0" fontId="15" fillId="6" borderId="7" xfId="14" applyFont="1" applyFill="1" applyBorder="1" applyAlignment="1">
      <alignment horizontal="center" vertical="center" wrapText="1" readingOrder="1"/>
    </xf>
    <xf numFmtId="0" fontId="15" fillId="6" borderId="6" xfId="14" applyFont="1" applyFill="1" applyBorder="1" applyAlignment="1">
      <alignment horizontal="center" vertical="center" wrapText="1" readingOrder="1"/>
    </xf>
    <xf numFmtId="0" fontId="15" fillId="15" borderId="46" xfId="14" applyFont="1" applyFill="1" applyBorder="1" applyAlignment="1">
      <alignment horizontal="center" vertical="center" wrapText="1" readingOrder="1"/>
    </xf>
    <xf numFmtId="0" fontId="15" fillId="15" borderId="47" xfId="14" applyFont="1" applyFill="1" applyBorder="1" applyAlignment="1">
      <alignment horizontal="center" vertical="center" wrapText="1" readingOrder="1"/>
    </xf>
    <xf numFmtId="0" fontId="14" fillId="17" borderId="7" xfId="14" applyFont="1" applyFill="1" applyBorder="1" applyAlignment="1">
      <alignment horizontal="center" vertical="center" wrapText="1" readingOrder="1"/>
    </xf>
    <xf numFmtId="0" fontId="14" fillId="18" borderId="6" xfId="14" applyFont="1" applyFill="1" applyBorder="1" applyAlignment="1">
      <alignment horizontal="center" vertical="center" wrapText="1" readingOrder="1"/>
    </xf>
    <xf numFmtId="0" fontId="14" fillId="13" borderId="46" xfId="14" applyFont="1" applyFill="1" applyBorder="1" applyAlignment="1">
      <alignment horizontal="center" vertical="center" wrapText="1" readingOrder="1"/>
    </xf>
    <xf numFmtId="0" fontId="14" fillId="13" borderId="47" xfId="14" applyFont="1" applyFill="1" applyBorder="1" applyAlignment="1">
      <alignment horizontal="center" vertical="center" wrapText="1" readingOrder="1"/>
    </xf>
    <xf numFmtId="0" fontId="14" fillId="14" borderId="46" xfId="14" applyFont="1" applyFill="1" applyBorder="1" applyAlignment="1">
      <alignment horizontal="center" vertical="center" wrapText="1" readingOrder="1"/>
    </xf>
    <xf numFmtId="0" fontId="14" fillId="14" borderId="47" xfId="14" applyFont="1" applyFill="1" applyBorder="1" applyAlignment="1">
      <alignment horizontal="center" vertical="center" wrapText="1" readingOrder="1"/>
    </xf>
    <xf numFmtId="49" fontId="31" fillId="95" borderId="0" xfId="14" applyNumberFormat="1" applyFont="1" applyFill="1" applyBorder="1" applyAlignment="1" applyProtection="1">
      <alignment horizontal="center"/>
    </xf>
    <xf numFmtId="4" fontId="14" fillId="95" borderId="0" xfId="14" applyNumberFormat="1" applyFont="1" applyFill="1" applyBorder="1" applyAlignment="1" applyProtection="1">
      <alignment horizontal="center" vertical="center" wrapText="1" readingOrder="1"/>
    </xf>
    <xf numFmtId="49" fontId="31" fillId="95" borderId="26" xfId="14" applyNumberFormat="1" applyFont="1" applyFill="1" applyBorder="1" applyAlignment="1" applyProtection="1">
      <alignment horizontal="center"/>
    </xf>
    <xf numFmtId="4" fontId="14" fillId="95" borderId="34" xfId="14" applyNumberFormat="1" applyFont="1" applyFill="1" applyBorder="1" applyAlignment="1" applyProtection="1">
      <alignment horizontal="center" vertical="center" wrapText="1" readingOrder="1"/>
    </xf>
    <xf numFmtId="49" fontId="31" fillId="95" borderId="0" xfId="14" applyNumberFormat="1" applyFont="1" applyFill="1" applyBorder="1"/>
    <xf numFmtId="49" fontId="31" fillId="95" borderId="26" xfId="14" applyNumberFormat="1" applyFont="1" applyFill="1" applyBorder="1"/>
    <xf numFmtId="3" fontId="14" fillId="10" borderId="86" xfId="14" applyNumberFormat="1" applyFont="1" applyFill="1" applyBorder="1" applyAlignment="1">
      <alignment horizontal="center" vertical="center" wrapText="1" readingOrder="1"/>
    </xf>
    <xf numFmtId="3" fontId="14" fillId="10" borderId="87" xfId="14" applyNumberFormat="1" applyFont="1" applyFill="1" applyBorder="1" applyAlignment="1">
      <alignment horizontal="center" vertical="center" wrapText="1" readingOrder="1"/>
    </xf>
    <xf numFmtId="0" fontId="14" fillId="3" borderId="83" xfId="14" applyFont="1" applyFill="1" applyBorder="1" applyAlignment="1" applyProtection="1">
      <alignment horizontal="center" vertical="center" wrapText="1" readingOrder="1"/>
      <protection locked="0"/>
    </xf>
    <xf numFmtId="0" fontId="47" fillId="95" borderId="0" xfId="14" applyFont="1" applyFill="1"/>
    <xf numFmtId="0" fontId="47" fillId="95" borderId="0" xfId="14" applyFont="1" applyFill="1" applyBorder="1"/>
    <xf numFmtId="0" fontId="48" fillId="0" borderId="0" xfId="0" applyFont="1"/>
    <xf numFmtId="0" fontId="48" fillId="0" borderId="0" xfId="14" applyFont="1"/>
    <xf numFmtId="0" fontId="48" fillId="0" borderId="0" xfId="14" applyFont="1" applyFill="1"/>
    <xf numFmtId="0" fontId="11" fillId="6" borderId="82" xfId="14" applyFont="1" applyFill="1" applyBorder="1" applyAlignment="1">
      <alignment horizontal="center" vertical="center" wrapText="1" readingOrder="1"/>
    </xf>
    <xf numFmtId="0" fontId="14" fillId="6" borderId="18" xfId="14" applyFont="1" applyFill="1" applyBorder="1" applyAlignment="1">
      <alignment horizontal="center" vertical="center" wrapText="1" readingOrder="1"/>
    </xf>
    <xf numFmtId="0" fontId="14" fillId="17" borderId="22" xfId="14" applyFont="1" applyFill="1" applyBorder="1" applyAlignment="1">
      <alignment horizontal="center" vertical="center" wrapText="1" readingOrder="1"/>
    </xf>
    <xf numFmtId="0" fontId="14" fillId="17" borderId="17" xfId="14" applyFont="1" applyFill="1" applyBorder="1" applyAlignment="1">
      <alignment horizontal="center" vertical="center" wrapText="1" readingOrder="1"/>
    </xf>
    <xf numFmtId="0" fontId="14" fillId="18" borderId="18" xfId="14" applyFont="1" applyFill="1" applyBorder="1" applyAlignment="1">
      <alignment horizontal="center" vertical="center" wrapText="1" readingOrder="1"/>
    </xf>
    <xf numFmtId="0" fontId="15" fillId="6" borderId="22" xfId="14" applyFont="1" applyFill="1" applyBorder="1" applyAlignment="1">
      <alignment horizontal="center" vertical="center" wrapText="1" readingOrder="1"/>
    </xf>
    <xf numFmtId="0" fontId="15" fillId="6" borderId="17" xfId="14" applyFont="1" applyFill="1" applyBorder="1" applyAlignment="1">
      <alignment horizontal="center" vertical="center" wrapText="1" readingOrder="1"/>
    </xf>
    <xf numFmtId="0" fontId="15" fillId="6" borderId="18" xfId="14" applyFont="1" applyFill="1" applyBorder="1" applyAlignment="1">
      <alignment horizontal="center" vertical="center" wrapText="1" readingOrder="1"/>
    </xf>
    <xf numFmtId="0" fontId="31" fillId="12" borderId="46" xfId="14" applyFont="1" applyFill="1" applyBorder="1"/>
    <xf numFmtId="0" fontId="38" fillId="12" borderId="47" xfId="14" applyFont="1" applyFill="1" applyBorder="1" applyProtection="1">
      <protection locked="0"/>
    </xf>
    <xf numFmtId="0" fontId="17" fillId="6" borderId="88" xfId="13" applyFont="1" applyFill="1" applyBorder="1" applyAlignment="1">
      <alignment horizontal="center"/>
    </xf>
    <xf numFmtId="0" fontId="17" fillId="6" borderId="89" xfId="13" applyFont="1" applyFill="1" applyBorder="1" applyAlignment="1">
      <alignment horizontal="center"/>
    </xf>
    <xf numFmtId="0" fontId="11" fillId="6" borderId="51" xfId="14" applyFont="1" applyFill="1" applyBorder="1" applyAlignment="1">
      <alignment horizontal="center" vertical="center" wrapText="1" readingOrder="1"/>
    </xf>
    <xf numFmtId="3" fontId="37" fillId="0" borderId="0" xfId="0" applyNumberFormat="1" applyFont="1"/>
    <xf numFmtId="0" fontId="37" fillId="0" borderId="0" xfId="0" applyFont="1"/>
    <xf numFmtId="0" fontId="39" fillId="0" borderId="44" xfId="14" applyFont="1" applyFill="1" applyBorder="1" applyAlignment="1" applyProtection="1">
      <alignment vertical="center"/>
    </xf>
    <xf numFmtId="0" fontId="39" fillId="3" borderId="85" xfId="14" applyFont="1" applyFill="1" applyBorder="1" applyAlignment="1" applyProtection="1">
      <alignment horizontal="center" vertical="center"/>
      <protection locked="0"/>
    </xf>
    <xf numFmtId="0" fontId="37" fillId="3" borderId="0" xfId="0" applyFont="1" applyFill="1" applyBorder="1" applyAlignment="1">
      <alignment horizontal="left" wrapText="1"/>
    </xf>
    <xf numFmtId="49" fontId="26" fillId="3" borderId="21" xfId="14" applyNumberFormat="1" applyFont="1" applyFill="1" applyBorder="1" applyAlignment="1" applyProtection="1">
      <alignment horizontal="center" vertical="center" wrapText="1"/>
      <protection locked="0"/>
    </xf>
    <xf numFmtId="49" fontId="26" fillId="3" borderId="28" xfId="14" applyNumberFormat="1" applyFont="1" applyFill="1" applyBorder="1" applyAlignment="1" applyProtection="1">
      <alignment horizontal="center" vertical="center" wrapText="1"/>
      <protection locked="0"/>
    </xf>
    <xf numFmtId="49" fontId="26" fillId="3" borderId="27" xfId="14" applyNumberFormat="1" applyFont="1" applyFill="1" applyBorder="1" applyAlignment="1" applyProtection="1">
      <alignment horizontal="center" vertical="center" wrapText="1"/>
      <protection locked="0"/>
    </xf>
    <xf numFmtId="0" fontId="26" fillId="3" borderId="19" xfId="14" applyNumberFormat="1" applyFont="1" applyFill="1" applyBorder="1" applyAlignment="1" applyProtection="1">
      <alignment horizontal="center" vertical="center"/>
      <protection locked="0"/>
    </xf>
    <xf numFmtId="0" fontId="26" fillId="3" borderId="15" xfId="14" applyNumberFormat="1" applyFont="1" applyFill="1" applyBorder="1" applyAlignment="1" applyProtection="1">
      <alignment horizontal="center" vertical="center"/>
      <protection locked="0"/>
    </xf>
    <xf numFmtId="0" fontId="26" fillId="3" borderId="16" xfId="14" applyNumberFormat="1" applyFont="1" applyFill="1" applyBorder="1" applyAlignment="1" applyProtection="1">
      <alignment horizontal="center" vertical="center"/>
      <protection locked="0"/>
    </xf>
    <xf numFmtId="0" fontId="26" fillId="10" borderId="20" xfId="14" applyFont="1" applyFill="1" applyBorder="1" applyAlignment="1">
      <alignment horizontal="center" vertical="center" wrapText="1"/>
    </xf>
    <xf numFmtId="0" fontId="26" fillId="10" borderId="10" xfId="14" applyFont="1" applyFill="1" applyBorder="1" applyAlignment="1">
      <alignment horizontal="center" vertical="center" wrapText="1"/>
    </xf>
    <xf numFmtId="0" fontId="26" fillId="10" borderId="39" xfId="14" applyFont="1" applyFill="1" applyBorder="1" applyAlignment="1">
      <alignment horizontal="center" vertical="center" wrapText="1"/>
    </xf>
    <xf numFmtId="0" fontId="36" fillId="14" borderId="43" xfId="0" applyFont="1" applyFill="1" applyBorder="1" applyAlignment="1">
      <alignment horizontal="center"/>
    </xf>
    <xf numFmtId="0" fontId="36" fillId="14" borderId="44" xfId="0" applyFont="1" applyFill="1" applyBorder="1" applyAlignment="1">
      <alignment horizontal="center"/>
    </xf>
    <xf numFmtId="0" fontId="36" fillId="14" borderId="45" xfId="0" applyFont="1" applyFill="1" applyBorder="1" applyAlignment="1">
      <alignment horizontal="center"/>
    </xf>
    <xf numFmtId="0" fontId="36" fillId="13" borderId="43" xfId="0" applyFont="1" applyFill="1" applyBorder="1" applyAlignment="1">
      <alignment horizontal="center"/>
    </xf>
    <xf numFmtId="0" fontId="36" fillId="13" borderId="44" xfId="0" applyFont="1" applyFill="1" applyBorder="1" applyAlignment="1">
      <alignment horizontal="center"/>
    </xf>
    <xf numFmtId="0" fontId="36" fillId="13" borderId="45" xfId="0" applyFont="1" applyFill="1" applyBorder="1" applyAlignment="1">
      <alignment horizontal="center"/>
    </xf>
    <xf numFmtId="0" fontId="36" fillId="15" borderId="43" xfId="0" applyFont="1" applyFill="1" applyBorder="1" applyAlignment="1">
      <alignment horizontal="center"/>
    </xf>
    <xf numFmtId="0" fontId="36" fillId="15" borderId="44" xfId="0" applyFont="1" applyFill="1" applyBorder="1" applyAlignment="1">
      <alignment horizontal="center"/>
    </xf>
    <xf numFmtId="0" fontId="36" fillId="15" borderId="45" xfId="0" applyFont="1" applyFill="1" applyBorder="1" applyAlignment="1">
      <alignment horizontal="center"/>
    </xf>
    <xf numFmtId="0" fontId="34" fillId="9" borderId="46" xfId="14" applyFont="1" applyFill="1" applyBorder="1" applyAlignment="1">
      <alignment horizontal="center" vertical="center" wrapText="1" readingOrder="1"/>
    </xf>
    <xf numFmtId="0" fontId="34" fillId="9" borderId="0" xfId="14" applyFont="1" applyFill="1" applyBorder="1" applyAlignment="1">
      <alignment horizontal="center" vertical="center" wrapText="1" readingOrder="1"/>
    </xf>
    <xf numFmtId="0" fontId="34" fillId="9" borderId="35" xfId="14" applyFont="1" applyFill="1" applyBorder="1" applyAlignment="1">
      <alignment horizontal="center" vertical="center" wrapText="1" readingOrder="1"/>
    </xf>
    <xf numFmtId="0" fontId="34" fillId="9" borderId="47" xfId="14" applyFont="1" applyFill="1" applyBorder="1" applyAlignment="1">
      <alignment horizontal="center" vertical="center" wrapText="1" readingOrder="1"/>
    </xf>
    <xf numFmtId="0" fontId="34" fillId="9" borderId="58" xfId="14" applyFont="1" applyFill="1" applyBorder="1" applyAlignment="1">
      <alignment horizontal="center" vertical="center" wrapText="1" readingOrder="1"/>
    </xf>
    <xf numFmtId="0" fontId="34" fillId="9" borderId="36" xfId="14" applyFont="1" applyFill="1" applyBorder="1" applyAlignment="1">
      <alignment horizontal="center" vertical="center" wrapText="1" readingOrder="1"/>
    </xf>
    <xf numFmtId="0" fontId="34" fillId="9" borderId="42" xfId="14" applyFont="1" applyFill="1" applyBorder="1" applyAlignment="1">
      <alignment horizontal="center" vertical="center" wrapText="1" readingOrder="1"/>
    </xf>
    <xf numFmtId="0" fontId="34" fillId="9" borderId="59" xfId="14" applyFont="1" applyFill="1" applyBorder="1" applyAlignment="1">
      <alignment horizontal="center" vertical="center" wrapText="1" readingOrder="1"/>
    </xf>
    <xf numFmtId="0" fontId="40" fillId="105" borderId="55" xfId="0" applyFont="1" applyFill="1" applyBorder="1" applyAlignment="1">
      <alignment wrapText="1"/>
    </xf>
    <xf numFmtId="0" fontId="40" fillId="105" borderId="5" xfId="0" applyFont="1" applyFill="1" applyBorder="1" applyAlignment="1">
      <alignment wrapText="1"/>
    </xf>
    <xf numFmtId="0" fontId="40" fillId="105" borderId="29" xfId="0" applyFont="1" applyFill="1" applyBorder="1" applyAlignment="1">
      <alignment wrapText="1"/>
    </xf>
    <xf numFmtId="0" fontId="40" fillId="105" borderId="42" xfId="0" applyFont="1" applyFill="1" applyBorder="1" applyAlignment="1">
      <alignment wrapText="1"/>
    </xf>
    <xf numFmtId="0" fontId="40" fillId="105" borderId="36" xfId="0" applyFont="1" applyFill="1" applyBorder="1" applyAlignment="1">
      <alignment wrapText="1"/>
    </xf>
    <xf numFmtId="0" fontId="40" fillId="105" borderId="33" xfId="0" applyFont="1" applyFill="1" applyBorder="1" applyAlignment="1">
      <alignment wrapText="1"/>
    </xf>
    <xf numFmtId="0" fontId="38" fillId="10" borderId="0" xfId="0" applyFont="1" applyFill="1" applyAlignment="1">
      <alignment horizontal="center" vertical="center"/>
    </xf>
    <xf numFmtId="0" fontId="38" fillId="10" borderId="26" xfId="0" applyFont="1" applyFill="1" applyBorder="1" applyAlignment="1">
      <alignment horizontal="center" vertical="center"/>
    </xf>
    <xf numFmtId="0" fontId="6" fillId="6" borderId="0" xfId="0" applyFont="1" applyFill="1" applyAlignment="1">
      <alignment horizontal="left"/>
    </xf>
    <xf numFmtId="0" fontId="27" fillId="5" borderId="0" xfId="0" applyFont="1" applyFill="1" applyAlignment="1">
      <alignment horizontal="center" vertical="center"/>
    </xf>
    <xf numFmtId="0" fontId="0" fillId="0" borderId="1" xfId="0" applyFill="1" applyBorder="1" applyAlignment="1">
      <alignment horizontal="left" vertical="top" wrapText="1"/>
    </xf>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24" fillId="4" borderId="0" xfId="0" applyFont="1" applyFill="1" applyAlignment="1">
      <alignment horizontal="center" vertical="center"/>
    </xf>
    <xf numFmtId="0" fontId="13" fillId="6" borderId="1" xfId="0" applyFont="1" applyFill="1" applyBorder="1" applyAlignment="1">
      <alignment horizontal="center" vertical="center" wrapText="1"/>
    </xf>
    <xf numFmtId="0" fontId="13" fillId="6" borderId="3" xfId="0" applyFont="1" applyFill="1" applyBorder="1" applyAlignment="1">
      <alignment horizontal="center" vertical="center" wrapText="1"/>
    </xf>
    <xf numFmtId="0" fontId="19" fillId="6" borderId="9" xfId="0" applyFont="1" applyFill="1" applyBorder="1" applyAlignment="1">
      <alignment horizontal="center" vertical="center" wrapText="1" readingOrder="1"/>
    </xf>
    <xf numFmtId="0" fontId="19" fillId="6" borderId="10" xfId="0" applyFont="1" applyFill="1" applyBorder="1" applyAlignment="1">
      <alignment horizontal="center" vertical="center" wrapText="1" readingOrder="1"/>
    </xf>
    <xf numFmtId="0" fontId="19" fillId="6" borderId="8" xfId="0" applyFont="1" applyFill="1" applyBorder="1" applyAlignment="1">
      <alignment horizontal="center" vertical="center" wrapText="1" readingOrder="1"/>
    </xf>
    <xf numFmtId="0" fontId="19" fillId="6" borderId="4" xfId="0" applyFont="1" applyFill="1" applyBorder="1" applyAlignment="1">
      <alignment horizontal="center" vertical="center" wrapText="1" readingOrder="1"/>
    </xf>
    <xf numFmtId="0" fontId="22" fillId="4" borderId="1" xfId="0" applyFont="1" applyFill="1" applyBorder="1" applyAlignment="1">
      <alignment horizontal="center" vertical="center" wrapText="1" readingOrder="1"/>
    </xf>
    <xf numFmtId="0" fontId="22" fillId="4" borderId="3" xfId="0" applyFont="1" applyFill="1" applyBorder="1" applyAlignment="1">
      <alignment horizontal="center" vertical="center" wrapText="1" readingOrder="1"/>
    </xf>
    <xf numFmtId="0" fontId="0" fillId="0" borderId="4" xfId="0" applyBorder="1" applyAlignment="1">
      <alignment horizontal="left" wrapText="1"/>
    </xf>
    <xf numFmtId="0" fontId="0" fillId="4" borderId="1" xfId="0" applyFill="1" applyBorder="1" applyAlignment="1">
      <alignment horizontal="center"/>
    </xf>
    <xf numFmtId="0" fontId="0" fillId="4" borderId="2" xfId="0" applyFill="1" applyBorder="1" applyAlignment="1">
      <alignment horizontal="center"/>
    </xf>
    <xf numFmtId="3" fontId="42" fillId="16" borderId="57" xfId="0" applyNumberFormat="1" applyFont="1" applyFill="1" applyBorder="1" applyAlignment="1">
      <alignment horizontal="center" vertical="center"/>
    </xf>
    <xf numFmtId="0" fontId="41" fillId="9" borderId="58" xfId="14" applyFont="1" applyFill="1" applyBorder="1" applyAlignment="1">
      <alignment horizontal="center" vertical="center" wrapText="1" readingOrder="1"/>
    </xf>
    <xf numFmtId="0" fontId="41" fillId="9" borderId="36" xfId="14" applyFont="1" applyFill="1" applyBorder="1" applyAlignment="1">
      <alignment horizontal="center" vertical="center" wrapText="1" readingOrder="1"/>
    </xf>
    <xf numFmtId="0" fontId="41" fillId="9" borderId="46" xfId="14" applyFont="1" applyFill="1" applyBorder="1" applyAlignment="1">
      <alignment horizontal="center" vertical="center" wrapText="1" readingOrder="1"/>
    </xf>
    <xf numFmtId="0" fontId="41" fillId="9" borderId="0" xfId="14" applyFont="1" applyFill="1" applyAlignment="1">
      <alignment horizontal="center" vertical="center" wrapText="1" readingOrder="1"/>
    </xf>
    <xf numFmtId="0" fontId="41" fillId="9" borderId="47" xfId="14" applyFont="1" applyFill="1" applyBorder="1" applyAlignment="1">
      <alignment horizontal="center" vertical="center" wrapText="1" readingOrder="1"/>
    </xf>
  </cellXfs>
  <cellStyles count="18">
    <cellStyle name="_x0004_Ą 2" xfId="1" xr:uid="{00000000-0005-0000-0000-000000000000}"/>
    <cellStyle name="_x0004_Ą_Presentation_Master_BP12_WS_V0" xfId="2" xr:uid="{00000000-0005-0000-0000-000001000000}"/>
    <cellStyle name="Komma 2" xfId="4" xr:uid="{00000000-0005-0000-0000-000003000000}"/>
    <cellStyle name="Komma 3" xfId="6" xr:uid="{00000000-0005-0000-0000-000004000000}"/>
    <cellStyle name="Normal" xfId="0" builtinId="0"/>
    <cellStyle name="Normal 2" xfId="8" xr:uid="{C34E9A5F-048B-458C-AF50-A92E354F054E}"/>
    <cellStyle name="Normal 3" xfId="13" xr:uid="{E0B07DF6-B469-44B3-BE2B-A2DA52E1B416}"/>
    <cellStyle name="Normal 3 2" xfId="16" xr:uid="{5A7CF83E-80DD-412E-B999-D4EEE8926113}"/>
    <cellStyle name="Percent" xfId="12" builtinId="5"/>
    <cellStyle name="Standard 2" xfId="3" xr:uid="{00000000-0005-0000-0000-000008000000}"/>
    <cellStyle name="Standard 2 2" xfId="7" xr:uid="{00000000-0005-0000-0000-000009000000}"/>
    <cellStyle name="Standard 2 2 2" xfId="11" xr:uid="{0A615AE6-F31C-4890-BCDB-5CDE7F0EC2B2}"/>
    <cellStyle name="Standard 2 3" xfId="9" xr:uid="{65691465-40DC-4BB4-8965-7A0D9DF9A756}"/>
    <cellStyle name="Standard 2_Report" xfId="10" xr:uid="{816A43A7-E232-4EA7-83F1-C74348E98351}"/>
    <cellStyle name="Standard 3" xfId="5" xr:uid="{00000000-0005-0000-0000-00000A000000}"/>
    <cellStyle name="Standard 4" xfId="14" xr:uid="{678E7F13-830A-41B5-ACF7-70ED58110990}"/>
    <cellStyle name="Standard 4 2" xfId="17" xr:uid="{BB7FF6CE-3A73-4F59-9EB9-73B20F0DF8C7}"/>
    <cellStyle name="Standard 5" xfId="15" xr:uid="{5704DF9F-FA5E-4657-88D7-9559A9FEA0A2}"/>
  </cellStyles>
  <dxfs count="11">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s>
  <tableStyles count="0" defaultTableStyle="TableStyleMedium9" defaultPivotStyle="PivotStyleLight16"/>
  <colors>
    <mruColors>
      <color rgb="FFFFFFCC"/>
      <color rgb="FFA8A400"/>
      <color rgb="FFD96197"/>
      <color rgb="FFA86ED4"/>
      <color rgb="FFC77D33"/>
      <color rgb="FF638CBD"/>
      <color rgb="FFE3DE00"/>
      <color rgb="FFE490B6"/>
      <color rgb="FFC39BE1"/>
      <color rgb="FF99B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4</xdr:row>
          <xdr:rowOff>25400</xdr:rowOff>
        </xdr:from>
        <xdr:to>
          <xdr:col>3</xdr:col>
          <xdr:colOff>990600</xdr:colOff>
          <xdr:row>5</xdr:row>
          <xdr:rowOff>168275</xdr:rowOff>
        </xdr:to>
        <xdr:sp macro="" textlink="">
          <xdr:nvSpPr>
            <xdr:cNvPr id="11266" name="CB_unhide_all"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xdr:row>
          <xdr:rowOff>44450</xdr:rowOff>
        </xdr:from>
        <xdr:to>
          <xdr:col>3</xdr:col>
          <xdr:colOff>990600</xdr:colOff>
          <xdr:row>3</xdr:row>
          <xdr:rowOff>208056</xdr:rowOff>
        </xdr:to>
        <xdr:sp macro="" textlink="">
          <xdr:nvSpPr>
            <xdr:cNvPr id="11271" name="ToggleButton_24m" hidden="1">
              <a:extLst>
                <a:ext uri="{63B3BB69-23CF-44E3-9099-C40C66FF867C}">
                  <a14:compatExt spid="_x0000_s11271"/>
                </a:ext>
                <a:ext uri="{FF2B5EF4-FFF2-40B4-BE49-F238E27FC236}">
                  <a16:creationId xmlns:a16="http://schemas.microsoft.com/office/drawing/2014/main" id="{00000000-0008-0000-00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2</xdr:row>
          <xdr:rowOff>44450</xdr:rowOff>
        </xdr:from>
        <xdr:to>
          <xdr:col>4</xdr:col>
          <xdr:colOff>535641</xdr:colOff>
          <xdr:row>3</xdr:row>
          <xdr:rowOff>208056</xdr:rowOff>
        </xdr:to>
        <xdr:sp macro="" textlink="">
          <xdr:nvSpPr>
            <xdr:cNvPr id="11272" name="ToggleButton_8HY" hidden="1">
              <a:extLst>
                <a:ext uri="{63B3BB69-23CF-44E3-9099-C40C66FF867C}">
                  <a14:compatExt spid="_x0000_s11272"/>
                </a:ext>
                <a:ext uri="{FF2B5EF4-FFF2-40B4-BE49-F238E27FC236}">
                  <a16:creationId xmlns:a16="http://schemas.microsoft.com/office/drawing/2014/main" id="{00000000-0008-0000-00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638175</xdr:colOff>
          <xdr:row>2</xdr:row>
          <xdr:rowOff>44450</xdr:rowOff>
        </xdr:from>
        <xdr:to>
          <xdr:col>4</xdr:col>
          <xdr:colOff>1524000</xdr:colOff>
          <xdr:row>3</xdr:row>
          <xdr:rowOff>208056</xdr:rowOff>
        </xdr:to>
        <xdr:sp macro="" textlink="">
          <xdr:nvSpPr>
            <xdr:cNvPr id="11273" name="ToggleButton_8Y" hidden="1">
              <a:extLst>
                <a:ext uri="{63B3BB69-23CF-44E3-9099-C40C66FF867C}">
                  <a14:compatExt spid="_x0000_s11273"/>
                </a:ext>
                <a:ext uri="{FF2B5EF4-FFF2-40B4-BE49-F238E27FC236}">
                  <a16:creationId xmlns:a16="http://schemas.microsoft.com/office/drawing/2014/main" id="{00000000-0008-0000-00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130175</xdr:colOff>
          <xdr:row>0</xdr:row>
          <xdr:rowOff>139700</xdr:rowOff>
        </xdr:from>
        <xdr:to>
          <xdr:col>4</xdr:col>
          <xdr:colOff>1530350</xdr:colOff>
          <xdr:row>1</xdr:row>
          <xdr:rowOff>192928</xdr:rowOff>
        </xdr:to>
        <xdr:sp macro="" textlink="">
          <xdr:nvSpPr>
            <xdr:cNvPr id="11274" name="CB_clearsheet" hidden="1">
              <a:extLst>
                <a:ext uri="{63B3BB69-23CF-44E3-9099-C40C66FF867C}">
                  <a14:compatExt spid="_x0000_s11274"/>
                </a:ext>
                <a:ext uri="{FF2B5EF4-FFF2-40B4-BE49-F238E27FC236}">
                  <a16:creationId xmlns:a16="http://schemas.microsoft.com/office/drawing/2014/main" id="{00000000-0008-0000-00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1095375</xdr:colOff>
          <xdr:row>4</xdr:row>
          <xdr:rowOff>25400</xdr:rowOff>
        </xdr:from>
        <xdr:to>
          <xdr:col>4</xdr:col>
          <xdr:colOff>1526241</xdr:colOff>
          <xdr:row>5</xdr:row>
          <xdr:rowOff>168275</xdr:rowOff>
        </xdr:to>
        <xdr:sp macro="" textlink="">
          <xdr:nvSpPr>
            <xdr:cNvPr id="11292" name="CB_notusedlines" hidden="1">
              <a:extLst>
                <a:ext uri="{63B3BB69-23CF-44E3-9099-C40C66FF867C}">
                  <a14:compatExt spid="_x0000_s11292"/>
                </a:ext>
                <a:ext uri="{FF2B5EF4-FFF2-40B4-BE49-F238E27FC236}">
                  <a16:creationId xmlns:a16="http://schemas.microsoft.com/office/drawing/2014/main" id="{00000000-0008-0000-00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0</xdr:row>
          <xdr:rowOff>139700</xdr:rowOff>
        </xdr:from>
        <xdr:to>
          <xdr:col>4</xdr:col>
          <xdr:colOff>59391</xdr:colOff>
          <xdr:row>1</xdr:row>
          <xdr:rowOff>192928</xdr:rowOff>
        </xdr:to>
        <xdr:sp macro="" textlink="">
          <xdr:nvSpPr>
            <xdr:cNvPr id="11293" name="CB_deleteaddedrows" hidden="1">
              <a:extLst>
                <a:ext uri="{63B3BB69-23CF-44E3-9099-C40C66FF867C}">
                  <a14:compatExt spid="_x0000_s11293"/>
                </a:ext>
                <a:ext uri="{FF2B5EF4-FFF2-40B4-BE49-F238E27FC236}">
                  <a16:creationId xmlns:a16="http://schemas.microsoft.com/office/drawing/2014/main" id="{00000000-0008-0000-0000-00001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64</xdr:col>
      <xdr:colOff>657643</xdr:colOff>
      <xdr:row>0</xdr:row>
      <xdr:rowOff>108000</xdr:rowOff>
    </xdr:to>
    <xdr:pic>
      <xdr:nvPicPr>
        <xdr:cNvPr id="5" name="Background 1" descr="bg1_d2_169.png">
          <a:extLst>
            <a:ext uri="{FF2B5EF4-FFF2-40B4-BE49-F238E27FC236}">
              <a16:creationId xmlns:a16="http://schemas.microsoft.com/office/drawing/2014/main" id="{16A02F2C-4E21-4734-BB9F-217D3602E783}"/>
            </a:ext>
          </a:extLst>
        </xdr:cNvPr>
        <xdr:cNvPicPr>
          <a:picLocks/>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0" y="0"/>
          <a:ext cx="41724000" cy="108000"/>
        </a:xfrm>
        <a:prstGeom prst="rect">
          <a:avLst/>
        </a:prstGeom>
        <a:ln w="0">
          <a:noFill/>
        </a:ln>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4521</xdr:colOff>
      <xdr:row>39</xdr:row>
      <xdr:rowOff>115509</xdr:rowOff>
    </xdr:from>
    <xdr:to>
      <xdr:col>7</xdr:col>
      <xdr:colOff>116429</xdr:colOff>
      <xdr:row>69</xdr:row>
      <xdr:rowOff>76983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18354" y="7375676"/>
          <a:ext cx="6620658" cy="47239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5</xdr:col>
      <xdr:colOff>10551</xdr:colOff>
      <xdr:row>6</xdr:row>
      <xdr:rowOff>650</xdr:rowOff>
    </xdr:to>
    <xdr:pic>
      <xdr:nvPicPr>
        <xdr:cNvPr id="2" name="Grafik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286000" y="0"/>
          <a:ext cx="1534551" cy="980364"/>
        </a:xfrm>
        <a:prstGeom prst="rect">
          <a:avLst/>
        </a:prstGeom>
      </xdr:spPr>
    </xdr:pic>
    <xdr:clientData/>
  </xdr:twoCellAnchor>
</xdr:wsDr>
</file>

<file path=xl/theme/theme1.xml><?xml version="1.0" encoding="utf-8"?>
<a:theme xmlns:a="http://schemas.openxmlformats.org/drawingml/2006/main" name="Office Theme">
  <a:themeElements>
    <a:clrScheme name="EM-MFC-Blue">
      <a:dk1>
        <a:sysClr val="windowText" lastClr="000000"/>
      </a:dk1>
      <a:lt1>
        <a:sysClr val="window" lastClr="FFFFFF"/>
      </a:lt1>
      <a:dk2>
        <a:srgbClr val="1F497D"/>
      </a:dk2>
      <a:lt2>
        <a:srgbClr val="EEECE1"/>
      </a:lt2>
      <a:accent1>
        <a:srgbClr val="4F81BD"/>
      </a:accent1>
      <a:accent2>
        <a:srgbClr val="E8A0C1"/>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92F4C-0CF1-44A8-AEF5-4360D2CE1ADA}">
  <sheetPr codeName="Sheet1">
    <outlinePr summaryRight="0"/>
  </sheetPr>
  <dimension ref="A1:BM371"/>
  <sheetViews>
    <sheetView showGridLines="0" tabSelected="1" zoomScale="85" zoomScaleNormal="85" workbookViewId="0">
      <pane xSplit="5" ySplit="11" topLeftCell="F12" activePane="bottomRight" state="frozen"/>
      <selection pane="topRight" activeCell="F1" sqref="F1"/>
      <selection pane="bottomLeft" activeCell="A12" sqref="A12"/>
      <selection pane="bottomRight" activeCell="E12" sqref="E12"/>
    </sheetView>
  </sheetViews>
  <sheetFormatPr defaultColWidth="9.140625" defaultRowHeight="12.75" outlineLevelRow="2" outlineLevelCol="1" x14ac:dyDescent="0.2"/>
  <cols>
    <col min="1" max="1" width="2.7109375" style="100" customWidth="1"/>
    <col min="2" max="2" width="17.7109375" style="100" customWidth="1"/>
    <col min="3" max="3" width="12.28515625" style="100" customWidth="1"/>
    <col min="4" max="4" width="21.7109375" style="100" customWidth="1"/>
    <col min="5" max="5" width="25.85546875" style="100" customWidth="1"/>
    <col min="6" max="6" width="9.140625" style="100" customWidth="1"/>
    <col min="7" max="13" width="8.5703125" style="100" customWidth="1" outlineLevel="1"/>
    <col min="14" max="14" width="9" style="100" customWidth="1" outlineLevel="1"/>
    <col min="15" max="25" width="8.5703125" style="100" customWidth="1" outlineLevel="1"/>
    <col min="26" max="26" width="9" style="100" customWidth="1" outlineLevel="1"/>
    <col min="27" max="29" width="8.5703125" style="100" customWidth="1" outlineLevel="1"/>
    <col min="30" max="41" width="9.140625" style="100" customWidth="1" outlineLevel="1"/>
    <col min="42" max="42" width="9.140625" style="100" customWidth="1"/>
    <col min="43" max="57" width="9.140625" style="100" customWidth="1" outlineLevel="1"/>
    <col min="58" max="58" width="10.28515625" style="38" customWidth="1"/>
    <col min="59" max="65" width="10.28515625" style="38" customWidth="1" outlineLevel="1"/>
    <col min="66" max="16384" width="9.140625" style="100"/>
  </cols>
  <sheetData>
    <row r="1" spans="1:65" s="94" customFormat="1" ht="21.75" customHeight="1" x14ac:dyDescent="0.25">
      <c r="A1" s="342" t="s">
        <v>227</v>
      </c>
      <c r="B1" s="342"/>
      <c r="C1" s="342"/>
      <c r="D1" s="93"/>
      <c r="E1" s="93"/>
      <c r="G1" s="369" t="s">
        <v>229</v>
      </c>
      <c r="H1" s="370"/>
      <c r="I1" s="370"/>
      <c r="J1" s="370"/>
      <c r="K1" s="370"/>
      <c r="L1" s="371"/>
      <c r="AQ1" s="369" t="str">
        <f>$G$1</f>
        <v>If you have any questions, please contact:
Lorenz Fabian (EM-IB/PRM-C)</v>
      </c>
      <c r="AR1" s="370"/>
      <c r="AS1" s="370"/>
      <c r="AT1" s="370"/>
      <c r="AU1" s="370"/>
      <c r="AV1" s="371"/>
      <c r="BF1" s="95"/>
      <c r="BG1" s="369" t="str">
        <f>$G$1</f>
        <v>If you have any questions, please contact:
Lorenz Fabian (EM-IB/PRM-C)</v>
      </c>
      <c r="BH1" s="370"/>
      <c r="BI1" s="370"/>
      <c r="BJ1" s="370"/>
      <c r="BK1" s="370"/>
      <c r="BL1" s="371"/>
      <c r="BM1" s="95"/>
    </row>
    <row r="2" spans="1:65" s="94" customFormat="1" ht="15.75" customHeight="1" x14ac:dyDescent="0.25">
      <c r="A2" s="342"/>
      <c r="B2" s="342"/>
      <c r="C2" s="342"/>
      <c r="D2" s="96"/>
      <c r="E2" s="93"/>
      <c r="F2" s="97"/>
      <c r="G2" s="372"/>
      <c r="H2" s="373"/>
      <c r="I2" s="373"/>
      <c r="J2" s="373"/>
      <c r="K2" s="373"/>
      <c r="L2" s="374"/>
      <c r="M2" s="338"/>
      <c r="N2" s="338"/>
      <c r="O2" s="338"/>
      <c r="P2" s="338"/>
      <c r="Q2" s="338"/>
      <c r="R2" s="338"/>
      <c r="S2" s="338"/>
      <c r="T2" s="338"/>
      <c r="U2" s="338"/>
      <c r="V2" s="338"/>
      <c r="W2" s="338"/>
      <c r="X2" s="339"/>
      <c r="Y2" s="339"/>
      <c r="Z2" s="339"/>
      <c r="AA2" s="339"/>
      <c r="AB2" s="339"/>
      <c r="AC2" s="339"/>
      <c r="AD2" s="339"/>
      <c r="AE2" s="339"/>
      <c r="AF2" s="339"/>
      <c r="AG2" s="339"/>
      <c r="AH2" s="339"/>
      <c r="AI2" s="339"/>
      <c r="AJ2" s="339"/>
      <c r="AK2" s="339"/>
      <c r="AL2" s="339"/>
      <c r="AM2" s="339"/>
      <c r="AN2" s="339"/>
      <c r="AO2" s="339"/>
      <c r="AQ2" s="372"/>
      <c r="AR2" s="373"/>
      <c r="AS2" s="373"/>
      <c r="AT2" s="373"/>
      <c r="AU2" s="373"/>
      <c r="AV2" s="374"/>
      <c r="BF2" s="95"/>
      <c r="BG2" s="372"/>
      <c r="BH2" s="373"/>
      <c r="BI2" s="373"/>
      <c r="BJ2" s="373"/>
      <c r="BK2" s="373"/>
      <c r="BL2" s="374"/>
      <c r="BM2" s="95"/>
    </row>
    <row r="3" spans="1:65" ht="14.85" customHeight="1" thickBot="1" x14ac:dyDescent="0.25">
      <c r="A3" s="322" t="s">
        <v>226</v>
      </c>
      <c r="B3" s="375" t="s">
        <v>109</v>
      </c>
      <c r="C3" s="375"/>
      <c r="F3" s="83"/>
      <c r="G3" s="83"/>
      <c r="H3" s="83"/>
      <c r="I3" s="83"/>
      <c r="J3" s="83"/>
      <c r="K3" s="83"/>
      <c r="L3" s="83"/>
      <c r="M3" s="83"/>
      <c r="N3" s="83"/>
      <c r="O3" s="83"/>
      <c r="P3" s="83"/>
      <c r="Q3" s="83"/>
      <c r="R3" s="83"/>
      <c r="S3" s="83"/>
      <c r="T3" s="83"/>
      <c r="U3" s="83"/>
      <c r="V3" s="83"/>
      <c r="W3" s="83"/>
    </row>
    <row r="4" spans="1:65" s="81" customFormat="1" ht="17.25" customHeight="1" thickBot="1" x14ac:dyDescent="0.3">
      <c r="A4" s="322" t="s">
        <v>226</v>
      </c>
      <c r="B4" s="376"/>
      <c r="C4" s="376"/>
      <c r="D4" s="82"/>
      <c r="F4" s="352" t="s">
        <v>222</v>
      </c>
      <c r="G4" s="353"/>
      <c r="H4" s="353"/>
      <c r="I4" s="353"/>
      <c r="J4" s="353"/>
      <c r="K4" s="353"/>
      <c r="L4" s="353"/>
      <c r="M4" s="353"/>
      <c r="N4" s="353"/>
      <c r="O4" s="353"/>
      <c r="P4" s="353"/>
      <c r="Q4" s="353"/>
      <c r="R4" s="353"/>
      <c r="S4" s="353"/>
      <c r="T4" s="353"/>
      <c r="U4" s="353"/>
      <c r="V4" s="353"/>
      <c r="W4" s="353"/>
      <c r="X4" s="353"/>
      <c r="Y4" s="353"/>
      <c r="Z4" s="353"/>
      <c r="AA4" s="353"/>
      <c r="AB4" s="353"/>
      <c r="AC4" s="353"/>
      <c r="AD4" s="353"/>
      <c r="AE4" s="353"/>
      <c r="AF4" s="353"/>
      <c r="AG4" s="353"/>
      <c r="AH4" s="353"/>
      <c r="AI4" s="353"/>
      <c r="AJ4" s="353"/>
      <c r="AK4" s="353"/>
      <c r="AL4" s="353"/>
      <c r="AM4" s="353"/>
      <c r="AN4" s="353"/>
      <c r="AO4" s="354"/>
      <c r="AP4" s="355" t="s">
        <v>223</v>
      </c>
      <c r="AQ4" s="356"/>
      <c r="AR4" s="356"/>
      <c r="AS4" s="356"/>
      <c r="AT4" s="356"/>
      <c r="AU4" s="356"/>
      <c r="AV4" s="356"/>
      <c r="AW4" s="356"/>
      <c r="AX4" s="356"/>
      <c r="AY4" s="356"/>
      <c r="AZ4" s="356"/>
      <c r="BA4" s="356"/>
      <c r="BB4" s="356"/>
      <c r="BC4" s="356"/>
      <c r="BD4" s="356"/>
      <c r="BE4" s="357"/>
      <c r="BF4" s="358" t="s">
        <v>224</v>
      </c>
      <c r="BG4" s="359"/>
      <c r="BH4" s="359"/>
      <c r="BI4" s="359"/>
      <c r="BJ4" s="359"/>
      <c r="BK4" s="359"/>
      <c r="BL4" s="359"/>
      <c r="BM4" s="360"/>
    </row>
    <row r="5" spans="1:65" s="94" customFormat="1" ht="15" customHeight="1" thickBot="1" x14ac:dyDescent="0.25">
      <c r="A5" s="322" t="s">
        <v>226</v>
      </c>
      <c r="B5" s="98" t="s">
        <v>91</v>
      </c>
      <c r="C5" s="99">
        <v>2025</v>
      </c>
      <c r="E5" s="79"/>
      <c r="F5" s="361">
        <f>C5</f>
        <v>2025</v>
      </c>
      <c r="G5" s="362"/>
      <c r="H5" s="362"/>
      <c r="I5" s="362"/>
      <c r="J5" s="362"/>
      <c r="K5" s="362"/>
      <c r="L5" s="362"/>
      <c r="M5" s="362"/>
      <c r="N5" s="362"/>
      <c r="O5" s="362"/>
      <c r="P5" s="362"/>
      <c r="Q5" s="362"/>
      <c r="R5" s="363">
        <f>F5+1</f>
        <v>2026</v>
      </c>
      <c r="S5" s="362"/>
      <c r="T5" s="362"/>
      <c r="U5" s="362"/>
      <c r="V5" s="362"/>
      <c r="W5" s="362"/>
      <c r="X5" s="362"/>
      <c r="Y5" s="362"/>
      <c r="Z5" s="362"/>
      <c r="AA5" s="362"/>
      <c r="AB5" s="362"/>
      <c r="AC5" s="362"/>
      <c r="AD5" s="363">
        <f>R5+1</f>
        <v>2027</v>
      </c>
      <c r="AE5" s="362"/>
      <c r="AF5" s="362"/>
      <c r="AG5" s="362"/>
      <c r="AH5" s="362"/>
      <c r="AI5" s="362"/>
      <c r="AJ5" s="362"/>
      <c r="AK5" s="362"/>
      <c r="AL5" s="362"/>
      <c r="AM5" s="362"/>
      <c r="AN5" s="362"/>
      <c r="AO5" s="364"/>
      <c r="AP5" s="365">
        <f>F5</f>
        <v>2025</v>
      </c>
      <c r="AQ5" s="366"/>
      <c r="AR5" s="367">
        <f>AP5+1</f>
        <v>2026</v>
      </c>
      <c r="AS5" s="366"/>
      <c r="AT5" s="367">
        <f>AR5+1</f>
        <v>2027</v>
      </c>
      <c r="AU5" s="366"/>
      <c r="AV5" s="367">
        <f>AT5+1</f>
        <v>2028</v>
      </c>
      <c r="AW5" s="366"/>
      <c r="AX5" s="367">
        <f>AV5+1</f>
        <v>2029</v>
      </c>
      <c r="AY5" s="366"/>
      <c r="AZ5" s="367">
        <f>AX5+1</f>
        <v>2030</v>
      </c>
      <c r="BA5" s="366"/>
      <c r="BB5" s="367">
        <f>AZ5+1</f>
        <v>2031</v>
      </c>
      <c r="BC5" s="366"/>
      <c r="BD5" s="367">
        <f>BB5+1</f>
        <v>2032</v>
      </c>
      <c r="BE5" s="368"/>
      <c r="BF5" s="293">
        <f>F5</f>
        <v>2025</v>
      </c>
      <c r="BG5" s="292">
        <f t="shared" ref="BG5:BM5" si="0">BF5+1</f>
        <v>2026</v>
      </c>
      <c r="BH5" s="292">
        <f t="shared" si="0"/>
        <v>2027</v>
      </c>
      <c r="BI5" s="292">
        <f t="shared" si="0"/>
        <v>2028</v>
      </c>
      <c r="BJ5" s="292">
        <f t="shared" si="0"/>
        <v>2029</v>
      </c>
      <c r="BK5" s="292">
        <f t="shared" si="0"/>
        <v>2030</v>
      </c>
      <c r="BL5" s="292">
        <f t="shared" si="0"/>
        <v>2031</v>
      </c>
      <c r="BM5" s="298">
        <f t="shared" si="0"/>
        <v>2032</v>
      </c>
    </row>
    <row r="6" spans="1:65" s="101" customFormat="1" ht="15.75" customHeight="1" thickBot="1" x14ac:dyDescent="0.25">
      <c r="A6" s="323" t="s">
        <v>226</v>
      </c>
      <c r="B6" s="276" t="s">
        <v>108</v>
      </c>
      <c r="C6" s="105">
        <v>24</v>
      </c>
      <c r="F6" s="210">
        <f>DATE($F$5,1,1)</f>
        <v>45658</v>
      </c>
      <c r="G6" s="84">
        <f>DATE($F$5,2,1)</f>
        <v>45689</v>
      </c>
      <c r="H6" s="84">
        <f>DATE($F$5,3,1)</f>
        <v>45717</v>
      </c>
      <c r="I6" s="84">
        <f>DATE($F$5,4,1)</f>
        <v>45748</v>
      </c>
      <c r="J6" s="84">
        <f>DATE($F$5,5,1)</f>
        <v>45778</v>
      </c>
      <c r="K6" s="84">
        <f>DATE($F$5,6,1)</f>
        <v>45809</v>
      </c>
      <c r="L6" s="84">
        <f>DATE($F$5,7,1)</f>
        <v>45839</v>
      </c>
      <c r="M6" s="84">
        <f>DATE($F$5,8,1)</f>
        <v>45870</v>
      </c>
      <c r="N6" s="84">
        <f>DATE($F$5,9,1)</f>
        <v>45901</v>
      </c>
      <c r="O6" s="84">
        <f>DATE($F$5,10,1)</f>
        <v>45931</v>
      </c>
      <c r="P6" s="84">
        <f>DATE($F$5,11,1)</f>
        <v>45962</v>
      </c>
      <c r="Q6" s="84">
        <f>DATE($F$5,12,1)</f>
        <v>45992</v>
      </c>
      <c r="R6" s="84">
        <f>DATE($R$5,1,1)</f>
        <v>46023</v>
      </c>
      <c r="S6" s="84">
        <f>DATE($R$5,2,1)</f>
        <v>46054</v>
      </c>
      <c r="T6" s="84">
        <f>DATE($R$5,3,1)</f>
        <v>46082</v>
      </c>
      <c r="U6" s="84">
        <f>DATE($R$5,4,1)</f>
        <v>46113</v>
      </c>
      <c r="V6" s="84">
        <f>DATE($R$5,5,1)</f>
        <v>46143</v>
      </c>
      <c r="W6" s="84">
        <f>DATE($R$5,6,1)</f>
        <v>46174</v>
      </c>
      <c r="X6" s="84">
        <f>DATE($R$5,7,1)</f>
        <v>46204</v>
      </c>
      <c r="Y6" s="84">
        <f>DATE($R$5,8,1)</f>
        <v>46235</v>
      </c>
      <c r="Z6" s="84">
        <f>DATE($R$5,9,1)</f>
        <v>46266</v>
      </c>
      <c r="AA6" s="84">
        <f>DATE($R$5,10,1)</f>
        <v>46296</v>
      </c>
      <c r="AB6" s="84">
        <f>DATE($R$5,11,1)</f>
        <v>46327</v>
      </c>
      <c r="AC6" s="84">
        <f>DATE($R$5,12,1)</f>
        <v>46357</v>
      </c>
      <c r="AD6" s="84">
        <f>DATE($AD$5,1,1)</f>
        <v>46388</v>
      </c>
      <c r="AE6" s="84">
        <f>DATE($AD$5,2,1)</f>
        <v>46419</v>
      </c>
      <c r="AF6" s="84">
        <f>DATE($AD$5,3,1)</f>
        <v>46447</v>
      </c>
      <c r="AG6" s="84">
        <f>DATE($AD$5,4,1)</f>
        <v>46478</v>
      </c>
      <c r="AH6" s="84">
        <f>DATE($AD$5,5,1)</f>
        <v>46508</v>
      </c>
      <c r="AI6" s="84">
        <f>DATE($AD$5,6,1)</f>
        <v>46539</v>
      </c>
      <c r="AJ6" s="84">
        <f>DATE($AD$5,7,1)</f>
        <v>46569</v>
      </c>
      <c r="AK6" s="84">
        <f>DATE($AD$5,8,1)</f>
        <v>46600</v>
      </c>
      <c r="AL6" s="84">
        <f>DATE($AD$5,9,1)</f>
        <v>46631</v>
      </c>
      <c r="AM6" s="84">
        <f>DATE($AD$5,10,1)</f>
        <v>46661</v>
      </c>
      <c r="AN6" s="84">
        <f>DATE($AD$5,11,1)</f>
        <v>46692</v>
      </c>
      <c r="AO6" s="211">
        <f>DATE($AD$5,12,1)</f>
        <v>46722</v>
      </c>
      <c r="AP6" s="219" t="str">
        <f>_xlfn.CONCAT(AP5,-1)</f>
        <v>2025-1</v>
      </c>
      <c r="AQ6" s="13" t="str">
        <f>_xlfn.CONCAT(AP5,-2)</f>
        <v>2025-2</v>
      </c>
      <c r="AR6" s="13" t="str">
        <f>_xlfn.CONCAT(AR5,-1)</f>
        <v>2026-1</v>
      </c>
      <c r="AS6" s="13" t="str">
        <f>_xlfn.CONCAT(AR5,-2)</f>
        <v>2026-2</v>
      </c>
      <c r="AT6" s="13" t="str">
        <f>_xlfn.CONCAT(AT5,-1)</f>
        <v>2027-1</v>
      </c>
      <c r="AU6" s="13" t="str">
        <f>_xlfn.CONCAT(AT5,-2)</f>
        <v>2027-2</v>
      </c>
      <c r="AV6" s="13" t="str">
        <f>_xlfn.CONCAT(AV$5,-1)</f>
        <v>2028-1</v>
      </c>
      <c r="AW6" s="13" t="str">
        <f>_xlfn.CONCAT(AV$5,-2)</f>
        <v>2028-2</v>
      </c>
      <c r="AX6" s="13" t="str">
        <f>_xlfn.CONCAT(AX$5,-1)</f>
        <v>2029-1</v>
      </c>
      <c r="AY6" s="13" t="str">
        <f>_xlfn.CONCAT(AX$5,-2)</f>
        <v>2029-2</v>
      </c>
      <c r="AZ6" s="13" t="str">
        <f>_xlfn.CONCAT(AZ$5,-1)</f>
        <v>2030-1</v>
      </c>
      <c r="BA6" s="13" t="str">
        <f>_xlfn.CONCAT(AZ$5,-2)</f>
        <v>2030-2</v>
      </c>
      <c r="BB6" s="13" t="str">
        <f>_xlfn.CONCAT(BB$5,-1)</f>
        <v>2031-1</v>
      </c>
      <c r="BC6" s="13" t="str">
        <f>_xlfn.CONCAT(BB$5,-2)</f>
        <v>2031-2</v>
      </c>
      <c r="BD6" s="13" t="str">
        <f>_xlfn.CONCAT(BD$5,-1)</f>
        <v>2032-1</v>
      </c>
      <c r="BE6" s="220" t="str">
        <f>_xlfn.CONCAT(BD$5,-2)</f>
        <v>2032-2</v>
      </c>
      <c r="BF6" s="299"/>
      <c r="BG6" s="92"/>
      <c r="BH6" s="92"/>
      <c r="BI6" s="92"/>
      <c r="BJ6" s="92"/>
      <c r="BK6" s="92"/>
      <c r="BL6" s="92"/>
      <c r="BM6" s="300"/>
    </row>
    <row r="7" spans="1:65" s="101" customFormat="1" ht="14.25" customHeight="1" thickBot="1" x14ac:dyDescent="0.25">
      <c r="A7" s="323" t="s">
        <v>226</v>
      </c>
      <c r="B7" s="333" t="s">
        <v>110</v>
      </c>
      <c r="C7" s="334">
        <v>1</v>
      </c>
      <c r="E7" s="337" t="s">
        <v>89</v>
      </c>
      <c r="F7" s="219">
        <f>DAY(DATE(YEAR(F$6),MONTH(F$6)+1,0))</f>
        <v>31</v>
      </c>
      <c r="G7" s="13">
        <f t="shared" ref="G7:Q7" si="1">DAY(DATE(YEAR(G$6),MONTH(G$6)+1,0))</f>
        <v>28</v>
      </c>
      <c r="H7" s="13">
        <f t="shared" si="1"/>
        <v>31</v>
      </c>
      <c r="I7" s="13">
        <f t="shared" si="1"/>
        <v>30</v>
      </c>
      <c r="J7" s="13">
        <f t="shared" si="1"/>
        <v>31</v>
      </c>
      <c r="K7" s="13">
        <f t="shared" si="1"/>
        <v>30</v>
      </c>
      <c r="L7" s="13">
        <f t="shared" si="1"/>
        <v>31</v>
      </c>
      <c r="M7" s="13">
        <f t="shared" si="1"/>
        <v>31</v>
      </c>
      <c r="N7" s="13">
        <f t="shared" si="1"/>
        <v>30</v>
      </c>
      <c r="O7" s="13">
        <f t="shared" si="1"/>
        <v>31</v>
      </c>
      <c r="P7" s="13">
        <f t="shared" si="1"/>
        <v>30</v>
      </c>
      <c r="Q7" s="13">
        <f t="shared" si="1"/>
        <v>31</v>
      </c>
      <c r="R7" s="13">
        <f>DAY(DATE(YEAR(R$6),MONTH(R$6)+1,0))</f>
        <v>31</v>
      </c>
      <c r="S7" s="13">
        <f>DAY(DATE(YEAR(S$6),MONTH(S$6)+1,0))</f>
        <v>28</v>
      </c>
      <c r="T7" s="13">
        <f t="shared" ref="T7:AC7" si="2">DAY(DATE(YEAR(T$6),MONTH(T$6)+1,0))</f>
        <v>31</v>
      </c>
      <c r="U7" s="13">
        <f>DAY(DATE(YEAR(U$6),MONTH(U$6)+1,0))</f>
        <v>30</v>
      </c>
      <c r="V7" s="13">
        <f t="shared" si="2"/>
        <v>31</v>
      </c>
      <c r="W7" s="13">
        <f t="shared" si="2"/>
        <v>30</v>
      </c>
      <c r="X7" s="13">
        <f t="shared" si="2"/>
        <v>31</v>
      </c>
      <c r="Y7" s="13">
        <f t="shared" si="2"/>
        <v>31</v>
      </c>
      <c r="Z7" s="13">
        <f t="shared" si="2"/>
        <v>30</v>
      </c>
      <c r="AA7" s="13">
        <f t="shared" si="2"/>
        <v>31</v>
      </c>
      <c r="AB7" s="13">
        <f t="shared" si="2"/>
        <v>30</v>
      </c>
      <c r="AC7" s="13">
        <f t="shared" si="2"/>
        <v>31</v>
      </c>
      <c r="AD7" s="13">
        <f>DAY(DATE(YEAR(AD$6),MONTH(AD$6)+1,0))</f>
        <v>31</v>
      </c>
      <c r="AE7" s="13">
        <f>DAY(DATE(YEAR(AE$6),MONTH(AE$6)+1,0))</f>
        <v>28</v>
      </c>
      <c r="AF7" s="13">
        <f t="shared" ref="AF7:AO7" si="3">DAY(DATE(YEAR(AF$6),MONTH(AF$6)+1,0))</f>
        <v>31</v>
      </c>
      <c r="AG7" s="13">
        <f>DAY(DATE(YEAR(AG$6),MONTH(AG$6)+1,0))</f>
        <v>30</v>
      </c>
      <c r="AH7" s="13">
        <f t="shared" si="3"/>
        <v>31</v>
      </c>
      <c r="AI7" s="13">
        <f t="shared" si="3"/>
        <v>30</v>
      </c>
      <c r="AJ7" s="13">
        <f t="shared" si="3"/>
        <v>31</v>
      </c>
      <c r="AK7" s="13">
        <f t="shared" si="3"/>
        <v>31</v>
      </c>
      <c r="AL7" s="13">
        <f t="shared" si="3"/>
        <v>30</v>
      </c>
      <c r="AM7" s="13">
        <f t="shared" si="3"/>
        <v>31</v>
      </c>
      <c r="AN7" s="13">
        <f t="shared" si="3"/>
        <v>30</v>
      </c>
      <c r="AO7" s="220">
        <f t="shared" si="3"/>
        <v>31</v>
      </c>
      <c r="AP7" s="305">
        <f>IF(SUM(F7:K7)&lt;&gt;0,SUM(F7:K7),"")</f>
        <v>181</v>
      </c>
      <c r="AQ7" s="85">
        <f>IF(SUM(L7:Q7)&lt;&gt;0,SUM(L7:Q7),"")</f>
        <v>184</v>
      </c>
      <c r="AR7" s="85">
        <f>IF(SUM(R7:W7)&lt;&gt;0,SUM(R7:W7),"")</f>
        <v>181</v>
      </c>
      <c r="AS7" s="85">
        <f>IF(SUM(X7:AC7)&lt;&gt;0,SUM(X7:AC7),"")</f>
        <v>184</v>
      </c>
      <c r="AT7" s="85">
        <f>IF(SUM(AD7:AI7)&lt;&gt;0,SUM(AD7:AI7),"")</f>
        <v>181</v>
      </c>
      <c r="AU7" s="85">
        <f>IF(SUM(AJ7:AO7)&lt;&gt;0,SUM(AJ7:AO7),"")</f>
        <v>184</v>
      </c>
      <c r="AV7" s="297">
        <f>_xlfn.DAYS(DATE(AV$5,6,30),DATE(AV$5,1,0))</f>
        <v>182</v>
      </c>
      <c r="AW7" s="297">
        <f>_xlfn.DAYS(DATE(AV$5,12,31),DATE(AV$5,7,0))</f>
        <v>184</v>
      </c>
      <c r="AX7" s="297">
        <f>_xlfn.DAYS(DATE(AX$5,6,30),DATE(AX$5,1,0))</f>
        <v>181</v>
      </c>
      <c r="AY7" s="297">
        <f>_xlfn.DAYS(DATE(AX$5,12,31),DATE(AX$5,7,0))</f>
        <v>184</v>
      </c>
      <c r="AZ7" s="297">
        <f>_xlfn.DAYS(DATE(AZ$5,6,30),DATE(AZ$5,1,0))</f>
        <v>181</v>
      </c>
      <c r="BA7" s="297">
        <f>_xlfn.DAYS(DATE(AZ$5,12,31),DATE(AZ$5,7,0))</f>
        <v>184</v>
      </c>
      <c r="BB7" s="297">
        <f>_xlfn.DAYS(DATE(BB$5,6,30),DATE(BB$5,1,0))</f>
        <v>181</v>
      </c>
      <c r="BC7" s="297">
        <f>_xlfn.DAYS(DATE(BB$5,12,31),DATE(BB$5,7,0))</f>
        <v>184</v>
      </c>
      <c r="BD7" s="297">
        <f>_xlfn.DAYS(DATE(BD$5,6,30),DATE(BD$5,1,0))</f>
        <v>182</v>
      </c>
      <c r="BE7" s="306">
        <f>_xlfn.DAYS(DATE(BD$5,12,31),DATE(BD$5,7,0))</f>
        <v>184</v>
      </c>
      <c r="BF7" s="301">
        <f>IF(SUM(AP7,AQ7)&lt;&gt;0,SUM(AP7,AQ7),#N/A)</f>
        <v>365</v>
      </c>
      <c r="BG7" s="14">
        <f>IF(SUM(AR7,AS7)&lt;&gt;0,SUM(AR7,AS7),#N/A)</f>
        <v>365</v>
      </c>
      <c r="BH7" s="14">
        <f>IF(SUM(AT7,AU7)&lt;&gt;0,SUM(AT7,AU7),#N/A)</f>
        <v>365</v>
      </c>
      <c r="BI7" s="14">
        <f>IF(SUM(AV7,AW7)&lt;&gt;0,SUM(AV7,AW7),#N/A)</f>
        <v>366</v>
      </c>
      <c r="BJ7" s="14">
        <f>IF(SUM(AX7,AY7)&lt;&gt;0,SUM(AX7,AY7),#N/A)</f>
        <v>365</v>
      </c>
      <c r="BK7" s="14">
        <f>IF(SUM(AZ7,BA7)&lt;&gt;0,SUM(AZ7,BA7),#N/A)</f>
        <v>365</v>
      </c>
      <c r="BL7" s="14">
        <f>IF(SUM(BB7,BC7)&lt;&gt;0,SUM(BB7,BC7),#N/A)</f>
        <v>365</v>
      </c>
      <c r="BM7" s="302">
        <f>IF(SUM(BD7,BE7)&lt;&gt;0,SUM(BD7,BE7),#N/A)</f>
        <v>366</v>
      </c>
    </row>
    <row r="8" spans="1:65" s="101" customFormat="1" ht="15" thickBot="1" x14ac:dyDescent="0.25">
      <c r="A8" s="323" t="s">
        <v>226</v>
      </c>
      <c r="B8" s="335" t="s">
        <v>0</v>
      </c>
      <c r="C8" s="336" t="s">
        <v>230</v>
      </c>
      <c r="D8" s="336" t="s">
        <v>1</v>
      </c>
      <c r="E8" s="325" t="s">
        <v>31</v>
      </c>
      <c r="F8" s="46" cm="1">
        <f t="array" aca="1" ref="F8" ca="1">SUM((WEEKDAY(ROW(INDIRECT(F6&amp;":"&amp;F6+F7-1)),2)=7)*1)</f>
        <v>4</v>
      </c>
      <c r="G8" s="45" cm="1">
        <f t="array" aca="1" ref="G8" ca="1">SUM((WEEKDAY(ROW(INDIRECT(G6&amp;":"&amp;G6+G7-1)),2)=7)*1)</f>
        <v>4</v>
      </c>
      <c r="H8" s="45" cm="1">
        <f t="array" aca="1" ref="H8" ca="1">SUM((WEEKDAY(ROW(INDIRECT(H6&amp;":"&amp;H6+H7-1)),2)=7)*1)</f>
        <v>5</v>
      </c>
      <c r="I8" s="45" cm="1">
        <f t="array" aca="1" ref="I8" ca="1">SUM((WEEKDAY(ROW(INDIRECT(I6&amp;":"&amp;I6+I7-1)),2)=7)*1)</f>
        <v>4</v>
      </c>
      <c r="J8" s="45" cm="1">
        <f t="array" aca="1" ref="J8" ca="1">SUM((WEEKDAY(ROW(INDIRECT(J6&amp;":"&amp;J6+J7-1)),2)=7)*1)</f>
        <v>4</v>
      </c>
      <c r="K8" s="45" cm="1">
        <f t="array" aca="1" ref="K8" ca="1">SUM((WEEKDAY(ROW(INDIRECT(K6&amp;":"&amp;K6+K7-1)),2)=7)*1)</f>
        <v>5</v>
      </c>
      <c r="L8" s="45" cm="1">
        <f t="array" aca="1" ref="L8" ca="1">SUM((WEEKDAY(ROW(INDIRECT(L6&amp;":"&amp;L6+L7-1)),2)=7)*1)</f>
        <v>4</v>
      </c>
      <c r="M8" s="45" cm="1">
        <f t="array" aca="1" ref="M8" ca="1">SUM((WEEKDAY(ROW(INDIRECT(M6&amp;":"&amp;M6+M7-1)),2)=7)*1)</f>
        <v>5</v>
      </c>
      <c r="N8" s="45" cm="1">
        <f t="array" aca="1" ref="N8" ca="1">SUM((WEEKDAY(ROW(INDIRECT(N6&amp;":"&amp;N6+N7-1)),2)=7)*1)</f>
        <v>4</v>
      </c>
      <c r="O8" s="45" cm="1">
        <f t="array" aca="1" ref="O8" ca="1">SUM((WEEKDAY(ROW(INDIRECT(O6&amp;":"&amp;O6+O7-1)),2)=7)*1)</f>
        <v>4</v>
      </c>
      <c r="P8" s="45" cm="1">
        <f t="array" aca="1" ref="P8" ca="1">SUM((WEEKDAY(ROW(INDIRECT(P6&amp;":"&amp;P6+P7-1)),2)=7)*1)</f>
        <v>5</v>
      </c>
      <c r="Q8" s="45" cm="1">
        <f t="array" aca="1" ref="Q8" ca="1">SUM((WEEKDAY(ROW(INDIRECT(Q6&amp;":"&amp;Q6+Q7-1)),2)=7)*1)</f>
        <v>4</v>
      </c>
      <c r="R8" s="45" cm="1">
        <f t="array" aca="1" ref="R8" ca="1">SUM((WEEKDAY(ROW(INDIRECT(R6&amp;":"&amp;R6+R7-1)),2)=7)*1)</f>
        <v>4</v>
      </c>
      <c r="S8" s="45" cm="1">
        <f t="array" aca="1" ref="S8" ca="1">SUM((WEEKDAY(ROW(INDIRECT(S6&amp;":"&amp;S6+S7-1)),2)=7)*1)</f>
        <v>4</v>
      </c>
      <c r="T8" s="45" cm="1">
        <f t="array" aca="1" ref="T8" ca="1">SUM((WEEKDAY(ROW(INDIRECT(T6&amp;":"&amp;T6+T7-1)),2)=7)*1)</f>
        <v>5</v>
      </c>
      <c r="U8" s="45" cm="1">
        <f t="array" aca="1" ref="U8" ca="1">SUM((WEEKDAY(ROW(INDIRECT(U6&amp;":"&amp;U6+U7-1)),2)=7)*1)</f>
        <v>4</v>
      </c>
      <c r="V8" s="45" cm="1">
        <f t="array" aca="1" ref="V8" ca="1">SUM((WEEKDAY(ROW(INDIRECT(V6&amp;":"&amp;V6+V7-1)),2)=7)*1)</f>
        <v>5</v>
      </c>
      <c r="W8" s="45" cm="1">
        <f t="array" aca="1" ref="W8" ca="1">SUM((WEEKDAY(ROW(INDIRECT(W6&amp;":"&amp;W6+W7-1)),2)=7)*1)</f>
        <v>4</v>
      </c>
      <c r="X8" s="45" cm="1">
        <f t="array" aca="1" ref="X8" ca="1">SUM((WEEKDAY(ROW(INDIRECT(X6&amp;":"&amp;X6+X7-1)),2)=7)*1)</f>
        <v>4</v>
      </c>
      <c r="Y8" s="45" cm="1">
        <f t="array" aca="1" ref="Y8" ca="1">SUM((WEEKDAY(ROW(INDIRECT(Y6&amp;":"&amp;Y6+Y7-1)),2)=7)*1)</f>
        <v>5</v>
      </c>
      <c r="Z8" s="45" cm="1">
        <f t="array" aca="1" ref="Z8" ca="1">SUM((WEEKDAY(ROW(INDIRECT(Z6&amp;":"&amp;Z6+Z7-1)),2)=7)*1)</f>
        <v>4</v>
      </c>
      <c r="AA8" s="45" cm="1">
        <f t="array" aca="1" ref="AA8" ca="1">SUM((WEEKDAY(ROW(INDIRECT(AA6&amp;":"&amp;AA6+AA7-1)),2)=7)*1)</f>
        <v>4</v>
      </c>
      <c r="AB8" s="45" cm="1">
        <f t="array" aca="1" ref="AB8" ca="1">SUM((WEEKDAY(ROW(INDIRECT(AB6&amp;":"&amp;AB6+AB7-1)),2)=7)*1)</f>
        <v>5</v>
      </c>
      <c r="AC8" s="45" cm="1">
        <f t="array" aca="1" ref="AC8" ca="1">SUM((WEEKDAY(ROW(INDIRECT(AC6&amp;":"&amp;AC6+AC7-1)),2)=7)*1)</f>
        <v>4</v>
      </c>
      <c r="AD8" s="45" cm="1">
        <f t="array" aca="1" ref="AD8" ca="1">SUM((WEEKDAY(ROW(INDIRECT(AD6&amp;":"&amp;AD6+AD7-1)),2)=7)*1)</f>
        <v>5</v>
      </c>
      <c r="AE8" s="45" cm="1">
        <f t="array" aca="1" ref="AE8" ca="1">SUM((WEEKDAY(ROW(INDIRECT(AE6&amp;":"&amp;AE6+AE7-1)),2)=7)*1)</f>
        <v>4</v>
      </c>
      <c r="AF8" s="45" cm="1">
        <f t="array" aca="1" ref="AF8" ca="1">SUM((WEEKDAY(ROW(INDIRECT(AF6&amp;":"&amp;AF6+AF7-1)),2)=7)*1)</f>
        <v>4</v>
      </c>
      <c r="AG8" s="45" cm="1">
        <f t="array" aca="1" ref="AG8" ca="1">SUM((WEEKDAY(ROW(INDIRECT(AG6&amp;":"&amp;AG6+AG7-1)),2)=7)*1)</f>
        <v>4</v>
      </c>
      <c r="AH8" s="45" cm="1">
        <f t="array" aca="1" ref="AH8" ca="1">SUM((WEEKDAY(ROW(INDIRECT(AH6&amp;":"&amp;AH6+AH7-1)),2)=7)*1)</f>
        <v>5</v>
      </c>
      <c r="AI8" s="45" cm="1">
        <f t="array" aca="1" ref="AI8" ca="1">SUM((WEEKDAY(ROW(INDIRECT(AI6&amp;":"&amp;AI6+AI7-1)),2)=7)*1)</f>
        <v>4</v>
      </c>
      <c r="AJ8" s="45" cm="1">
        <f t="array" aca="1" ref="AJ8" ca="1">SUM((WEEKDAY(ROW(INDIRECT(AJ6&amp;":"&amp;AJ6+AJ7-1)),2)=7)*1)</f>
        <v>4</v>
      </c>
      <c r="AK8" s="45" cm="1">
        <f t="array" aca="1" ref="AK8" ca="1">SUM((WEEKDAY(ROW(INDIRECT(AK6&amp;":"&amp;AK6+AK7-1)),2)=7)*1)</f>
        <v>5</v>
      </c>
      <c r="AL8" s="45" cm="1">
        <f t="array" aca="1" ref="AL8" ca="1">SUM((WEEKDAY(ROW(INDIRECT(AL6&amp;":"&amp;AL6+AL7-1)),2)=7)*1)</f>
        <v>4</v>
      </c>
      <c r="AM8" s="45" cm="1">
        <f t="array" aca="1" ref="AM8" ca="1">SUM((WEEKDAY(ROW(INDIRECT(AM6&amp;":"&amp;AM6+AM7-1)),2)=7)*1)</f>
        <v>5</v>
      </c>
      <c r="AN8" s="45" cm="1">
        <f t="array" aca="1" ref="AN8" ca="1">SUM((WEEKDAY(ROW(INDIRECT(AN6&amp;":"&amp;AN6+AN7-1)),2)=7)*1)</f>
        <v>4</v>
      </c>
      <c r="AO8" s="326" cm="1">
        <f t="array" aca="1" ref="AO8" ca="1">SUM((WEEKDAY(ROW(INDIRECT(AO6&amp;":"&amp;AO6+AO7-1)),2)=7)*1)</f>
        <v>4</v>
      </c>
      <c r="AP8" s="327">
        <f ca="1">IF(SUM(F8:K8)&lt;&gt;0,SUM(F8:K8),"")</f>
        <v>26</v>
      </c>
      <c r="AQ8" s="328">
        <f ca="1">IF(SUM(L8:Q8)&lt;&gt;0,SUM(L8:Q8),"")</f>
        <v>26</v>
      </c>
      <c r="AR8" s="328">
        <f ca="1">IF(SUM(R8:W8)&lt;&gt;0,SUM(R8:W8),"")</f>
        <v>26</v>
      </c>
      <c r="AS8" s="328">
        <f ca="1">IF(SUM(X8:AC8)&lt;&gt;0,SUM(X8:AC8),"")</f>
        <v>26</v>
      </c>
      <c r="AT8" s="328">
        <f ca="1">IF(SUM(AD8:AI8)&lt;&gt;0,SUM(AD8:AI8),"")</f>
        <v>26</v>
      </c>
      <c r="AU8" s="328">
        <f ca="1">IF(SUM(AJ8:AO8)&lt;&gt;0,SUM(AJ8:AO8),"")</f>
        <v>26</v>
      </c>
      <c r="AV8" s="224" cm="1">
        <f t="array" aca="1" ref="AV8" ca="1">SUM((WEEKDAY(ROW(INDIRECT(DATE(AV$5,1,1)&amp;":"&amp;DATE(AV$5,1,1)+AV$7-1)),2)=7)*1)</f>
        <v>26</v>
      </c>
      <c r="AW8" s="224" cm="1">
        <f t="array" aca="1" ref="AW8" ca="1">SUM((WEEKDAY(ROW(INDIRECT(DATE(AV$5,1,1)&amp;":"&amp;DATE(AV$5,1,1)+AW$7-1)),2)=7)*1)</f>
        <v>27</v>
      </c>
      <c r="AX8" s="224" cm="1">
        <f t="array" aca="1" ref="AX8" ca="1">SUM((WEEKDAY(ROW(INDIRECT(DATE(AX$5,1,1)&amp;":"&amp;DATE(AX$5,1,1)+AX$7-1)),2)=7)*1)</f>
        <v>25</v>
      </c>
      <c r="AY8" s="224" cm="1">
        <f t="array" aca="1" ref="AY8" ca="1">SUM((WEEKDAY(ROW(INDIRECT(DATE(AX$5,1,1)&amp;":"&amp;DATE(AX$5,1,1)+AY$7-1)),2)=7)*1)</f>
        <v>26</v>
      </c>
      <c r="AZ8" s="224" cm="1">
        <f t="array" aca="1" ref="AZ8" ca="1">SUM((WEEKDAY(ROW(INDIRECT(DATE(AZ$5,1,1)&amp;":"&amp;DATE(AZ$5,1,1)+AZ$7-1)),2)=7)*1)</f>
        <v>26</v>
      </c>
      <c r="BA8" s="224" cm="1">
        <f t="array" aca="1" ref="BA8" ca="1">SUM((WEEKDAY(ROW(INDIRECT(DATE(AZ$5,1,1)&amp;":"&amp;DATE(AZ$5,1,1)+BA$7-1)),2)=7)*1)</f>
        <v>26</v>
      </c>
      <c r="BB8" s="224" cm="1">
        <f t="array" aca="1" ref="BB8" ca="1">SUM((WEEKDAY(ROW(INDIRECT(DATE(BB$5,1,1)&amp;":"&amp;DATE(BB$5,1,1)+BB$7-1)),2)=7)*1)</f>
        <v>26</v>
      </c>
      <c r="BC8" s="224" cm="1">
        <f t="array" aca="1" ref="BC8" ca="1">SUM((WEEKDAY(ROW(INDIRECT(DATE(BB$5,1,1)&amp;":"&amp;DATE(BB$5,1,1)+BC$7-1)),2)=7)*1)</f>
        <v>26</v>
      </c>
      <c r="BD8" s="224" cm="1">
        <f t="array" aca="1" ref="BD8" ca="1">SUM((WEEKDAY(ROW(INDIRECT(DATE(BD$5,1,1)&amp;":"&amp;DATE(BD$5,1,1)+BD$7-1)),2)=7)*1)</f>
        <v>26</v>
      </c>
      <c r="BE8" s="329" cm="1">
        <f t="array" aca="1" ref="BE8" ca="1">SUM((WEEKDAY(ROW(INDIRECT(DATE(BD$5,1,1)&amp;":"&amp;DATE(BD$5,1,1)+BE$7-1)),2)=7)*1)</f>
        <v>26</v>
      </c>
      <c r="BF8" s="330">
        <f ca="1">IF(SUM(AP8,AQ8)&lt;&gt;0,SUM(AP8,AQ8),#N/A)</f>
        <v>52</v>
      </c>
      <c r="BG8" s="331">
        <f ca="1">IF(SUM(AR8,AS8)&lt;&gt;0,SUM(AR8,AS8),#N/A)</f>
        <v>52</v>
      </c>
      <c r="BH8" s="331">
        <f ca="1">IF(SUM(AT8,AU8)&lt;&gt;0,SUM(AT8,AU8),#N/A)</f>
        <v>52</v>
      </c>
      <c r="BI8" s="331">
        <f ca="1">IF(SUM(AV8,AW8)&lt;&gt;0,SUM(AV8,AW8),#N/A)</f>
        <v>53</v>
      </c>
      <c r="BJ8" s="331">
        <f ca="1">IF(SUM(AX8,AY8)&lt;&gt;0,SUM(AX8,AY8),#N/A)</f>
        <v>51</v>
      </c>
      <c r="BK8" s="331">
        <f ca="1">IF(SUM(AZ8,BA8)&lt;&gt;0,SUM(AZ8,BA8),#N/A)</f>
        <v>52</v>
      </c>
      <c r="BL8" s="331">
        <f ca="1">IF(SUM(BB8,BC8)&lt;&gt;0,SUM(BB8,BC8),#N/A)</f>
        <v>52</v>
      </c>
      <c r="BM8" s="332">
        <f ca="1">IF(SUM(BD8,BE8)&lt;&gt;0,SUM(BD8,BE8),#N/A)</f>
        <v>52</v>
      </c>
    </row>
    <row r="9" spans="1:65" s="102" customFormat="1" ht="21" customHeight="1" thickBot="1" x14ac:dyDescent="0.25">
      <c r="A9" s="324" t="s">
        <v>226</v>
      </c>
      <c r="B9" s="340"/>
      <c r="C9" s="341" t="s">
        <v>233</v>
      </c>
      <c r="D9" s="35"/>
      <c r="E9" s="103"/>
      <c r="F9" s="309"/>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310"/>
      <c r="AP9" s="307"/>
      <c r="AQ9" s="39"/>
      <c r="AR9" s="39"/>
      <c r="AS9" s="39"/>
      <c r="AT9" s="39"/>
      <c r="AU9" s="39"/>
      <c r="AV9" s="39"/>
      <c r="AW9" s="39"/>
      <c r="AX9" s="39"/>
      <c r="AY9" s="39"/>
      <c r="AZ9" s="39"/>
      <c r="BA9" s="39"/>
      <c r="BB9" s="39"/>
      <c r="BC9" s="39"/>
      <c r="BD9" s="39"/>
      <c r="BE9" s="308"/>
      <c r="BF9" s="303"/>
      <c r="BG9" s="41"/>
      <c r="BH9" s="41"/>
      <c r="BI9" s="41"/>
      <c r="BJ9" s="41"/>
      <c r="BK9" s="41"/>
      <c r="BL9" s="41"/>
      <c r="BM9" s="304"/>
    </row>
    <row r="10" spans="1:65" s="102" customFormat="1" ht="14.25" outlineLevel="1" x14ac:dyDescent="0.2">
      <c r="A10" s="321" t="s">
        <v>226</v>
      </c>
      <c r="B10" s="315"/>
      <c r="C10" s="311"/>
      <c r="D10" s="312"/>
      <c r="E10" s="80" t="s">
        <v>104</v>
      </c>
      <c r="F10" s="50"/>
      <c r="G10" s="50"/>
      <c r="H10" s="50"/>
      <c r="I10" s="50"/>
      <c r="J10" s="50"/>
      <c r="K10" s="50"/>
      <c r="L10" s="50"/>
      <c r="M10" s="50"/>
      <c r="N10" s="50"/>
      <c r="O10" s="50"/>
      <c r="P10" s="50"/>
      <c r="Q10" s="50"/>
      <c r="R10" s="49"/>
      <c r="S10" s="50"/>
      <c r="T10" s="50"/>
      <c r="U10" s="50"/>
      <c r="V10" s="50"/>
      <c r="W10" s="50"/>
      <c r="X10" s="50"/>
      <c r="Y10" s="50"/>
      <c r="Z10" s="50"/>
      <c r="AA10" s="50"/>
      <c r="AB10" s="50"/>
      <c r="AC10" s="50"/>
      <c r="AD10" s="49"/>
      <c r="AE10" s="50"/>
      <c r="AF10" s="50"/>
      <c r="AG10" s="50"/>
      <c r="AH10" s="50"/>
      <c r="AI10" s="50"/>
      <c r="AJ10" s="50"/>
      <c r="AK10" s="50"/>
      <c r="AL10" s="50"/>
      <c r="AM10" s="50"/>
      <c r="AN10" s="50"/>
      <c r="AO10" s="50"/>
      <c r="AP10" s="86" t="str">
        <f>IF(SUM(F10:K10)&lt;&gt;0,SUM(F10:K10),"")</f>
        <v/>
      </c>
      <c r="AQ10" s="87" t="str">
        <f>IF(SUM(L10:Q10)&lt;&gt;0,SUM(L10:Q10),"")</f>
        <v/>
      </c>
      <c r="AR10" s="86" t="str">
        <f>IF(SUM(R10:W10)&lt;&gt;0,SUM(R10:W10),"")</f>
        <v/>
      </c>
      <c r="AS10" s="87" t="str">
        <f>IF(SUM(X10:AC10)&lt;&gt;0,SUM(X10:AC10),"")</f>
        <v/>
      </c>
      <c r="AT10" s="86" t="str">
        <f>IF(SUM(AD10:AI10)&lt;&gt;0,SUM(AD10:AI10),"")</f>
        <v/>
      </c>
      <c r="AU10" s="87" t="str">
        <f>IF(SUM(AJ10:AO10)&lt;&gt;0,SUM(AJ10:AO10),"")</f>
        <v/>
      </c>
      <c r="AV10" s="88"/>
      <c r="AW10" s="89"/>
      <c r="AX10" s="88"/>
      <c r="AY10" s="89"/>
      <c r="AZ10" s="88"/>
      <c r="BA10" s="89"/>
      <c r="BB10" s="88"/>
      <c r="BC10" s="89"/>
      <c r="BD10" s="88"/>
      <c r="BE10" s="274"/>
      <c r="BF10" s="42" t="e">
        <f t="shared" ref="BF10:BF12" si="4">IF(SUM(AP10,AQ10)&lt;&gt;0,SUM(AP10,AQ10),#N/A)</f>
        <v>#N/A</v>
      </c>
      <c r="BG10" s="42" t="e">
        <f t="shared" ref="BG10:BG12" si="5">IF(SUM(AR10,AS10)&lt;&gt;0,SUM(AR10,AS10),#N/A)</f>
        <v>#N/A</v>
      </c>
      <c r="BH10" s="42" t="e">
        <f t="shared" ref="BH10:BH12" si="6">IF(SUM(AT10,AU10)&lt;&gt;0,SUM(AT10,AU10),#N/A)</f>
        <v>#N/A</v>
      </c>
      <c r="BI10" s="42" t="e">
        <f t="shared" ref="BI10:BI12" si="7">IF(SUM(AV10,AW10)&lt;&gt;0,SUM(AV10,AW10),#N/A)</f>
        <v>#N/A</v>
      </c>
      <c r="BJ10" s="42" t="e">
        <f t="shared" ref="BJ10:BJ12" si="8">IF(SUM(AX10,AY10)&lt;&gt;0,SUM(AX10,AY10),#N/A)</f>
        <v>#N/A</v>
      </c>
      <c r="BK10" s="42" t="e">
        <f t="shared" ref="BK10:BK12" si="9">IF(SUM(AZ10,BA10)&lt;&gt;0,SUM(AZ10,BA10),#N/A)</f>
        <v>#N/A</v>
      </c>
      <c r="BL10" s="42" t="e">
        <f t="shared" ref="BL10:BL12" si="10">IF(SUM(BB10,BC10)&lt;&gt;0,SUM(BB10,BC10),#N/A)</f>
        <v>#N/A</v>
      </c>
      <c r="BM10" s="42" t="e">
        <f>IF(SUM(BD10,BE10)&lt;&gt;0,SUM(BD10,BE10),#N/A)</f>
        <v>#N/A</v>
      </c>
    </row>
    <row r="11" spans="1:65" s="102" customFormat="1" ht="15" outlineLevel="1" thickBot="1" x14ac:dyDescent="0.25">
      <c r="A11" s="321" t="s">
        <v>226</v>
      </c>
      <c r="B11" s="316"/>
      <c r="C11" s="313"/>
      <c r="D11" s="314"/>
      <c r="E11" s="44" t="s">
        <v>39</v>
      </c>
      <c r="F11" s="45">
        <f ca="1">F$7-F$8-F10</f>
        <v>27</v>
      </c>
      <c r="G11" s="45">
        <f t="shared" ref="G11:AO11" ca="1" si="11">G$7-G$8-G10</f>
        <v>24</v>
      </c>
      <c r="H11" s="45">
        <f t="shared" ca="1" si="11"/>
        <v>26</v>
      </c>
      <c r="I11" s="45">
        <f t="shared" ca="1" si="11"/>
        <v>26</v>
      </c>
      <c r="J11" s="45">
        <f t="shared" ca="1" si="11"/>
        <v>27</v>
      </c>
      <c r="K11" s="45">
        <f t="shared" ca="1" si="11"/>
        <v>25</v>
      </c>
      <c r="L11" s="45">
        <f t="shared" ca="1" si="11"/>
        <v>27</v>
      </c>
      <c r="M11" s="45">
        <f t="shared" ca="1" si="11"/>
        <v>26</v>
      </c>
      <c r="N11" s="45">
        <f t="shared" ca="1" si="11"/>
        <v>26</v>
      </c>
      <c r="O11" s="45">
        <f t="shared" ca="1" si="11"/>
        <v>27</v>
      </c>
      <c r="P11" s="45">
        <f t="shared" ca="1" si="11"/>
        <v>25</v>
      </c>
      <c r="Q11" s="45">
        <f t="shared" ca="1" si="11"/>
        <v>27</v>
      </c>
      <c r="R11" s="46">
        <f t="shared" ca="1" si="11"/>
        <v>27</v>
      </c>
      <c r="S11" s="45">
        <f t="shared" ca="1" si="11"/>
        <v>24</v>
      </c>
      <c r="T11" s="45">
        <f t="shared" ca="1" si="11"/>
        <v>26</v>
      </c>
      <c r="U11" s="45">
        <f t="shared" ca="1" si="11"/>
        <v>26</v>
      </c>
      <c r="V11" s="45">
        <f t="shared" ca="1" si="11"/>
        <v>26</v>
      </c>
      <c r="W11" s="45">
        <f t="shared" ca="1" si="11"/>
        <v>26</v>
      </c>
      <c r="X11" s="45">
        <f t="shared" ca="1" si="11"/>
        <v>27</v>
      </c>
      <c r="Y11" s="45">
        <f t="shared" ca="1" si="11"/>
        <v>26</v>
      </c>
      <c r="Z11" s="45">
        <f t="shared" ca="1" si="11"/>
        <v>26</v>
      </c>
      <c r="AA11" s="45">
        <f t="shared" ca="1" si="11"/>
        <v>27</v>
      </c>
      <c r="AB11" s="45">
        <f t="shared" ca="1" si="11"/>
        <v>25</v>
      </c>
      <c r="AC11" s="45">
        <f t="shared" ca="1" si="11"/>
        <v>27</v>
      </c>
      <c r="AD11" s="46">
        <f t="shared" ca="1" si="11"/>
        <v>26</v>
      </c>
      <c r="AE11" s="45">
        <f t="shared" ca="1" si="11"/>
        <v>24</v>
      </c>
      <c r="AF11" s="45">
        <f t="shared" ca="1" si="11"/>
        <v>27</v>
      </c>
      <c r="AG11" s="45">
        <f t="shared" ca="1" si="11"/>
        <v>26</v>
      </c>
      <c r="AH11" s="45">
        <f t="shared" ca="1" si="11"/>
        <v>26</v>
      </c>
      <c r="AI11" s="45">
        <f t="shared" ca="1" si="11"/>
        <v>26</v>
      </c>
      <c r="AJ11" s="45">
        <f t="shared" ca="1" si="11"/>
        <v>27</v>
      </c>
      <c r="AK11" s="45">
        <f t="shared" ca="1" si="11"/>
        <v>26</v>
      </c>
      <c r="AL11" s="45">
        <f t="shared" ca="1" si="11"/>
        <v>26</v>
      </c>
      <c r="AM11" s="45">
        <f t="shared" ca="1" si="11"/>
        <v>26</v>
      </c>
      <c r="AN11" s="45">
        <f t="shared" ca="1" si="11"/>
        <v>26</v>
      </c>
      <c r="AO11" s="45">
        <f t="shared" ca="1" si="11"/>
        <v>27</v>
      </c>
      <c r="AP11" s="223">
        <f ca="1">IF(SUM(F11:K11)&lt;&gt;0,SUM(F11:K11),"")</f>
        <v>155</v>
      </c>
      <c r="AQ11" s="224">
        <f ca="1">IF(SUM(L11:Q11)&lt;&gt;0,SUM(L11:Q11),"")</f>
        <v>158</v>
      </c>
      <c r="AR11" s="223">
        <f ca="1">IF(SUM(R11:W11)&lt;&gt;0,SUM(R11:W11),"")</f>
        <v>155</v>
      </c>
      <c r="AS11" s="224">
        <f ca="1">IF(SUM(X11:AC11)&lt;&gt;0,SUM(X11:AC11),"")</f>
        <v>158</v>
      </c>
      <c r="AT11" s="223">
        <f ca="1">IF(SUM(AD11:AI11)&lt;&gt;0,SUM(AD11:AI11),"")</f>
        <v>155</v>
      </c>
      <c r="AU11" s="224">
        <f ca="1">IF(SUM(AJ11:AO11)&lt;&gt;0,SUM(AJ11:AO11),"")</f>
        <v>158</v>
      </c>
      <c r="AV11" s="90">
        <f t="shared" ref="AV11:BE11" ca="1" si="12">AV$7-AV$8-AV10</f>
        <v>156</v>
      </c>
      <c r="AW11" s="91">
        <f t="shared" ca="1" si="12"/>
        <v>157</v>
      </c>
      <c r="AX11" s="90">
        <f t="shared" ca="1" si="12"/>
        <v>156</v>
      </c>
      <c r="AY11" s="91">
        <f t="shared" ca="1" si="12"/>
        <v>158</v>
      </c>
      <c r="AZ11" s="90">
        <f t="shared" ca="1" si="12"/>
        <v>155</v>
      </c>
      <c r="BA11" s="91">
        <f t="shared" ca="1" si="12"/>
        <v>158</v>
      </c>
      <c r="BB11" s="90">
        <f t="shared" ca="1" si="12"/>
        <v>155</v>
      </c>
      <c r="BC11" s="91">
        <f t="shared" ca="1" si="12"/>
        <v>158</v>
      </c>
      <c r="BD11" s="90">
        <f t="shared" ca="1" si="12"/>
        <v>156</v>
      </c>
      <c r="BE11" s="275">
        <f t="shared" ca="1" si="12"/>
        <v>158</v>
      </c>
      <c r="BF11" s="289">
        <f t="shared" ca="1" si="4"/>
        <v>313</v>
      </c>
      <c r="BG11" s="289">
        <f t="shared" ca="1" si="5"/>
        <v>313</v>
      </c>
      <c r="BH11" s="289">
        <f t="shared" ca="1" si="6"/>
        <v>313</v>
      </c>
      <c r="BI11" s="289">
        <f t="shared" ca="1" si="7"/>
        <v>313</v>
      </c>
      <c r="BJ11" s="289">
        <f t="shared" ca="1" si="8"/>
        <v>314</v>
      </c>
      <c r="BK11" s="289">
        <f t="shared" ca="1" si="9"/>
        <v>313</v>
      </c>
      <c r="BL11" s="289">
        <f t="shared" ca="1" si="10"/>
        <v>313</v>
      </c>
      <c r="BM11" s="289">
        <f ca="1">IF(SUM(BD11,BE11)&lt;&gt;0,SUM(BD11,BE11),#N/A)</f>
        <v>314</v>
      </c>
    </row>
    <row r="12" spans="1:65" s="102" customFormat="1" ht="22.5" outlineLevel="2" x14ac:dyDescent="0.2">
      <c r="A12" s="320" t="s">
        <v>226</v>
      </c>
      <c r="B12" s="346" t="s">
        <v>231</v>
      </c>
      <c r="C12" s="349" t="str">
        <f>IF(AND($B12&lt;&gt;0,$C$9&lt;&gt;0),$C$9,"")</f>
        <v>BuyP</v>
      </c>
      <c r="D12" s="343" t="s">
        <v>232</v>
      </c>
      <c r="E12" s="277" t="s">
        <v>40</v>
      </c>
      <c r="F12" s="33">
        <f ca="1">IF(F$11-(SUM(F16:F19)/24)=0,"",F$11-(SUM(F16:F19)/24))</f>
        <v>27</v>
      </c>
      <c r="G12" s="34">
        <f t="shared" ref="G12:AO12" ca="1" si="13">IF(G$11-(SUM(G16:G19)/24)=0,"",G$11-(SUM(G16:G19)/24))</f>
        <v>24</v>
      </c>
      <c r="H12" s="34">
        <f t="shared" ca="1" si="13"/>
        <v>26</v>
      </c>
      <c r="I12" s="34">
        <f t="shared" ca="1" si="13"/>
        <v>26</v>
      </c>
      <c r="J12" s="34">
        <f t="shared" ca="1" si="13"/>
        <v>27</v>
      </c>
      <c r="K12" s="34">
        <f t="shared" ca="1" si="13"/>
        <v>25</v>
      </c>
      <c r="L12" s="34">
        <f t="shared" ca="1" si="13"/>
        <v>27</v>
      </c>
      <c r="M12" s="34">
        <f t="shared" ca="1" si="13"/>
        <v>26</v>
      </c>
      <c r="N12" s="34">
        <f t="shared" ca="1" si="13"/>
        <v>26</v>
      </c>
      <c r="O12" s="34">
        <f t="shared" ca="1" si="13"/>
        <v>27</v>
      </c>
      <c r="P12" s="34">
        <f t="shared" ca="1" si="13"/>
        <v>25</v>
      </c>
      <c r="Q12" s="34">
        <f t="shared" ca="1" si="13"/>
        <v>27</v>
      </c>
      <c r="R12" s="32">
        <f t="shared" ca="1" si="13"/>
        <v>27</v>
      </c>
      <c r="S12" s="29">
        <f t="shared" ca="1" si="13"/>
        <v>24</v>
      </c>
      <c r="T12" s="29">
        <f t="shared" ca="1" si="13"/>
        <v>26</v>
      </c>
      <c r="U12" s="29">
        <f t="shared" ca="1" si="13"/>
        <v>26</v>
      </c>
      <c r="V12" s="29">
        <f t="shared" ca="1" si="13"/>
        <v>26</v>
      </c>
      <c r="W12" s="29">
        <f t="shared" ca="1" si="13"/>
        <v>26</v>
      </c>
      <c r="X12" s="29">
        <f t="shared" ca="1" si="13"/>
        <v>27</v>
      </c>
      <c r="Y12" s="29">
        <f t="shared" ca="1" si="13"/>
        <v>26</v>
      </c>
      <c r="Z12" s="29">
        <f t="shared" ca="1" si="13"/>
        <v>26</v>
      </c>
      <c r="AA12" s="29">
        <f t="shared" ca="1" si="13"/>
        <v>27</v>
      </c>
      <c r="AB12" s="29">
        <f t="shared" ca="1" si="13"/>
        <v>25</v>
      </c>
      <c r="AC12" s="29">
        <f t="shared" ca="1" si="13"/>
        <v>27</v>
      </c>
      <c r="AD12" s="32">
        <f t="shared" ca="1" si="13"/>
        <v>26</v>
      </c>
      <c r="AE12" s="29">
        <f t="shared" ca="1" si="13"/>
        <v>24</v>
      </c>
      <c r="AF12" s="29">
        <f t="shared" ca="1" si="13"/>
        <v>27</v>
      </c>
      <c r="AG12" s="29">
        <f t="shared" ca="1" si="13"/>
        <v>26</v>
      </c>
      <c r="AH12" s="29">
        <f t="shared" ca="1" si="13"/>
        <v>26</v>
      </c>
      <c r="AI12" s="29">
        <f t="shared" ca="1" si="13"/>
        <v>26</v>
      </c>
      <c r="AJ12" s="29">
        <f t="shared" ca="1" si="13"/>
        <v>27</v>
      </c>
      <c r="AK12" s="29">
        <f t="shared" ca="1" si="13"/>
        <v>26</v>
      </c>
      <c r="AL12" s="29">
        <f t="shared" ca="1" si="13"/>
        <v>26</v>
      </c>
      <c r="AM12" s="29">
        <f t="shared" ca="1" si="13"/>
        <v>26</v>
      </c>
      <c r="AN12" s="29">
        <f t="shared" ca="1" si="13"/>
        <v>26</v>
      </c>
      <c r="AO12" s="29">
        <f t="shared" ca="1" si="13"/>
        <v>27</v>
      </c>
      <c r="AP12" s="32">
        <f ca="1">IF(SUM(F12:K12)&lt;&gt;0,SUM(F12:K12),"")</f>
        <v>155</v>
      </c>
      <c r="AQ12" s="29">
        <f ca="1">IF(SUM(L12:Q12)&lt;&gt;0,SUM(L12:Q12),"")</f>
        <v>158</v>
      </c>
      <c r="AR12" s="32">
        <f ca="1">IF(SUM(R12:W12)&lt;&gt;0,SUM(R12:W12),"")</f>
        <v>155</v>
      </c>
      <c r="AS12" s="29">
        <f ca="1">IF(SUM(X12:AC12)&lt;&gt;0,SUM(X12:AC12),"")</f>
        <v>158</v>
      </c>
      <c r="AT12" s="32">
        <f ca="1">IF(SUM(AD12:AI12)&lt;&gt;0,SUM(AD12:AI12),"")</f>
        <v>155</v>
      </c>
      <c r="AU12" s="296">
        <f ca="1">SUM(AJ12:AO12)</f>
        <v>158</v>
      </c>
      <c r="AV12" s="32">
        <f t="shared" ref="AV12:BE12" ca="1" si="14">IF(AV$11-(SUM(AV16:AV19)/24)=0,"",AV$11-(SUM(AV16:AV19)/24))</f>
        <v>156</v>
      </c>
      <c r="AW12" s="29">
        <f t="shared" ca="1" si="14"/>
        <v>157</v>
      </c>
      <c r="AX12" s="32">
        <f t="shared" ca="1" si="14"/>
        <v>156</v>
      </c>
      <c r="AY12" s="29">
        <f t="shared" ca="1" si="14"/>
        <v>158</v>
      </c>
      <c r="AZ12" s="32">
        <f t="shared" ca="1" si="14"/>
        <v>155</v>
      </c>
      <c r="BA12" s="29">
        <f t="shared" ca="1" si="14"/>
        <v>158</v>
      </c>
      <c r="BB12" s="32">
        <f t="shared" ca="1" si="14"/>
        <v>155</v>
      </c>
      <c r="BC12" s="29">
        <f t="shared" ca="1" si="14"/>
        <v>158</v>
      </c>
      <c r="BD12" s="32">
        <f t="shared" ca="1" si="14"/>
        <v>156</v>
      </c>
      <c r="BE12" s="262">
        <f t="shared" ca="1" si="14"/>
        <v>158</v>
      </c>
      <c r="BF12" s="286">
        <f t="shared" ca="1" si="4"/>
        <v>313</v>
      </c>
      <c r="BG12" s="286">
        <f t="shared" ca="1" si="5"/>
        <v>313</v>
      </c>
      <c r="BH12" s="286">
        <f t="shared" ca="1" si="6"/>
        <v>313</v>
      </c>
      <c r="BI12" s="286">
        <f t="shared" ca="1" si="7"/>
        <v>313</v>
      </c>
      <c r="BJ12" s="286">
        <f t="shared" ca="1" si="8"/>
        <v>314</v>
      </c>
      <c r="BK12" s="286">
        <f t="shared" ca="1" si="9"/>
        <v>313</v>
      </c>
      <c r="BL12" s="286">
        <f t="shared" ca="1" si="10"/>
        <v>313</v>
      </c>
      <c r="BM12" s="286">
        <f t="shared" ref="BM12" ca="1" si="15">IF(SUM(BD12,BE12)&lt;&gt;0,SUM(BD12,BE12),#N/A)</f>
        <v>314</v>
      </c>
    </row>
    <row r="13" spans="1:65" s="102" customFormat="1" ht="15" customHeight="1" outlineLevel="2" thickBot="1" x14ac:dyDescent="0.25">
      <c r="A13" s="320" t="s">
        <v>226</v>
      </c>
      <c r="B13" s="347"/>
      <c r="C13" s="350"/>
      <c r="D13" s="344"/>
      <c r="E13" s="278" t="s">
        <v>29</v>
      </c>
      <c r="F13" s="47">
        <v>4</v>
      </c>
      <c r="G13" s="48">
        <v>4</v>
      </c>
      <c r="H13" s="48">
        <v>5</v>
      </c>
      <c r="I13" s="48">
        <v>4</v>
      </c>
      <c r="J13" s="48">
        <v>4</v>
      </c>
      <c r="K13" s="48">
        <v>5</v>
      </c>
      <c r="L13" s="48">
        <v>4</v>
      </c>
      <c r="M13" s="48">
        <v>5</v>
      </c>
      <c r="N13" s="48">
        <v>4</v>
      </c>
      <c r="O13" s="48">
        <v>4</v>
      </c>
      <c r="P13" s="48">
        <v>5</v>
      </c>
      <c r="Q13" s="51">
        <v>4</v>
      </c>
      <c r="R13" s="47">
        <v>4</v>
      </c>
      <c r="S13" s="48">
        <v>4</v>
      </c>
      <c r="T13" s="48">
        <v>5</v>
      </c>
      <c r="U13" s="48">
        <v>4</v>
      </c>
      <c r="V13" s="48">
        <v>5</v>
      </c>
      <c r="W13" s="48">
        <v>4</v>
      </c>
      <c r="X13" s="48">
        <v>4</v>
      </c>
      <c r="Y13" s="48">
        <v>5</v>
      </c>
      <c r="Z13" s="48">
        <v>4</v>
      </c>
      <c r="AA13" s="48">
        <v>4</v>
      </c>
      <c r="AB13" s="48">
        <v>5</v>
      </c>
      <c r="AC13" s="51">
        <v>4</v>
      </c>
      <c r="AD13" s="263">
        <v>5</v>
      </c>
      <c r="AE13" s="48">
        <v>4</v>
      </c>
      <c r="AF13" s="48">
        <v>4</v>
      </c>
      <c r="AG13" s="48">
        <v>4</v>
      </c>
      <c r="AH13" s="48">
        <v>5</v>
      </c>
      <c r="AI13" s="48">
        <v>4</v>
      </c>
      <c r="AJ13" s="48">
        <v>4</v>
      </c>
      <c r="AK13" s="48">
        <v>5</v>
      </c>
      <c r="AL13" s="48">
        <v>4</v>
      </c>
      <c r="AM13" s="48">
        <v>5</v>
      </c>
      <c r="AN13" s="48">
        <v>4</v>
      </c>
      <c r="AO13" s="51">
        <v>4</v>
      </c>
      <c r="AP13" s="294">
        <f>IFERROR(IF(SUM(F13:K13)&lt;&gt;0,SUM(F13:K13),""),"")</f>
        <v>26</v>
      </c>
      <c r="AQ13" s="295">
        <f>IFERROR(IF(SUM(L13:Q13)&lt;&gt;0,SUM(L13:Q13),""),"")</f>
        <v>26</v>
      </c>
      <c r="AR13" s="294">
        <f>IFERROR(IF(SUM(R13:W13)&lt;&gt;0,SUM(R13:W13),""),"")</f>
        <v>26</v>
      </c>
      <c r="AS13" s="295">
        <f>IFERROR(IF(SUM(X13:AC13)&lt;&gt;0,SUM(X13:AC13),""),"")</f>
        <v>26</v>
      </c>
      <c r="AT13" s="294">
        <f>IFERROR(IF(SUM(AD13:AI13)&lt;&gt;0,SUM(AD13:AI13),""),"")</f>
        <v>26</v>
      </c>
      <c r="AU13" s="295">
        <f>IFERROR(IF(SUM(AJ13:AO13)&lt;&gt;0,SUM(AJ13:AO13),""),"")</f>
        <v>26</v>
      </c>
      <c r="AV13" s="47">
        <v>26</v>
      </c>
      <c r="AW13" s="51">
        <v>27</v>
      </c>
      <c r="AX13" s="47">
        <v>25</v>
      </c>
      <c r="AY13" s="51">
        <v>26</v>
      </c>
      <c r="AZ13" s="47">
        <v>26</v>
      </c>
      <c r="BA13" s="51">
        <v>26</v>
      </c>
      <c r="BB13" s="47">
        <v>26</v>
      </c>
      <c r="BC13" s="51">
        <v>26</v>
      </c>
      <c r="BD13" s="47">
        <v>26</v>
      </c>
      <c r="BE13" s="263">
        <v>26</v>
      </c>
      <c r="BF13" s="271">
        <f>IFERROR(IF(AVERAGE(AP13:AQ13)&lt;&gt;0,AVERAGE(AP13:AQ13),""),"")</f>
        <v>26</v>
      </c>
      <c r="BG13" s="271">
        <f>IFERROR(IF(AVERAGE(AR13:AS13)&lt;&gt;0,AVERAGE(AR13:AS13),""),"")</f>
        <v>26</v>
      </c>
      <c r="BH13" s="271">
        <f>IFERROR(IF(AVERAGE(AT13:AU13)&lt;&gt;0,AVERAGE(AT13:AU13),""),"")</f>
        <v>26</v>
      </c>
      <c r="BI13" s="271">
        <f>IFERROR(IF(AVERAGE(AV13:AW13)&lt;&gt;0,AVERAGE(AV13:AW13),""),"")</f>
        <v>26.5</v>
      </c>
      <c r="BJ13" s="271">
        <f>IFERROR(IF(AVERAGE(AX13:AY13)&lt;&gt;0,AVERAGE(AX13:AY13),""),"")</f>
        <v>25.5</v>
      </c>
      <c r="BK13" s="271">
        <f>IFERROR(IF(AVERAGE(AZ13:BA13)&lt;&gt;0,AVERAGE(AZ13:BA13),""),"")</f>
        <v>26</v>
      </c>
      <c r="BL13" s="271">
        <f>IFERROR(IF(AVERAGE(BB13:BC13)&lt;&gt;0,AVERAGE(BB13:BC13),""),"")</f>
        <v>26</v>
      </c>
      <c r="BM13" s="271">
        <f>IFERROR(IF(AVERAGE(BD13:BE13)&lt;&gt;0,AVERAGE(BD13:BE13),""),"")</f>
        <v>26</v>
      </c>
    </row>
    <row r="14" spans="1:65" s="102" customFormat="1" ht="14.25" customHeight="1" outlineLevel="2" x14ac:dyDescent="0.2">
      <c r="A14" s="320" t="s">
        <v>226</v>
      </c>
      <c r="B14" s="347"/>
      <c r="C14" s="350"/>
      <c r="D14" s="344"/>
      <c r="E14" s="279" t="s">
        <v>28</v>
      </c>
      <c r="F14" s="52">
        <v>22</v>
      </c>
      <c r="G14" s="53">
        <v>22</v>
      </c>
      <c r="H14" s="53">
        <v>22</v>
      </c>
      <c r="I14" s="53">
        <v>22</v>
      </c>
      <c r="J14" s="53">
        <v>22</v>
      </c>
      <c r="K14" s="53">
        <v>22</v>
      </c>
      <c r="L14" s="53">
        <v>22</v>
      </c>
      <c r="M14" s="53">
        <v>22</v>
      </c>
      <c r="N14" s="53">
        <v>22</v>
      </c>
      <c r="O14" s="53">
        <v>22</v>
      </c>
      <c r="P14" s="53">
        <v>22</v>
      </c>
      <c r="Q14" s="54">
        <v>22</v>
      </c>
      <c r="R14" s="52">
        <v>22</v>
      </c>
      <c r="S14" s="53">
        <v>22</v>
      </c>
      <c r="T14" s="53">
        <v>22</v>
      </c>
      <c r="U14" s="53">
        <v>22</v>
      </c>
      <c r="V14" s="53">
        <v>22</v>
      </c>
      <c r="W14" s="53">
        <v>22</v>
      </c>
      <c r="X14" s="53">
        <v>22</v>
      </c>
      <c r="Y14" s="53">
        <v>22</v>
      </c>
      <c r="Z14" s="53">
        <v>22</v>
      </c>
      <c r="AA14" s="53">
        <v>22</v>
      </c>
      <c r="AB14" s="53">
        <v>22</v>
      </c>
      <c r="AC14" s="54">
        <v>22</v>
      </c>
      <c r="AD14" s="264">
        <v>22</v>
      </c>
      <c r="AE14" s="53">
        <v>22</v>
      </c>
      <c r="AF14" s="53">
        <v>22</v>
      </c>
      <c r="AG14" s="53">
        <v>22</v>
      </c>
      <c r="AH14" s="53">
        <v>22</v>
      </c>
      <c r="AI14" s="53">
        <v>22</v>
      </c>
      <c r="AJ14" s="53">
        <v>22</v>
      </c>
      <c r="AK14" s="53">
        <v>22</v>
      </c>
      <c r="AL14" s="53">
        <v>22</v>
      </c>
      <c r="AM14" s="53">
        <v>22</v>
      </c>
      <c r="AN14" s="53">
        <v>22</v>
      </c>
      <c r="AO14" s="54">
        <v>22</v>
      </c>
      <c r="AP14" s="225">
        <f>IFERROR(IF(AVERAGE(F14:K14)&lt;&gt;0,AVERAGE(F14:K14),""),"")</f>
        <v>22</v>
      </c>
      <c r="AQ14" s="226">
        <f>IFERROR(IF(AVERAGE(L14:Q14)&lt;&gt;0,AVERAGE(L14:Q14),""),"")</f>
        <v>22</v>
      </c>
      <c r="AR14" s="225">
        <f>IFERROR(IF(AVERAGE(R14:W14)&lt;&gt;0,AVERAGE(R14:W14),""),"")</f>
        <v>22</v>
      </c>
      <c r="AS14" s="226">
        <f>IFERROR(IF(AVERAGE(X14:AC14)&lt;&gt;0,AVERAGE(X14:AC14),""),"")</f>
        <v>22</v>
      </c>
      <c r="AT14" s="225">
        <f>IFERROR(IF(AVERAGE(AD14:AI14)&lt;&gt;0,AVERAGE(AD14:AI14),""),"")</f>
        <v>22</v>
      </c>
      <c r="AU14" s="226">
        <f>IFERROR(IF(AVERAGE(AJ14:AO14)&lt;&gt;0,AVERAGE(AJ14:AO14),""),"")</f>
        <v>22</v>
      </c>
      <c r="AV14" s="70">
        <v>22</v>
      </c>
      <c r="AW14" s="53">
        <v>22</v>
      </c>
      <c r="AX14" s="70">
        <v>22</v>
      </c>
      <c r="AY14" s="53">
        <v>22</v>
      </c>
      <c r="AZ14" s="70">
        <v>22</v>
      </c>
      <c r="BA14" s="53">
        <v>22</v>
      </c>
      <c r="BB14" s="70">
        <v>22</v>
      </c>
      <c r="BC14" s="53">
        <v>22</v>
      </c>
      <c r="BD14" s="70">
        <v>22</v>
      </c>
      <c r="BE14" s="264">
        <v>22</v>
      </c>
      <c r="BF14" s="272">
        <f>IFERROR(IF(AVERAGE(AP14:AQ14)&lt;&gt;0,AVERAGE(AP14:AQ14),""),"")</f>
        <v>22</v>
      </c>
      <c r="BG14" s="272">
        <f>IFERROR(IF(AVERAGE(AR14:AS14)&lt;&gt;0,AVERAGE(AR14:AS14),""),"")</f>
        <v>22</v>
      </c>
      <c r="BH14" s="272">
        <f>IFERROR(IF(AVERAGE(AT14:AU14)&lt;&gt;0,AVERAGE(AT14:AU14),""),"")</f>
        <v>22</v>
      </c>
      <c r="BI14" s="272">
        <f>IFERROR(IF(AVERAGE(AV14:AW14)&lt;&gt;0,AVERAGE(AV14:AW14),""),"")</f>
        <v>22</v>
      </c>
      <c r="BJ14" s="272">
        <f>IFERROR(IF(AVERAGE(AX14:AY14)&lt;&gt;0,AVERAGE(AX14:AY14),""),"")</f>
        <v>22</v>
      </c>
      <c r="BK14" s="272">
        <f>IFERROR(IF(AVERAGE(AZ14:BA14)&lt;&gt;0,AVERAGE(AZ14:BA14),""),"")</f>
        <v>22</v>
      </c>
      <c r="BL14" s="272">
        <f>IFERROR(IF(AVERAGE(BB14:BC14)&lt;&gt;0,AVERAGE(BB14:BC14),""),"")</f>
        <v>22</v>
      </c>
      <c r="BM14" s="272">
        <f>IFERROR(IF(AVERAGE(BD14:BE14)&lt;&gt;0,AVERAGE(BD14:BE14),""),"")</f>
        <v>22</v>
      </c>
    </row>
    <row r="15" spans="1:65" s="102" customFormat="1" ht="15" customHeight="1" outlineLevel="2" thickBot="1" x14ac:dyDescent="0.25">
      <c r="A15" s="320" t="s">
        <v>226</v>
      </c>
      <c r="B15" s="347"/>
      <c r="C15" s="350"/>
      <c r="D15" s="344"/>
      <c r="E15" s="278" t="s">
        <v>30</v>
      </c>
      <c r="F15" s="55">
        <v>22</v>
      </c>
      <c r="G15" s="56">
        <v>22</v>
      </c>
      <c r="H15" s="56">
        <v>22</v>
      </c>
      <c r="I15" s="56">
        <v>22</v>
      </c>
      <c r="J15" s="56">
        <v>22</v>
      </c>
      <c r="K15" s="56">
        <v>22</v>
      </c>
      <c r="L15" s="56">
        <v>22</v>
      </c>
      <c r="M15" s="56">
        <v>22</v>
      </c>
      <c r="N15" s="56">
        <v>22</v>
      </c>
      <c r="O15" s="56">
        <v>22</v>
      </c>
      <c r="P15" s="56">
        <v>22</v>
      </c>
      <c r="Q15" s="57">
        <v>22</v>
      </c>
      <c r="R15" s="55">
        <v>22</v>
      </c>
      <c r="S15" s="56">
        <v>22</v>
      </c>
      <c r="T15" s="56">
        <v>22</v>
      </c>
      <c r="U15" s="56">
        <v>22</v>
      </c>
      <c r="V15" s="56">
        <v>22</v>
      </c>
      <c r="W15" s="56">
        <v>22</v>
      </c>
      <c r="X15" s="56">
        <v>22</v>
      </c>
      <c r="Y15" s="56">
        <v>22</v>
      </c>
      <c r="Z15" s="56">
        <v>22</v>
      </c>
      <c r="AA15" s="56">
        <v>22</v>
      </c>
      <c r="AB15" s="56">
        <v>22</v>
      </c>
      <c r="AC15" s="57">
        <v>22</v>
      </c>
      <c r="AD15" s="265">
        <v>22</v>
      </c>
      <c r="AE15" s="56">
        <v>22</v>
      </c>
      <c r="AF15" s="56">
        <v>22</v>
      </c>
      <c r="AG15" s="56">
        <v>22</v>
      </c>
      <c r="AH15" s="56">
        <v>22</v>
      </c>
      <c r="AI15" s="56">
        <v>22</v>
      </c>
      <c r="AJ15" s="56">
        <v>22</v>
      </c>
      <c r="AK15" s="56">
        <v>22</v>
      </c>
      <c r="AL15" s="56">
        <v>22</v>
      </c>
      <c r="AM15" s="56">
        <v>22</v>
      </c>
      <c r="AN15" s="56">
        <v>22</v>
      </c>
      <c r="AO15" s="57">
        <v>22</v>
      </c>
      <c r="AP15" s="227">
        <f>IFERROR(IF(AVERAGE(F15:K15)&lt;&gt;0,AVERAGE(F15:K15),""),"")</f>
        <v>22</v>
      </c>
      <c r="AQ15" s="228">
        <f>IFERROR(IF(AVERAGE(L15:Q15)&lt;&gt;0,AVERAGE(L15:Q15),""),"")</f>
        <v>22</v>
      </c>
      <c r="AR15" s="227">
        <f>IFERROR(IF(AVERAGE(R15:W15)&lt;&gt;0,AVERAGE(R15:W15),""),"")</f>
        <v>22</v>
      </c>
      <c r="AS15" s="228">
        <f>IFERROR(IF(AVERAGE(X15:AC15)&lt;&gt;0,AVERAGE(X15:AC15),""),"")</f>
        <v>22</v>
      </c>
      <c r="AT15" s="227">
        <f>IFERROR(IF(AVERAGE(AD15:AI15)&lt;&gt;0,AVERAGE(AD15:AI15),""),"")</f>
        <v>22</v>
      </c>
      <c r="AU15" s="228">
        <f>IFERROR(IF(AVERAGE(AJ15:AO15)&lt;&gt;0,AVERAGE(AJ15:AO15),""),"")</f>
        <v>22</v>
      </c>
      <c r="AV15" s="71">
        <v>22</v>
      </c>
      <c r="AW15" s="56">
        <v>22</v>
      </c>
      <c r="AX15" s="71">
        <v>22</v>
      </c>
      <c r="AY15" s="56">
        <v>22</v>
      </c>
      <c r="AZ15" s="71">
        <v>22</v>
      </c>
      <c r="BA15" s="56">
        <v>22</v>
      </c>
      <c r="BB15" s="71">
        <v>22</v>
      </c>
      <c r="BC15" s="56">
        <v>22</v>
      </c>
      <c r="BD15" s="71">
        <v>22</v>
      </c>
      <c r="BE15" s="265">
        <v>22</v>
      </c>
      <c r="BF15" s="273">
        <f>IFERROR(IF(AVERAGE(AP15:AQ15)&lt;&gt;0,AVERAGE(AP15:AQ15),""),"")</f>
        <v>22</v>
      </c>
      <c r="BG15" s="273">
        <f>IFERROR(IF(AVERAGE(AR15:AS15)&lt;&gt;0,AVERAGE(AR15:AS15),""),"")</f>
        <v>22</v>
      </c>
      <c r="BH15" s="273">
        <f>IFERROR(IF(AVERAGE(AT15:AU15)&lt;&gt;0,AVERAGE(AT15:AU15),""),"")</f>
        <v>22</v>
      </c>
      <c r="BI15" s="273">
        <f>IFERROR(IF(AVERAGE(AV15:AW15)&lt;&gt;0,AVERAGE(AV15:AW15),""),"")</f>
        <v>22</v>
      </c>
      <c r="BJ15" s="273">
        <f>IFERROR(IF(AVERAGE(AX15:AY15)&lt;&gt;0,AVERAGE(AX15:AY15),""),"")</f>
        <v>22</v>
      </c>
      <c r="BK15" s="273">
        <f>IFERROR(IF(AVERAGE(AZ15:BA15)&lt;&gt;0,AVERAGE(AZ15:BA15),""),"")</f>
        <v>22</v>
      </c>
      <c r="BL15" s="273">
        <f>IFERROR(IF(AVERAGE(BB15:BC15)&lt;&gt;0,AVERAGE(BB15:BC15),""),"")</f>
        <v>22</v>
      </c>
      <c r="BM15" s="273">
        <f>IFERROR(IF(AVERAGE(BD15:BE15)&lt;&gt;0,AVERAGE(BD15:BE15),""),"")</f>
        <v>22</v>
      </c>
    </row>
    <row r="16" spans="1:65" s="102" customFormat="1" ht="14.25" customHeight="1" outlineLevel="2" x14ac:dyDescent="0.2">
      <c r="A16" s="320" t="s">
        <v>226</v>
      </c>
      <c r="B16" s="347"/>
      <c r="C16" s="350"/>
      <c r="D16" s="344"/>
      <c r="E16" s="279" t="s">
        <v>25</v>
      </c>
      <c r="F16" s="58"/>
      <c r="G16" s="50"/>
      <c r="H16" s="50"/>
      <c r="I16" s="50"/>
      <c r="J16" s="50"/>
      <c r="K16" s="50"/>
      <c r="L16" s="50"/>
      <c r="M16" s="50"/>
      <c r="N16" s="50"/>
      <c r="O16" s="50"/>
      <c r="P16" s="50"/>
      <c r="Q16" s="59"/>
      <c r="R16" s="58"/>
      <c r="S16" s="50"/>
      <c r="T16" s="50"/>
      <c r="U16" s="50"/>
      <c r="V16" s="50"/>
      <c r="W16" s="50"/>
      <c r="X16" s="50"/>
      <c r="Y16" s="50"/>
      <c r="Z16" s="50"/>
      <c r="AA16" s="50"/>
      <c r="AB16" s="50"/>
      <c r="AC16" s="59"/>
      <c r="AD16" s="319"/>
      <c r="AE16" s="50"/>
      <c r="AF16" s="50"/>
      <c r="AG16" s="50"/>
      <c r="AH16" s="50"/>
      <c r="AI16" s="50"/>
      <c r="AJ16" s="50"/>
      <c r="AK16" s="50"/>
      <c r="AL16" s="50"/>
      <c r="AM16" s="50"/>
      <c r="AN16" s="50"/>
      <c r="AO16" s="59"/>
      <c r="AP16" s="229" t="str">
        <f>IFERROR(IF(SUM(F16:K16)&lt;&gt;0,SUM(F16:K16),""),"")</f>
        <v/>
      </c>
      <c r="AQ16" s="230" t="str">
        <f>IFERROR(IF(SUM(L16:Q16)&lt;&gt;0,SUM(L16:Q16),""),"")</f>
        <v/>
      </c>
      <c r="AR16" s="229" t="str">
        <f>IFERROR(IF(SUM(R16:W16)&lt;&gt;0,SUM(R16:W16),""),"")</f>
        <v/>
      </c>
      <c r="AS16" s="230" t="str">
        <f>IFERROR(IF(SUM(X16:AC16)&lt;&gt;0,SUM(X16:AC16),""),"")</f>
        <v/>
      </c>
      <c r="AT16" s="229" t="str">
        <f>IFERROR(IF(SUM(AD16:AI16)&lt;&gt;0,SUM(AD16:AI16),""),"")</f>
        <v/>
      </c>
      <c r="AU16" s="230" t="str">
        <f>IFERROR(IF(SUM(AJ16:AO16)&lt;&gt;0,SUM(AJ16:AO16),""),"")</f>
        <v/>
      </c>
      <c r="AV16" s="72" t="s">
        <v>234</v>
      </c>
      <c r="AW16" s="73" t="s">
        <v>234</v>
      </c>
      <c r="AX16" s="72" t="s">
        <v>234</v>
      </c>
      <c r="AY16" s="73" t="s">
        <v>234</v>
      </c>
      <c r="AZ16" s="72" t="s">
        <v>234</v>
      </c>
      <c r="BA16" s="73" t="s">
        <v>234</v>
      </c>
      <c r="BB16" s="72" t="s">
        <v>234</v>
      </c>
      <c r="BC16" s="73" t="s">
        <v>234</v>
      </c>
      <c r="BD16" s="72" t="s">
        <v>234</v>
      </c>
      <c r="BE16" s="266" t="s">
        <v>234</v>
      </c>
      <c r="BF16" s="286" t="e">
        <f t="shared" ref="BF16:BF19" si="16">IF(SUM(AP16,AQ16)&lt;&gt;0,SUM(AP16,AQ16),#N/A)</f>
        <v>#N/A</v>
      </c>
      <c r="BG16" s="286" t="e">
        <f t="shared" ref="BG16:BG19" si="17">IF(SUM(AR16,AS16)&lt;&gt;0,SUM(AR16,AS16),#N/A)</f>
        <v>#N/A</v>
      </c>
      <c r="BH16" s="286" t="e">
        <f t="shared" ref="BH16:BH19" si="18">IF(SUM(AT16,AU16)&lt;&gt;0,SUM(AT16,AU16),#N/A)</f>
        <v>#N/A</v>
      </c>
      <c r="BI16" s="286" t="e">
        <f t="shared" ref="BI16:BI19" si="19">IF(SUM(AV16,AW16)&lt;&gt;0,SUM(AV16,AW16),#N/A)</f>
        <v>#N/A</v>
      </c>
      <c r="BJ16" s="286" t="e">
        <f t="shared" ref="BJ16:BJ19" si="20">IF(SUM(AX16,AY16)&lt;&gt;0,SUM(AX16,AY16),#N/A)</f>
        <v>#N/A</v>
      </c>
      <c r="BK16" s="286" t="e">
        <f t="shared" ref="BK16:BK19" si="21">IF(SUM(AZ16,BA16)&lt;&gt;0,SUM(AZ16,BA16),#N/A)</f>
        <v>#N/A</v>
      </c>
      <c r="BL16" s="286" t="e">
        <f t="shared" ref="BL16:BL19" si="22">IF(SUM(BB16,BC16)&lt;&gt;0,SUM(BB16,BC16),#N/A)</f>
        <v>#N/A</v>
      </c>
      <c r="BM16" s="286" t="e">
        <f t="shared" ref="BM16:BM19" si="23">IF(SUM(BD16,BE16)&lt;&gt;0,SUM(BD16,BE16),#N/A)</f>
        <v>#N/A</v>
      </c>
    </row>
    <row r="17" spans="1:65" s="102" customFormat="1" ht="14.25" customHeight="1" outlineLevel="2" x14ac:dyDescent="0.2">
      <c r="A17" s="320" t="s">
        <v>226</v>
      </c>
      <c r="B17" s="347"/>
      <c r="C17" s="350"/>
      <c r="D17" s="344"/>
      <c r="E17" s="280" t="s">
        <v>26</v>
      </c>
      <c r="F17" s="60"/>
      <c r="G17" s="61"/>
      <c r="H17" s="61"/>
      <c r="I17" s="61"/>
      <c r="J17" s="61"/>
      <c r="K17" s="61"/>
      <c r="L17" s="61"/>
      <c r="M17" s="61"/>
      <c r="N17" s="61"/>
      <c r="O17" s="61"/>
      <c r="P17" s="61"/>
      <c r="Q17" s="62"/>
      <c r="R17" s="60"/>
      <c r="S17" s="61"/>
      <c r="T17" s="61"/>
      <c r="U17" s="61"/>
      <c r="V17" s="61"/>
      <c r="W17" s="61"/>
      <c r="X17" s="61"/>
      <c r="Y17" s="61"/>
      <c r="Z17" s="61"/>
      <c r="AA17" s="61"/>
      <c r="AB17" s="61"/>
      <c r="AC17" s="62"/>
      <c r="AD17" s="267"/>
      <c r="AE17" s="61"/>
      <c r="AF17" s="61"/>
      <c r="AG17" s="61"/>
      <c r="AH17" s="61"/>
      <c r="AI17" s="61"/>
      <c r="AJ17" s="61"/>
      <c r="AK17" s="61"/>
      <c r="AL17" s="61"/>
      <c r="AM17" s="61"/>
      <c r="AN17" s="61"/>
      <c r="AO17" s="62"/>
      <c r="AP17" s="231" t="str">
        <f>IFERROR(IF(SUM(F17:K17)&lt;&gt;0,SUM(F17:K17),""),"")</f>
        <v/>
      </c>
      <c r="AQ17" s="232" t="str">
        <f>IFERROR(IF(SUM(L17:Q17)&lt;&gt;0,SUM(L17:Q17),""),"")</f>
        <v/>
      </c>
      <c r="AR17" s="231" t="str">
        <f>IFERROR(IF(SUM(R17:W17)&lt;&gt;0,SUM(R17:W17),""),"")</f>
        <v/>
      </c>
      <c r="AS17" s="232" t="str">
        <f>IFERROR(IF(SUM(X17:AC17)&lt;&gt;0,SUM(X17:AC17),""),"")</f>
        <v/>
      </c>
      <c r="AT17" s="231" t="str">
        <f>IFERROR(IF(SUM(AD17:AI17)&lt;&gt;0,SUM(AD17:AI17),""),"")</f>
        <v/>
      </c>
      <c r="AU17" s="232" t="str">
        <f>IFERROR(IF(SUM(AJ17:AO17)&lt;&gt;0,SUM(AJ17:AO17),""),"")</f>
        <v/>
      </c>
      <c r="AV17" s="74" t="s">
        <v>234</v>
      </c>
      <c r="AW17" s="61" t="s">
        <v>234</v>
      </c>
      <c r="AX17" s="74" t="s">
        <v>234</v>
      </c>
      <c r="AY17" s="61" t="s">
        <v>234</v>
      </c>
      <c r="AZ17" s="74" t="s">
        <v>234</v>
      </c>
      <c r="BA17" s="61" t="s">
        <v>234</v>
      </c>
      <c r="BB17" s="74" t="s">
        <v>234</v>
      </c>
      <c r="BC17" s="61" t="s">
        <v>234</v>
      </c>
      <c r="BD17" s="74" t="s">
        <v>234</v>
      </c>
      <c r="BE17" s="267" t="s">
        <v>234</v>
      </c>
      <c r="BF17" s="287" t="e">
        <f t="shared" si="16"/>
        <v>#N/A</v>
      </c>
      <c r="BG17" s="287" t="e">
        <f t="shared" si="17"/>
        <v>#N/A</v>
      </c>
      <c r="BH17" s="287" t="e">
        <f t="shared" si="18"/>
        <v>#N/A</v>
      </c>
      <c r="BI17" s="287" t="e">
        <f t="shared" si="19"/>
        <v>#N/A</v>
      </c>
      <c r="BJ17" s="287" t="e">
        <f t="shared" si="20"/>
        <v>#N/A</v>
      </c>
      <c r="BK17" s="287" t="e">
        <f t="shared" si="21"/>
        <v>#N/A</v>
      </c>
      <c r="BL17" s="287" t="e">
        <f t="shared" si="22"/>
        <v>#N/A</v>
      </c>
      <c r="BM17" s="287" t="e">
        <f t="shared" si="23"/>
        <v>#N/A</v>
      </c>
    </row>
    <row r="18" spans="1:65" s="102" customFormat="1" ht="14.25" customHeight="1" outlineLevel="2" x14ac:dyDescent="0.2">
      <c r="A18" s="320" t="s">
        <v>226</v>
      </c>
      <c r="B18" s="347"/>
      <c r="C18" s="350"/>
      <c r="D18" s="344"/>
      <c r="E18" s="280" t="s">
        <v>27</v>
      </c>
      <c r="F18" s="60"/>
      <c r="G18" s="61"/>
      <c r="H18" s="61"/>
      <c r="I18" s="61"/>
      <c r="J18" s="61"/>
      <c r="K18" s="61"/>
      <c r="L18" s="61"/>
      <c r="M18" s="61"/>
      <c r="N18" s="61"/>
      <c r="O18" s="61"/>
      <c r="P18" s="61"/>
      <c r="Q18" s="62"/>
      <c r="R18" s="60"/>
      <c r="S18" s="61"/>
      <c r="T18" s="61"/>
      <c r="U18" s="61"/>
      <c r="V18" s="61"/>
      <c r="W18" s="61"/>
      <c r="X18" s="61"/>
      <c r="Y18" s="61"/>
      <c r="Z18" s="61"/>
      <c r="AA18" s="61"/>
      <c r="AB18" s="61"/>
      <c r="AC18" s="62"/>
      <c r="AD18" s="267"/>
      <c r="AE18" s="61"/>
      <c r="AF18" s="61"/>
      <c r="AG18" s="61"/>
      <c r="AH18" s="61"/>
      <c r="AI18" s="61"/>
      <c r="AJ18" s="61"/>
      <c r="AK18" s="61"/>
      <c r="AL18" s="61"/>
      <c r="AM18" s="61"/>
      <c r="AN18" s="61"/>
      <c r="AO18" s="62"/>
      <c r="AP18" s="231" t="str">
        <f>IFERROR(IF(SUM(F18:K18)&lt;&gt;0,SUM(F18:K18),""),"")</f>
        <v/>
      </c>
      <c r="AQ18" s="232" t="str">
        <f>IFERROR(IF(SUM(L18:Q18)&lt;&gt;0,SUM(L18:Q18),""),"")</f>
        <v/>
      </c>
      <c r="AR18" s="231" t="str">
        <f>IFERROR(IF(SUM(R18:W18)&lt;&gt;0,SUM(R18:W18),""),"")</f>
        <v/>
      </c>
      <c r="AS18" s="232" t="str">
        <f>IFERROR(IF(SUM(X18:AC18)&lt;&gt;0,SUM(X18:AC18),""),"")</f>
        <v/>
      </c>
      <c r="AT18" s="231" t="str">
        <f>IFERROR(IF(SUM(AD18:AI18)&lt;&gt;0,SUM(AD18:AI18),""),"")</f>
        <v/>
      </c>
      <c r="AU18" s="232" t="str">
        <f>IFERROR(IF(SUM(AJ18:AO18)&lt;&gt;0,SUM(AJ18:AO18),""),"")</f>
        <v/>
      </c>
      <c r="AV18" s="74" t="s">
        <v>234</v>
      </c>
      <c r="AW18" s="61" t="s">
        <v>234</v>
      </c>
      <c r="AX18" s="74" t="s">
        <v>234</v>
      </c>
      <c r="AY18" s="61" t="s">
        <v>234</v>
      </c>
      <c r="AZ18" s="74" t="s">
        <v>234</v>
      </c>
      <c r="BA18" s="61" t="s">
        <v>234</v>
      </c>
      <c r="BB18" s="74" t="s">
        <v>234</v>
      </c>
      <c r="BC18" s="61" t="s">
        <v>234</v>
      </c>
      <c r="BD18" s="74" t="s">
        <v>234</v>
      </c>
      <c r="BE18" s="267" t="s">
        <v>234</v>
      </c>
      <c r="BF18" s="287" t="e">
        <f t="shared" si="16"/>
        <v>#N/A</v>
      </c>
      <c r="BG18" s="287" t="e">
        <f t="shared" si="17"/>
        <v>#N/A</v>
      </c>
      <c r="BH18" s="287" t="e">
        <f t="shared" si="18"/>
        <v>#N/A</v>
      </c>
      <c r="BI18" s="287" t="e">
        <f t="shared" si="19"/>
        <v>#N/A</v>
      </c>
      <c r="BJ18" s="287" t="e">
        <f t="shared" si="20"/>
        <v>#N/A</v>
      </c>
      <c r="BK18" s="287" t="e">
        <f t="shared" si="21"/>
        <v>#N/A</v>
      </c>
      <c r="BL18" s="287" t="e">
        <f t="shared" si="22"/>
        <v>#N/A</v>
      </c>
      <c r="BM18" s="287" t="e">
        <f t="shared" si="23"/>
        <v>#N/A</v>
      </c>
    </row>
    <row r="19" spans="1:65" s="102" customFormat="1" ht="15" customHeight="1" outlineLevel="2" thickBot="1" x14ac:dyDescent="0.25">
      <c r="A19" s="320" t="s">
        <v>226</v>
      </c>
      <c r="B19" s="347"/>
      <c r="C19" s="350"/>
      <c r="D19" s="344"/>
      <c r="E19" s="281" t="s">
        <v>88</v>
      </c>
      <c r="F19" s="63"/>
      <c r="G19" s="48"/>
      <c r="H19" s="48"/>
      <c r="I19" s="48"/>
      <c r="J19" s="48"/>
      <c r="K19" s="48"/>
      <c r="L19" s="48"/>
      <c r="M19" s="48"/>
      <c r="N19" s="48"/>
      <c r="O19" s="48"/>
      <c r="P19" s="48"/>
      <c r="Q19" s="51"/>
      <c r="R19" s="63"/>
      <c r="S19" s="48"/>
      <c r="T19" s="48"/>
      <c r="U19" s="48"/>
      <c r="V19" s="48"/>
      <c r="W19" s="48"/>
      <c r="X19" s="48"/>
      <c r="Y19" s="48"/>
      <c r="Z19" s="48"/>
      <c r="AA19" s="48"/>
      <c r="AB19" s="48"/>
      <c r="AC19" s="51"/>
      <c r="AD19" s="263"/>
      <c r="AE19" s="48"/>
      <c r="AF19" s="48"/>
      <c r="AG19" s="48"/>
      <c r="AH19" s="48"/>
      <c r="AI19" s="48"/>
      <c r="AJ19" s="48"/>
      <c r="AK19" s="48"/>
      <c r="AL19" s="48"/>
      <c r="AM19" s="48"/>
      <c r="AN19" s="48"/>
      <c r="AO19" s="51"/>
      <c r="AP19" s="233" t="str">
        <f>IFERROR(IF(SUM(F19:K19)&lt;&gt;0,SUM(F19:K19),""),"")</f>
        <v/>
      </c>
      <c r="AQ19" s="234" t="str">
        <f>IFERROR(IF(SUM(L19:Q19)&lt;&gt;0,SUM(L19:Q19),""),"")</f>
        <v/>
      </c>
      <c r="AR19" s="233" t="str">
        <f>IFERROR(IF(SUM(R19:W19)&lt;&gt;0,SUM(R19:W19),""),"")</f>
        <v/>
      </c>
      <c r="AS19" s="234" t="str">
        <f>IFERROR(IF(SUM(X19:AC19)&lt;&gt;0,SUM(X19:AC19),""),"")</f>
        <v/>
      </c>
      <c r="AT19" s="233" t="str">
        <f>IFERROR(IF(SUM(AD19:AI19)&lt;&gt;0,SUM(AD19:AI19),""),"")</f>
        <v/>
      </c>
      <c r="AU19" s="234" t="str">
        <f>IFERROR(IF(SUM(AJ19:AO19)&lt;&gt;0,SUM(AJ19:AO19),""),"")</f>
        <v/>
      </c>
      <c r="AV19" s="75" t="s">
        <v>234</v>
      </c>
      <c r="AW19" s="76" t="s">
        <v>234</v>
      </c>
      <c r="AX19" s="75" t="s">
        <v>234</v>
      </c>
      <c r="AY19" s="76" t="s">
        <v>234</v>
      </c>
      <c r="AZ19" s="75" t="s">
        <v>234</v>
      </c>
      <c r="BA19" s="76" t="s">
        <v>234</v>
      </c>
      <c r="BB19" s="75" t="s">
        <v>234</v>
      </c>
      <c r="BC19" s="76" t="s">
        <v>234</v>
      </c>
      <c r="BD19" s="75" t="s">
        <v>234</v>
      </c>
      <c r="BE19" s="268" t="s">
        <v>234</v>
      </c>
      <c r="BF19" s="271" t="e">
        <f t="shared" si="16"/>
        <v>#N/A</v>
      </c>
      <c r="BG19" s="271" t="e">
        <f t="shared" si="17"/>
        <v>#N/A</v>
      </c>
      <c r="BH19" s="271" t="e">
        <f t="shared" si="18"/>
        <v>#N/A</v>
      </c>
      <c r="BI19" s="271" t="e">
        <f t="shared" si="19"/>
        <v>#N/A</v>
      </c>
      <c r="BJ19" s="271" t="e">
        <f t="shared" si="20"/>
        <v>#N/A</v>
      </c>
      <c r="BK19" s="271" t="e">
        <f t="shared" si="21"/>
        <v>#N/A</v>
      </c>
      <c r="BL19" s="271" t="e">
        <f t="shared" si="22"/>
        <v>#N/A</v>
      </c>
      <c r="BM19" s="271" t="e">
        <f t="shared" si="23"/>
        <v>#N/A</v>
      </c>
    </row>
    <row r="20" spans="1:65" s="102" customFormat="1" ht="14.25" customHeight="1" outlineLevel="2" x14ac:dyDescent="0.2">
      <c r="A20" s="320" t="s">
        <v>226</v>
      </c>
      <c r="B20" s="347"/>
      <c r="C20" s="350"/>
      <c r="D20" s="344"/>
      <c r="E20" s="279" t="s">
        <v>32</v>
      </c>
      <c r="F20" s="64">
        <v>5.3</v>
      </c>
      <c r="G20" s="65">
        <v>5.3</v>
      </c>
      <c r="H20" s="65">
        <v>5.3</v>
      </c>
      <c r="I20" s="65">
        <v>5.3</v>
      </c>
      <c r="J20" s="65">
        <v>5.3</v>
      </c>
      <c r="K20" s="65">
        <v>5.3</v>
      </c>
      <c r="L20" s="65">
        <v>5.3</v>
      </c>
      <c r="M20" s="65">
        <v>5.3</v>
      </c>
      <c r="N20" s="65">
        <v>5.3</v>
      </c>
      <c r="O20" s="65">
        <v>5.3</v>
      </c>
      <c r="P20" s="65">
        <v>5.3</v>
      </c>
      <c r="Q20" s="66">
        <v>5.3</v>
      </c>
      <c r="R20" s="64">
        <v>5.3</v>
      </c>
      <c r="S20" s="65">
        <v>5.3</v>
      </c>
      <c r="T20" s="65">
        <v>5.3</v>
      </c>
      <c r="U20" s="65">
        <v>5.3</v>
      </c>
      <c r="V20" s="65">
        <v>5.3</v>
      </c>
      <c r="W20" s="65">
        <v>5.3</v>
      </c>
      <c r="X20" s="65">
        <v>5.3</v>
      </c>
      <c r="Y20" s="65">
        <v>5.3</v>
      </c>
      <c r="Z20" s="65">
        <v>5.3</v>
      </c>
      <c r="AA20" s="65">
        <v>5.3</v>
      </c>
      <c r="AB20" s="65">
        <v>5.3</v>
      </c>
      <c r="AC20" s="66">
        <v>5.3</v>
      </c>
      <c r="AD20" s="269">
        <v>5.3</v>
      </c>
      <c r="AE20" s="65">
        <v>5.3</v>
      </c>
      <c r="AF20" s="65">
        <v>5.3</v>
      </c>
      <c r="AG20" s="65">
        <v>5.3</v>
      </c>
      <c r="AH20" s="65">
        <v>5.3</v>
      </c>
      <c r="AI20" s="65">
        <v>5.3</v>
      </c>
      <c r="AJ20" s="65">
        <v>5.3</v>
      </c>
      <c r="AK20" s="65">
        <v>5.3</v>
      </c>
      <c r="AL20" s="65">
        <v>5.3</v>
      </c>
      <c r="AM20" s="65">
        <v>5.3</v>
      </c>
      <c r="AN20" s="65">
        <v>5.3</v>
      </c>
      <c r="AO20" s="66">
        <v>5.3</v>
      </c>
      <c r="AP20" s="32">
        <f>IFERROR(IF(AVERAGE(F20:K20)&lt;&gt;0,AVERAGE(F20:K20),""),"")</f>
        <v>5.3</v>
      </c>
      <c r="AQ20" s="235">
        <f>IFERROR(IF(AVERAGE(L20:Q20)&lt;&gt;0,AVERAGE(L20:Q20),""),"")</f>
        <v>5.3</v>
      </c>
      <c r="AR20" s="32">
        <f>IFERROR(IF(AVERAGE(R20:W20)&lt;&gt;0,AVERAGE(R20:W20),""),"")</f>
        <v>5.3</v>
      </c>
      <c r="AS20" s="235">
        <f>IFERROR(IF(AVERAGE(X20:AC20)&lt;&gt;0,AVERAGE(X20:AC20),""),"")</f>
        <v>5.3</v>
      </c>
      <c r="AT20" s="32">
        <f>IFERROR(IF(AVERAGE(AD20:AI20)&lt;&gt;0,AVERAGE(AD20:AI20),""),"")</f>
        <v>5.3</v>
      </c>
      <c r="AU20" s="235">
        <f>IFERROR(IF(AVERAGE(AJ20:AO20)&lt;&gt;0,AVERAGE(AJ20:AO20),""),"")</f>
        <v>5.3</v>
      </c>
      <c r="AV20" s="77">
        <v>5.3</v>
      </c>
      <c r="AW20" s="65">
        <v>5.3</v>
      </c>
      <c r="AX20" s="77">
        <v>5.3</v>
      </c>
      <c r="AY20" s="65">
        <v>5.3</v>
      </c>
      <c r="AZ20" s="77">
        <v>5.3</v>
      </c>
      <c r="BA20" s="65">
        <v>5.3</v>
      </c>
      <c r="BB20" s="77">
        <v>5.3</v>
      </c>
      <c r="BC20" s="65">
        <v>5.3</v>
      </c>
      <c r="BD20" s="77">
        <v>5.3</v>
      </c>
      <c r="BE20" s="269">
        <v>5.3</v>
      </c>
      <c r="BF20" s="272">
        <f>IFERROR(IF(AVERAGE(AP20:AQ20)&lt;&gt;0,AVERAGE(AP20:AQ20),""),"")</f>
        <v>5.3</v>
      </c>
      <c r="BG20" s="272">
        <f>IFERROR(IF(AVERAGE(AR20:AS20)&lt;&gt;0,AVERAGE(AR20:AS20),""),"")</f>
        <v>5.3</v>
      </c>
      <c r="BH20" s="272">
        <f>IFERROR(IF(AVERAGE(AT20:AU20)&lt;&gt;0,AVERAGE(AT20:AU20),""),"")</f>
        <v>5.3</v>
      </c>
      <c r="BI20" s="272">
        <f>IFERROR(IF(AVERAGE(AV20:AW20)&lt;&gt;0,AVERAGE(AV20:AW20),""),"")</f>
        <v>5.3</v>
      </c>
      <c r="BJ20" s="272">
        <f>IFERROR(IF(AVERAGE(AX20:AY20)&lt;&gt;0,AVERAGE(AX20:AY20),""),"")</f>
        <v>5.3</v>
      </c>
      <c r="BK20" s="272">
        <f>IFERROR(IF(AVERAGE(AZ20:BA20)&lt;&gt;0,AVERAGE(AZ20:BA20),""),"")</f>
        <v>5.3</v>
      </c>
      <c r="BL20" s="272">
        <f>IFERROR(IF(AVERAGE(BB20:BC20)&lt;&gt;0,AVERAGE(BB20:BC20),""),"")</f>
        <v>5.3</v>
      </c>
      <c r="BM20" s="272">
        <f>IFERROR(IF(AVERAGE(BD20:BE20)&lt;&gt;0,AVERAGE(BD20:BE20),""),"")</f>
        <v>5.3</v>
      </c>
    </row>
    <row r="21" spans="1:65" s="102" customFormat="1" ht="15" customHeight="1" outlineLevel="2" thickBot="1" x14ac:dyDescent="0.25">
      <c r="A21" s="320" t="s">
        <v>226</v>
      </c>
      <c r="B21" s="347"/>
      <c r="C21" s="350"/>
      <c r="D21" s="344"/>
      <c r="E21" s="281" t="s">
        <v>2</v>
      </c>
      <c r="F21" s="67">
        <v>0.85</v>
      </c>
      <c r="G21" s="68">
        <v>0.85</v>
      </c>
      <c r="H21" s="68">
        <v>0.85</v>
      </c>
      <c r="I21" s="68">
        <v>0.85</v>
      </c>
      <c r="J21" s="68">
        <v>0.85</v>
      </c>
      <c r="K21" s="68">
        <v>0.85</v>
      </c>
      <c r="L21" s="68">
        <v>0.85</v>
      </c>
      <c r="M21" s="68">
        <v>0.85</v>
      </c>
      <c r="N21" s="68">
        <v>0.85</v>
      </c>
      <c r="O21" s="68">
        <v>0.85</v>
      </c>
      <c r="P21" s="68">
        <v>0.85</v>
      </c>
      <c r="Q21" s="69">
        <v>0.85</v>
      </c>
      <c r="R21" s="67">
        <v>0.85</v>
      </c>
      <c r="S21" s="68">
        <v>0.85</v>
      </c>
      <c r="T21" s="68">
        <v>0.85</v>
      </c>
      <c r="U21" s="68">
        <v>0.85</v>
      </c>
      <c r="V21" s="68">
        <v>0.85</v>
      </c>
      <c r="W21" s="68">
        <v>0.85</v>
      </c>
      <c r="X21" s="68">
        <v>0.85</v>
      </c>
      <c r="Y21" s="68">
        <v>0.85</v>
      </c>
      <c r="Z21" s="68">
        <v>0.85</v>
      </c>
      <c r="AA21" s="68">
        <v>0.85</v>
      </c>
      <c r="AB21" s="68">
        <v>0.85</v>
      </c>
      <c r="AC21" s="69">
        <v>0.85</v>
      </c>
      <c r="AD21" s="270">
        <v>0.85</v>
      </c>
      <c r="AE21" s="68">
        <v>0.85</v>
      </c>
      <c r="AF21" s="68">
        <v>0.85</v>
      </c>
      <c r="AG21" s="68">
        <v>0.85</v>
      </c>
      <c r="AH21" s="68">
        <v>0.85</v>
      </c>
      <c r="AI21" s="68">
        <v>0.85</v>
      </c>
      <c r="AJ21" s="68">
        <v>0.85</v>
      </c>
      <c r="AK21" s="68">
        <v>0.85</v>
      </c>
      <c r="AL21" s="68">
        <v>0.85</v>
      </c>
      <c r="AM21" s="68">
        <v>0.85</v>
      </c>
      <c r="AN21" s="68">
        <v>0.85</v>
      </c>
      <c r="AO21" s="69">
        <v>0.85</v>
      </c>
      <c r="AP21" s="236">
        <f>IFERROR(IF(AVERAGE(F21:K21)&lt;&gt;0,AVERAGE(F21:K21),""),"")</f>
        <v>0.85</v>
      </c>
      <c r="AQ21" s="237">
        <f>IFERROR(IF(AVERAGE(L21:Q21)&lt;&gt;0,AVERAGE(L21:Q21),""),"")</f>
        <v>0.85</v>
      </c>
      <c r="AR21" s="236">
        <f>IFERROR(IF(AVERAGE(R21:W21)&lt;&gt;0,AVERAGE(R21:W21),""),"")</f>
        <v>0.85</v>
      </c>
      <c r="AS21" s="237">
        <f>IFERROR(IF(AVERAGE(X21:AC21)&lt;&gt;0,AVERAGE(X21:AC21),""),"")</f>
        <v>0.85</v>
      </c>
      <c r="AT21" s="236">
        <f>IFERROR(IF(AVERAGE(AD21:AI21)&lt;&gt;0,AVERAGE(AD21:AI21),""),"")</f>
        <v>0.85</v>
      </c>
      <c r="AU21" s="237">
        <f>IFERROR(IF(AVERAGE(AJ21:AO21)&lt;&gt;0,AVERAGE(AJ21:AO21),""),"")</f>
        <v>0.85</v>
      </c>
      <c r="AV21" s="78">
        <v>0.85</v>
      </c>
      <c r="AW21" s="68">
        <v>0.85</v>
      </c>
      <c r="AX21" s="78">
        <v>0.85</v>
      </c>
      <c r="AY21" s="68">
        <v>0.85</v>
      </c>
      <c r="AZ21" s="78">
        <v>0.85</v>
      </c>
      <c r="BA21" s="68">
        <v>0.85</v>
      </c>
      <c r="BB21" s="78">
        <v>0.85</v>
      </c>
      <c r="BC21" s="68">
        <v>0.85</v>
      </c>
      <c r="BD21" s="78">
        <v>0.85</v>
      </c>
      <c r="BE21" s="270">
        <v>0.85</v>
      </c>
      <c r="BF21" s="288">
        <f>IFERROR(IF(AVERAGE(AP21:AQ21)&lt;&gt;0,AVERAGE(AP21:AQ21),""),"")</f>
        <v>0.85</v>
      </c>
      <c r="BG21" s="288">
        <f>IFERROR(IF(AVERAGE(AR21:AS21)&lt;&gt;0,AVERAGE(AR21:AS21),""),"")</f>
        <v>0.85</v>
      </c>
      <c r="BH21" s="288">
        <f>IFERROR(IF(AVERAGE(AT21:AU21)&lt;&gt;0,AVERAGE(AT21:AU21),""),"")</f>
        <v>0.85</v>
      </c>
      <c r="BI21" s="288">
        <f>IFERROR(IF(AVERAGE(AV21:AW21)&lt;&gt;0,AVERAGE(AV21:AW21),""),"")</f>
        <v>0.85</v>
      </c>
      <c r="BJ21" s="288">
        <f>IFERROR(IF(AVERAGE(AX21:AY21)&lt;&gt;0,AVERAGE(AX21:AY21),""),"")</f>
        <v>0.85</v>
      </c>
      <c r="BK21" s="288">
        <f>IFERROR(IF(AVERAGE(AZ21:BA21)&lt;&gt;0,AVERAGE(AZ21:BA21),""),"")</f>
        <v>0.85</v>
      </c>
      <c r="BL21" s="288">
        <f>IFERROR(IF(AVERAGE(BB21:BC21)&lt;&gt;0,AVERAGE(BB21:BC21),""),"")</f>
        <v>0.85</v>
      </c>
      <c r="BM21" s="288">
        <f>IFERROR(IF(AVERAGE(BD21:BE21)&lt;&gt;0,AVERAGE(BD21:BE21),""),"")</f>
        <v>0.85</v>
      </c>
    </row>
    <row r="22" spans="1:65" s="102" customFormat="1" ht="14.25" customHeight="1" outlineLevel="1" x14ac:dyDescent="0.2">
      <c r="A22" s="320" t="s">
        <v>226</v>
      </c>
      <c r="B22" s="347"/>
      <c r="C22" s="350"/>
      <c r="D22" s="344"/>
      <c r="E22" s="282" t="s">
        <v>228</v>
      </c>
      <c r="F22" s="283">
        <f ca="1">IF(IFERROR((F$11*(F14-SUM(F16:F19)/F$11)*F21*3600)/(F20),"")&gt;0,IFERROR((F$11*(F14-SUM(F16:F19)/F$11)*F21*3600)/(F20),""),"")</f>
        <v>342950.94339622644</v>
      </c>
      <c r="G22" s="284">
        <f t="shared" ref="G22:AO22" ca="1" si="24">IF(IFERROR((G$11*(G14-SUM(G16:G19)/G$11)*G21*3600)/(G20),"")&gt;0,IFERROR((G$11*(G14-SUM(G16:G19)/G$11)*G21*3600)/(G20),""),"")</f>
        <v>304845.28301886795</v>
      </c>
      <c r="H22" s="284">
        <f t="shared" ca="1" si="24"/>
        <v>330249.05660377361</v>
      </c>
      <c r="I22" s="284">
        <f t="shared" ca="1" si="24"/>
        <v>330249.05660377361</v>
      </c>
      <c r="J22" s="284">
        <f t="shared" ca="1" si="24"/>
        <v>342950.94339622644</v>
      </c>
      <c r="K22" s="284">
        <f t="shared" ca="1" si="24"/>
        <v>317547.16981132078</v>
      </c>
      <c r="L22" s="284">
        <f t="shared" ca="1" si="24"/>
        <v>342950.94339622644</v>
      </c>
      <c r="M22" s="284">
        <f t="shared" ca="1" si="24"/>
        <v>330249.05660377361</v>
      </c>
      <c r="N22" s="284">
        <f t="shared" ca="1" si="24"/>
        <v>330249.05660377361</v>
      </c>
      <c r="O22" s="284">
        <f t="shared" ca="1" si="24"/>
        <v>342950.94339622644</v>
      </c>
      <c r="P22" s="284">
        <f t="shared" ca="1" si="24"/>
        <v>317547.16981132078</v>
      </c>
      <c r="Q22" s="284">
        <f t="shared" ca="1" si="24"/>
        <v>342950.94339622644</v>
      </c>
      <c r="R22" s="283">
        <f t="shared" ca="1" si="24"/>
        <v>342950.94339622644</v>
      </c>
      <c r="S22" s="284">
        <f t="shared" ca="1" si="24"/>
        <v>304845.28301886795</v>
      </c>
      <c r="T22" s="284">
        <f t="shared" ca="1" si="24"/>
        <v>330249.05660377361</v>
      </c>
      <c r="U22" s="284">
        <f t="shared" ca="1" si="24"/>
        <v>330249.05660377361</v>
      </c>
      <c r="V22" s="284">
        <f t="shared" ca="1" si="24"/>
        <v>330249.05660377361</v>
      </c>
      <c r="W22" s="284">
        <f t="shared" ca="1" si="24"/>
        <v>330249.05660377361</v>
      </c>
      <c r="X22" s="284">
        <f t="shared" ca="1" si="24"/>
        <v>342950.94339622644</v>
      </c>
      <c r="Y22" s="284">
        <f t="shared" ca="1" si="24"/>
        <v>330249.05660377361</v>
      </c>
      <c r="Z22" s="284">
        <f t="shared" ca="1" si="24"/>
        <v>330249.05660377361</v>
      </c>
      <c r="AA22" s="284">
        <f t="shared" ca="1" si="24"/>
        <v>342950.94339622644</v>
      </c>
      <c r="AB22" s="284">
        <f t="shared" ca="1" si="24"/>
        <v>317547.16981132078</v>
      </c>
      <c r="AC22" s="284">
        <f t="shared" ca="1" si="24"/>
        <v>342950.94339622644</v>
      </c>
      <c r="AD22" s="283">
        <f t="shared" ca="1" si="24"/>
        <v>330249.05660377361</v>
      </c>
      <c r="AE22" s="284">
        <f t="shared" ca="1" si="24"/>
        <v>304845.28301886795</v>
      </c>
      <c r="AF22" s="284">
        <f t="shared" ca="1" si="24"/>
        <v>342950.94339622644</v>
      </c>
      <c r="AG22" s="284">
        <f t="shared" ca="1" si="24"/>
        <v>330249.05660377361</v>
      </c>
      <c r="AH22" s="284">
        <f t="shared" ca="1" si="24"/>
        <v>330249.05660377361</v>
      </c>
      <c r="AI22" s="284">
        <f t="shared" ca="1" si="24"/>
        <v>330249.05660377361</v>
      </c>
      <c r="AJ22" s="284">
        <f t="shared" ca="1" si="24"/>
        <v>342950.94339622644</v>
      </c>
      <c r="AK22" s="284">
        <f t="shared" ca="1" si="24"/>
        <v>330249.05660377361</v>
      </c>
      <c r="AL22" s="284">
        <f t="shared" ca="1" si="24"/>
        <v>330249.05660377361</v>
      </c>
      <c r="AM22" s="284">
        <f t="shared" ca="1" si="24"/>
        <v>330249.05660377361</v>
      </c>
      <c r="AN22" s="284">
        <f t="shared" ca="1" si="24"/>
        <v>330249.05660377361</v>
      </c>
      <c r="AO22" s="284">
        <f t="shared" ca="1" si="24"/>
        <v>342950.94339622644</v>
      </c>
      <c r="AP22" s="283">
        <f t="shared" ref="AP22:AP23" ca="1" si="25">IF(SUM(F22:K22)&lt;&gt;0,SUM(F22:K22),#N/A)</f>
        <v>1968792.4528301889</v>
      </c>
      <c r="AQ22" s="284">
        <f t="shared" ref="AQ22:AQ23" ca="1" si="26">IF(SUM(L22:Q22)&lt;&gt;0,SUM(L22:Q22),#N/A)</f>
        <v>2006898.1132075472</v>
      </c>
      <c r="AR22" s="283">
        <f t="shared" ref="AR22:AR23" ca="1" si="27">IF(SUM(R22:W22)&lt;&gt;0,SUM(R22:W22),#N/A)</f>
        <v>1968792.4528301889</v>
      </c>
      <c r="AS22" s="284">
        <f t="shared" ref="AS22:AS23" ca="1" si="28">IF(SUM(X22:AC22)&lt;&gt;0,SUM(X22:AC22),#N/A)</f>
        <v>2006898.1132075472</v>
      </c>
      <c r="AT22" s="283">
        <f t="shared" ref="AT22:AT23" ca="1" si="29">IF(SUM(AD22:AI22)&lt;&gt;0,SUM(AD22:AI22),#N/A)</f>
        <v>1968792.4528301884</v>
      </c>
      <c r="AU22" s="284">
        <f t="shared" ref="AU22:AU23" ca="1" si="30">IF(SUM(AJ22:AO22)&lt;&gt;0,SUM(AJ22:AO22),#N/A)</f>
        <v>2006898.1132075475</v>
      </c>
      <c r="AV22" s="283">
        <f ca="1">IF(IFERROR((AV$11*(AV14-SUM(AV16:AV19)/AV$11)*AV21*3600)/(AV20),"")&lt;&gt;0,IFERROR((AV$11*(AV14-SUM(AV16:AV19)/AV$11)*AV21*3600)/(AV20),""),"")</f>
        <v>1981494.3396226417</v>
      </c>
      <c r="AW22" s="284">
        <f t="shared" ref="AW22:BE22" ca="1" si="31">IF(IFERROR((AW$11*(AW14-SUM(AW16:AW19)/AW$11)*AW21*3600)/(AW20),"")&lt;&gt;0,IFERROR((AW$11*(AW14-SUM(AW16:AW19)/AW$11)*AW21*3600)/(AW20),""),"")</f>
        <v>1994196.2264150945</v>
      </c>
      <c r="AX22" s="283">
        <f t="shared" ca="1" si="31"/>
        <v>1981494.3396226417</v>
      </c>
      <c r="AY22" s="284">
        <f t="shared" ca="1" si="31"/>
        <v>2006898.1132075472</v>
      </c>
      <c r="AZ22" s="283">
        <f t="shared" ca="1" si="31"/>
        <v>1968792.4528301887</v>
      </c>
      <c r="BA22" s="284">
        <f t="shared" ca="1" si="31"/>
        <v>2006898.1132075472</v>
      </c>
      <c r="BB22" s="283">
        <f t="shared" ca="1" si="31"/>
        <v>1968792.4528301887</v>
      </c>
      <c r="BC22" s="284">
        <f t="shared" ca="1" si="31"/>
        <v>2006898.1132075472</v>
      </c>
      <c r="BD22" s="283">
        <f t="shared" ca="1" si="31"/>
        <v>1981494.3396226417</v>
      </c>
      <c r="BE22" s="285">
        <f t="shared" ca="1" si="31"/>
        <v>2006898.1132075472</v>
      </c>
      <c r="BF22" s="285">
        <f t="shared" ref="BF22:BF24" ca="1" si="32">IF(SUM(AP22,AQ22)&lt;&gt;0,SUM(AP22,AQ22),#N/A)</f>
        <v>3975690.5660377359</v>
      </c>
      <c r="BG22" s="285">
        <f t="shared" ref="BG22:BG24" ca="1" si="33">IF(SUM(AR22,AS22)&lt;&gt;0,SUM(AR22,AS22),#N/A)</f>
        <v>3975690.5660377359</v>
      </c>
      <c r="BH22" s="285">
        <f t="shared" ref="BH22:BH24" ca="1" si="34">IF(SUM(AT22,AU22)&lt;&gt;0,SUM(AT22,AU22),#N/A)</f>
        <v>3975690.5660377359</v>
      </c>
      <c r="BI22" s="285">
        <f t="shared" ref="BI22:BI24" ca="1" si="35">IF(SUM(AV22,AW22)&lt;&gt;0,SUM(AV22,AW22),#N/A)</f>
        <v>3975690.5660377359</v>
      </c>
      <c r="BJ22" s="285">
        <f t="shared" ref="BJ22:BJ24" ca="1" si="36">IF(SUM(AX22,AY22)&lt;&gt;0,SUM(AX22,AY22),#N/A)</f>
        <v>3988392.4528301889</v>
      </c>
      <c r="BK22" s="285">
        <f t="shared" ref="BK22:BK24" ca="1" si="37">IF(SUM(AZ22,BA22)&lt;&gt;0,SUM(AZ22,BA22),#N/A)</f>
        <v>3975690.5660377359</v>
      </c>
      <c r="BL22" s="285">
        <f t="shared" ref="BL22:BL24" ca="1" si="38">IF(SUM(BB22,BC22)&lt;&gt;0,SUM(BB22,BC22),#N/A)</f>
        <v>3975690.5660377359</v>
      </c>
      <c r="BM22" s="285">
        <f t="shared" ref="BM22:BM24" ca="1" si="39">IF(SUM(BD22,BE22)&lt;&gt;0,SUM(BD22,BE22),#N/A)</f>
        <v>3988392.4528301889</v>
      </c>
    </row>
    <row r="23" spans="1:65" s="102" customFormat="1" ht="15" customHeight="1" outlineLevel="1" thickBot="1" x14ac:dyDescent="0.25">
      <c r="A23" s="320" t="s">
        <v>226</v>
      </c>
      <c r="B23" s="348"/>
      <c r="C23" s="351"/>
      <c r="D23" s="345"/>
      <c r="E23" s="104" t="s">
        <v>225</v>
      </c>
      <c r="F23" s="317">
        <f ca="1">IFERROR(F22+((F13*F15*F21*3600)/(F20)),"")</f>
        <v>393758.49056603777</v>
      </c>
      <c r="G23" s="318">
        <f t="shared" ref="G23:AO23" ca="1" si="40">IFERROR(G22+((G13*G15*G21*3600)/(G20)),"")</f>
        <v>355652.83018867928</v>
      </c>
      <c r="H23" s="318">
        <f t="shared" ca="1" si="40"/>
        <v>393758.49056603777</v>
      </c>
      <c r="I23" s="318">
        <f t="shared" ca="1" si="40"/>
        <v>381056.60377358494</v>
      </c>
      <c r="J23" s="318">
        <f t="shared" ca="1" si="40"/>
        <v>393758.49056603777</v>
      </c>
      <c r="K23" s="318">
        <f t="shared" ca="1" si="40"/>
        <v>381056.60377358494</v>
      </c>
      <c r="L23" s="318">
        <f t="shared" ca="1" si="40"/>
        <v>393758.49056603777</v>
      </c>
      <c r="M23" s="318">
        <f t="shared" ca="1" si="40"/>
        <v>393758.49056603777</v>
      </c>
      <c r="N23" s="318">
        <f t="shared" ca="1" si="40"/>
        <v>381056.60377358494</v>
      </c>
      <c r="O23" s="318">
        <f t="shared" ca="1" si="40"/>
        <v>393758.49056603777</v>
      </c>
      <c r="P23" s="318">
        <f t="shared" ca="1" si="40"/>
        <v>381056.60377358494</v>
      </c>
      <c r="Q23" s="318">
        <f t="shared" ca="1" si="40"/>
        <v>393758.49056603777</v>
      </c>
      <c r="R23" s="317">
        <f t="shared" ca="1" si="40"/>
        <v>393758.49056603777</v>
      </c>
      <c r="S23" s="318">
        <f t="shared" ca="1" si="40"/>
        <v>355652.83018867928</v>
      </c>
      <c r="T23" s="318">
        <f t="shared" ca="1" si="40"/>
        <v>393758.49056603777</v>
      </c>
      <c r="U23" s="318">
        <f t="shared" ca="1" si="40"/>
        <v>381056.60377358494</v>
      </c>
      <c r="V23" s="318">
        <f t="shared" ca="1" si="40"/>
        <v>393758.49056603777</v>
      </c>
      <c r="W23" s="318">
        <f t="shared" ca="1" si="40"/>
        <v>381056.60377358494</v>
      </c>
      <c r="X23" s="318">
        <f t="shared" ca="1" si="40"/>
        <v>393758.49056603777</v>
      </c>
      <c r="Y23" s="318">
        <f t="shared" ca="1" si="40"/>
        <v>393758.49056603777</v>
      </c>
      <c r="Z23" s="318">
        <f t="shared" ca="1" si="40"/>
        <v>381056.60377358494</v>
      </c>
      <c r="AA23" s="318">
        <f t="shared" ca="1" si="40"/>
        <v>393758.49056603777</v>
      </c>
      <c r="AB23" s="318">
        <f t="shared" ca="1" si="40"/>
        <v>381056.60377358494</v>
      </c>
      <c r="AC23" s="318">
        <f t="shared" ca="1" si="40"/>
        <v>393758.49056603777</v>
      </c>
      <c r="AD23" s="317">
        <f t="shared" ca="1" si="40"/>
        <v>393758.49056603777</v>
      </c>
      <c r="AE23" s="318">
        <f t="shared" ca="1" si="40"/>
        <v>355652.83018867928</v>
      </c>
      <c r="AF23" s="318">
        <f t="shared" ca="1" si="40"/>
        <v>393758.49056603777</v>
      </c>
      <c r="AG23" s="318">
        <f t="shared" ca="1" si="40"/>
        <v>381056.60377358494</v>
      </c>
      <c r="AH23" s="318">
        <f t="shared" ca="1" si="40"/>
        <v>393758.49056603777</v>
      </c>
      <c r="AI23" s="318">
        <f t="shared" ca="1" si="40"/>
        <v>381056.60377358494</v>
      </c>
      <c r="AJ23" s="318">
        <f t="shared" ca="1" si="40"/>
        <v>393758.49056603777</v>
      </c>
      <c r="AK23" s="318">
        <f t="shared" ca="1" si="40"/>
        <v>393758.49056603777</v>
      </c>
      <c r="AL23" s="318">
        <f t="shared" ca="1" si="40"/>
        <v>381056.60377358494</v>
      </c>
      <c r="AM23" s="318">
        <f t="shared" ca="1" si="40"/>
        <v>393758.49056603777</v>
      </c>
      <c r="AN23" s="318">
        <f t="shared" ca="1" si="40"/>
        <v>381056.60377358494</v>
      </c>
      <c r="AO23" s="318">
        <f t="shared" ca="1" si="40"/>
        <v>393758.49056603777</v>
      </c>
      <c r="AP23" s="317">
        <f t="shared" ca="1" si="25"/>
        <v>2299041.5094339624</v>
      </c>
      <c r="AQ23" s="318">
        <f t="shared" ca="1" si="26"/>
        <v>2337147.169811321</v>
      </c>
      <c r="AR23" s="317">
        <f t="shared" ca="1" si="27"/>
        <v>2299041.5094339624</v>
      </c>
      <c r="AS23" s="318">
        <f t="shared" ca="1" si="28"/>
        <v>2337147.169811321</v>
      </c>
      <c r="AT23" s="317">
        <f t="shared" ca="1" si="29"/>
        <v>2299041.5094339624</v>
      </c>
      <c r="AU23" s="318">
        <f t="shared" ca="1" si="30"/>
        <v>2337147.169811321</v>
      </c>
      <c r="AV23" s="317">
        <f t="shared" ref="AV23:BE23" ca="1" si="41">IFERROR(AV22+((AV13*AV15*AV21*3600)/(AV20)),"")</f>
        <v>2311743.3962264154</v>
      </c>
      <c r="AW23" s="318">
        <f t="shared" ca="1" si="41"/>
        <v>2337147.169811321</v>
      </c>
      <c r="AX23" s="317">
        <f t="shared" ca="1" si="41"/>
        <v>2299041.5094339624</v>
      </c>
      <c r="AY23" s="318">
        <f t="shared" ca="1" si="41"/>
        <v>2337147.169811321</v>
      </c>
      <c r="AZ23" s="317">
        <f t="shared" ca="1" si="41"/>
        <v>2299041.5094339624</v>
      </c>
      <c r="BA23" s="318">
        <f t="shared" ca="1" si="41"/>
        <v>2337147.169811321</v>
      </c>
      <c r="BB23" s="317">
        <f t="shared" ca="1" si="41"/>
        <v>2299041.5094339624</v>
      </c>
      <c r="BC23" s="318">
        <f t="shared" ca="1" si="41"/>
        <v>2337147.169811321</v>
      </c>
      <c r="BD23" s="317">
        <f t="shared" ca="1" si="41"/>
        <v>2311743.3962264154</v>
      </c>
      <c r="BE23" s="291">
        <f t="shared" ca="1" si="41"/>
        <v>2337147.169811321</v>
      </c>
      <c r="BF23" s="291">
        <f t="shared" ca="1" si="32"/>
        <v>4636188.6792452838</v>
      </c>
      <c r="BG23" s="291">
        <f t="shared" ca="1" si="33"/>
        <v>4636188.6792452838</v>
      </c>
      <c r="BH23" s="291">
        <f t="shared" ca="1" si="34"/>
        <v>4636188.6792452838</v>
      </c>
      <c r="BI23" s="291">
        <f t="shared" ca="1" si="35"/>
        <v>4648890.5660377368</v>
      </c>
      <c r="BJ23" s="291">
        <f t="shared" ca="1" si="36"/>
        <v>4636188.6792452838</v>
      </c>
      <c r="BK23" s="291">
        <f t="shared" ca="1" si="37"/>
        <v>4636188.6792452838</v>
      </c>
      <c r="BL23" s="291">
        <f t="shared" ca="1" si="38"/>
        <v>4636188.6792452838</v>
      </c>
      <c r="BM23" s="291">
        <f t="shared" ca="1" si="39"/>
        <v>4648890.5660377368</v>
      </c>
    </row>
    <row r="24" spans="1:65" s="102" customFormat="1" ht="22.5" outlineLevel="2" x14ac:dyDescent="0.2">
      <c r="A24" s="320" t="s">
        <v>226</v>
      </c>
      <c r="B24" s="346"/>
      <c r="C24" s="349" t="str">
        <f>IF(AND($B24&lt;&gt;0,$C$9&lt;&gt;0),$C$9,"")</f>
        <v/>
      </c>
      <c r="D24" s="343"/>
      <c r="E24" s="277" t="s">
        <v>40</v>
      </c>
      <c r="F24" s="33">
        <f t="shared" ref="F24:AO24" ca="1" si="42">IF(F$11-(SUM(F28:F31)/24)=0,"",F$11-(SUM(F28:F31)/24))</f>
        <v>27</v>
      </c>
      <c r="G24" s="34">
        <f t="shared" ca="1" si="42"/>
        <v>24</v>
      </c>
      <c r="H24" s="34">
        <f t="shared" ca="1" si="42"/>
        <v>26</v>
      </c>
      <c r="I24" s="34">
        <f t="shared" ca="1" si="42"/>
        <v>26</v>
      </c>
      <c r="J24" s="34">
        <f t="shared" ca="1" si="42"/>
        <v>27</v>
      </c>
      <c r="K24" s="34">
        <f t="shared" ca="1" si="42"/>
        <v>25</v>
      </c>
      <c r="L24" s="34">
        <f t="shared" ca="1" si="42"/>
        <v>27</v>
      </c>
      <c r="M24" s="34">
        <f t="shared" ca="1" si="42"/>
        <v>26</v>
      </c>
      <c r="N24" s="34">
        <f t="shared" ca="1" si="42"/>
        <v>26</v>
      </c>
      <c r="O24" s="34">
        <f t="shared" ca="1" si="42"/>
        <v>27</v>
      </c>
      <c r="P24" s="34">
        <f t="shared" ca="1" si="42"/>
        <v>25</v>
      </c>
      <c r="Q24" s="34">
        <f t="shared" ca="1" si="42"/>
        <v>27</v>
      </c>
      <c r="R24" s="32">
        <f t="shared" ca="1" si="42"/>
        <v>27</v>
      </c>
      <c r="S24" s="29">
        <f t="shared" ca="1" si="42"/>
        <v>24</v>
      </c>
      <c r="T24" s="29">
        <f t="shared" ca="1" si="42"/>
        <v>26</v>
      </c>
      <c r="U24" s="29">
        <f t="shared" ca="1" si="42"/>
        <v>26</v>
      </c>
      <c r="V24" s="29">
        <f t="shared" ca="1" si="42"/>
        <v>26</v>
      </c>
      <c r="W24" s="29">
        <f t="shared" ca="1" si="42"/>
        <v>26</v>
      </c>
      <c r="X24" s="29">
        <f t="shared" ca="1" si="42"/>
        <v>27</v>
      </c>
      <c r="Y24" s="29">
        <f t="shared" ca="1" si="42"/>
        <v>26</v>
      </c>
      <c r="Z24" s="29">
        <f t="shared" ca="1" si="42"/>
        <v>26</v>
      </c>
      <c r="AA24" s="29">
        <f t="shared" ca="1" si="42"/>
        <v>27</v>
      </c>
      <c r="AB24" s="29">
        <f t="shared" ca="1" si="42"/>
        <v>25</v>
      </c>
      <c r="AC24" s="29">
        <f t="shared" ca="1" si="42"/>
        <v>27</v>
      </c>
      <c r="AD24" s="32">
        <f t="shared" ca="1" si="42"/>
        <v>26</v>
      </c>
      <c r="AE24" s="29">
        <f t="shared" ca="1" si="42"/>
        <v>24</v>
      </c>
      <c r="AF24" s="29">
        <f t="shared" ca="1" si="42"/>
        <v>27</v>
      </c>
      <c r="AG24" s="29">
        <f t="shared" ca="1" si="42"/>
        <v>26</v>
      </c>
      <c r="AH24" s="29">
        <f t="shared" ca="1" si="42"/>
        <v>26</v>
      </c>
      <c r="AI24" s="29">
        <f t="shared" ca="1" si="42"/>
        <v>26</v>
      </c>
      <c r="AJ24" s="29">
        <f t="shared" ca="1" si="42"/>
        <v>27</v>
      </c>
      <c r="AK24" s="29">
        <f t="shared" ca="1" si="42"/>
        <v>26</v>
      </c>
      <c r="AL24" s="29">
        <f t="shared" ca="1" si="42"/>
        <v>26</v>
      </c>
      <c r="AM24" s="29">
        <f t="shared" ca="1" si="42"/>
        <v>26</v>
      </c>
      <c r="AN24" s="29">
        <f t="shared" ca="1" si="42"/>
        <v>26</v>
      </c>
      <c r="AO24" s="29">
        <f t="shared" ca="1" si="42"/>
        <v>27</v>
      </c>
      <c r="AP24" s="32">
        <f ca="1">IF(SUM(F24:K24)&lt;&gt;0,SUM(F24:K24),"")</f>
        <v>155</v>
      </c>
      <c r="AQ24" s="29">
        <f ca="1">IF(SUM(L24:Q24)&lt;&gt;0,SUM(L24:Q24),"")</f>
        <v>158</v>
      </c>
      <c r="AR24" s="32">
        <f ca="1">IF(SUM(R24:W24)&lt;&gt;0,SUM(R24:W24),"")</f>
        <v>155</v>
      </c>
      <c r="AS24" s="29">
        <f ca="1">IF(SUM(X24:AC24)&lt;&gt;0,SUM(X24:AC24),"")</f>
        <v>158</v>
      </c>
      <c r="AT24" s="32">
        <f ca="1">IF(SUM(AD24:AI24)&lt;&gt;0,SUM(AD24:AI24),"")</f>
        <v>155</v>
      </c>
      <c r="AU24" s="296">
        <f ca="1">SUM(AJ24:AO24)</f>
        <v>158</v>
      </c>
      <c r="AV24" s="32">
        <f t="shared" ref="AV24:BE24" ca="1" si="43">IF(AV$11-(SUM(AV28:AV31)/24)=0,"",AV$11-(SUM(AV28:AV31)/24))</f>
        <v>156</v>
      </c>
      <c r="AW24" s="29">
        <f t="shared" ca="1" si="43"/>
        <v>157</v>
      </c>
      <c r="AX24" s="32">
        <f t="shared" ca="1" si="43"/>
        <v>156</v>
      </c>
      <c r="AY24" s="29">
        <f t="shared" ca="1" si="43"/>
        <v>158</v>
      </c>
      <c r="AZ24" s="32">
        <f t="shared" ca="1" si="43"/>
        <v>155</v>
      </c>
      <c r="BA24" s="29">
        <f t="shared" ca="1" si="43"/>
        <v>158</v>
      </c>
      <c r="BB24" s="32">
        <f t="shared" ca="1" si="43"/>
        <v>155</v>
      </c>
      <c r="BC24" s="29">
        <f t="shared" ca="1" si="43"/>
        <v>158</v>
      </c>
      <c r="BD24" s="32">
        <f t="shared" ca="1" si="43"/>
        <v>156</v>
      </c>
      <c r="BE24" s="262">
        <f t="shared" ca="1" si="43"/>
        <v>158</v>
      </c>
      <c r="BF24" s="286">
        <f t="shared" ca="1" si="32"/>
        <v>313</v>
      </c>
      <c r="BG24" s="286">
        <f t="shared" ca="1" si="33"/>
        <v>313</v>
      </c>
      <c r="BH24" s="286">
        <f t="shared" ca="1" si="34"/>
        <v>313</v>
      </c>
      <c r="BI24" s="286">
        <f t="shared" ca="1" si="35"/>
        <v>313</v>
      </c>
      <c r="BJ24" s="286">
        <f t="shared" ca="1" si="36"/>
        <v>314</v>
      </c>
      <c r="BK24" s="286">
        <f t="shared" ca="1" si="37"/>
        <v>313</v>
      </c>
      <c r="BL24" s="286">
        <f t="shared" ca="1" si="38"/>
        <v>313</v>
      </c>
      <c r="BM24" s="286">
        <f t="shared" ca="1" si="39"/>
        <v>314</v>
      </c>
    </row>
    <row r="25" spans="1:65" s="102" customFormat="1" ht="15" customHeight="1" outlineLevel="2" thickBot="1" x14ac:dyDescent="0.25">
      <c r="A25" s="320" t="s">
        <v>226</v>
      </c>
      <c r="B25" s="347"/>
      <c r="C25" s="350"/>
      <c r="D25" s="344"/>
      <c r="E25" s="278" t="s">
        <v>29</v>
      </c>
      <c r="F25" s="47"/>
      <c r="G25" s="48"/>
      <c r="H25" s="48"/>
      <c r="I25" s="48"/>
      <c r="J25" s="48"/>
      <c r="K25" s="48"/>
      <c r="L25" s="48"/>
      <c r="M25" s="48"/>
      <c r="N25" s="48"/>
      <c r="O25" s="48"/>
      <c r="P25" s="48"/>
      <c r="Q25" s="51"/>
      <c r="R25" s="47"/>
      <c r="S25" s="48"/>
      <c r="T25" s="48"/>
      <c r="U25" s="48"/>
      <c r="V25" s="48"/>
      <c r="W25" s="48"/>
      <c r="X25" s="48"/>
      <c r="Y25" s="48"/>
      <c r="Z25" s="48"/>
      <c r="AA25" s="48"/>
      <c r="AB25" s="48"/>
      <c r="AC25" s="51"/>
      <c r="AD25" s="47"/>
      <c r="AE25" s="48"/>
      <c r="AF25" s="48"/>
      <c r="AG25" s="48"/>
      <c r="AH25" s="48"/>
      <c r="AI25" s="48"/>
      <c r="AJ25" s="48"/>
      <c r="AK25" s="48"/>
      <c r="AL25" s="48"/>
      <c r="AM25" s="48"/>
      <c r="AN25" s="48"/>
      <c r="AO25" s="51"/>
      <c r="AP25" s="294" t="str">
        <f>IFERROR(IF(SUM(F25:K25)&lt;&gt;0,SUM(F25:K25),""),"")</f>
        <v/>
      </c>
      <c r="AQ25" s="295" t="str">
        <f>IFERROR(IF(SUM(L25:Q25)&lt;&gt;0,SUM(L25:Q25),""),"")</f>
        <v/>
      </c>
      <c r="AR25" s="294" t="str">
        <f>IFERROR(IF(SUM(R25:W25)&lt;&gt;0,SUM(R25:W25),""),"")</f>
        <v/>
      </c>
      <c r="AS25" s="295" t="str">
        <f>IFERROR(IF(SUM(X25:AC25)&lt;&gt;0,SUM(X25:AC25),""),"")</f>
        <v/>
      </c>
      <c r="AT25" s="294" t="str">
        <f>IFERROR(IF(SUM(AD25:AI25)&lt;&gt;0,SUM(AD25:AI25),""),"")</f>
        <v/>
      </c>
      <c r="AU25" s="295" t="str">
        <f>IFERROR(IF(SUM(AJ25:AO25)&lt;&gt;0,SUM(AJ25:AO25),""),"")</f>
        <v/>
      </c>
      <c r="AV25" s="47"/>
      <c r="AW25" s="51"/>
      <c r="AX25" s="47"/>
      <c r="AY25" s="51"/>
      <c r="AZ25" s="47"/>
      <c r="BA25" s="51"/>
      <c r="BB25" s="47"/>
      <c r="BC25" s="51"/>
      <c r="BD25" s="47"/>
      <c r="BE25" s="263"/>
      <c r="BF25" s="271" t="str">
        <f>IFERROR(IF(AVERAGE(AP25:AQ25)&lt;&gt;0,AVERAGE(AP25:AQ25),""),"")</f>
        <v/>
      </c>
      <c r="BG25" s="271" t="str">
        <f>IFERROR(IF(AVERAGE(AR25:AS25)&lt;&gt;0,AVERAGE(AR25:AS25),""),"")</f>
        <v/>
      </c>
      <c r="BH25" s="271" t="str">
        <f>IFERROR(IF(AVERAGE(AT25:AU25)&lt;&gt;0,AVERAGE(AT25:AU25),""),"")</f>
        <v/>
      </c>
      <c r="BI25" s="271" t="str">
        <f>IFERROR(IF(AVERAGE(AV25:AW25)&lt;&gt;0,AVERAGE(AV25:AW25),""),"")</f>
        <v/>
      </c>
      <c r="BJ25" s="271" t="str">
        <f>IFERROR(IF(AVERAGE(AX25:AY25)&lt;&gt;0,AVERAGE(AX25:AY25),""),"")</f>
        <v/>
      </c>
      <c r="BK25" s="271" t="str">
        <f>IFERROR(IF(AVERAGE(AZ25:BA25)&lt;&gt;0,AVERAGE(AZ25:BA25),""),"")</f>
        <v/>
      </c>
      <c r="BL25" s="271" t="str">
        <f>IFERROR(IF(AVERAGE(BB25:BC25)&lt;&gt;0,AVERAGE(BB25:BC25),""),"")</f>
        <v/>
      </c>
      <c r="BM25" s="271" t="str">
        <f>IFERROR(IF(AVERAGE(BD25:BE25)&lt;&gt;0,AVERAGE(BD25:BE25),""),"")</f>
        <v/>
      </c>
    </row>
    <row r="26" spans="1:65" s="102" customFormat="1" ht="14.25" customHeight="1" outlineLevel="2" x14ac:dyDescent="0.2">
      <c r="A26" s="320" t="s">
        <v>226</v>
      </c>
      <c r="B26" s="347"/>
      <c r="C26" s="350"/>
      <c r="D26" s="344"/>
      <c r="E26" s="279" t="s">
        <v>28</v>
      </c>
      <c r="F26" s="52"/>
      <c r="G26" s="53"/>
      <c r="H26" s="53"/>
      <c r="I26" s="53"/>
      <c r="J26" s="53"/>
      <c r="K26" s="53"/>
      <c r="L26" s="53"/>
      <c r="M26" s="53"/>
      <c r="N26" s="53"/>
      <c r="O26" s="53"/>
      <c r="P26" s="53"/>
      <c r="Q26" s="54"/>
      <c r="R26" s="52"/>
      <c r="S26" s="53"/>
      <c r="T26" s="53"/>
      <c r="U26" s="53"/>
      <c r="V26" s="53"/>
      <c r="W26" s="53"/>
      <c r="X26" s="53"/>
      <c r="Y26" s="53"/>
      <c r="Z26" s="53"/>
      <c r="AA26" s="53"/>
      <c r="AB26" s="53"/>
      <c r="AC26" s="54"/>
      <c r="AD26" s="52"/>
      <c r="AE26" s="53"/>
      <c r="AF26" s="53"/>
      <c r="AG26" s="53"/>
      <c r="AH26" s="53"/>
      <c r="AI26" s="53"/>
      <c r="AJ26" s="53"/>
      <c r="AK26" s="53"/>
      <c r="AL26" s="53"/>
      <c r="AM26" s="53"/>
      <c r="AN26" s="53"/>
      <c r="AO26" s="54"/>
      <c r="AP26" s="225" t="str">
        <f>IFERROR(IF(AVERAGE(F26:K26)&lt;&gt;0,AVERAGE(F26:K26),""),"")</f>
        <v/>
      </c>
      <c r="AQ26" s="226" t="str">
        <f>IFERROR(IF(AVERAGE(L26:Q26)&lt;&gt;0,AVERAGE(L26:Q26),""),"")</f>
        <v/>
      </c>
      <c r="AR26" s="225" t="str">
        <f>IFERROR(IF(AVERAGE(R26:W26)&lt;&gt;0,AVERAGE(R26:W26),""),"")</f>
        <v/>
      </c>
      <c r="AS26" s="226" t="str">
        <f>IFERROR(IF(AVERAGE(X26:AC26)&lt;&gt;0,AVERAGE(X26:AC26),""),"")</f>
        <v/>
      </c>
      <c r="AT26" s="225" t="str">
        <f>IFERROR(IF(AVERAGE(AD26:AI26)&lt;&gt;0,AVERAGE(AD26:AI26),""),"")</f>
        <v/>
      </c>
      <c r="AU26" s="226" t="str">
        <f>IFERROR(IF(AVERAGE(AJ26:AO26)&lt;&gt;0,AVERAGE(AJ26:AO26),""),"")</f>
        <v/>
      </c>
      <c r="AV26" s="70"/>
      <c r="AW26" s="53"/>
      <c r="AX26" s="70"/>
      <c r="AY26" s="53"/>
      <c r="AZ26" s="70"/>
      <c r="BA26" s="53"/>
      <c r="BB26" s="70"/>
      <c r="BC26" s="53"/>
      <c r="BD26" s="70"/>
      <c r="BE26" s="264"/>
      <c r="BF26" s="272" t="str">
        <f>IFERROR(IF(AVERAGE(AP26:AQ26)&lt;&gt;0,AVERAGE(AP26:AQ26),""),"")</f>
        <v/>
      </c>
      <c r="BG26" s="272" t="str">
        <f>IFERROR(IF(AVERAGE(AR26:AS26)&lt;&gt;0,AVERAGE(AR26:AS26),""),"")</f>
        <v/>
      </c>
      <c r="BH26" s="272" t="str">
        <f>IFERROR(IF(AVERAGE(AT26:AU26)&lt;&gt;0,AVERAGE(AT26:AU26),""),"")</f>
        <v/>
      </c>
      <c r="BI26" s="272" t="str">
        <f>IFERROR(IF(AVERAGE(AV26:AW26)&lt;&gt;0,AVERAGE(AV26:AW26),""),"")</f>
        <v/>
      </c>
      <c r="BJ26" s="272" t="str">
        <f>IFERROR(IF(AVERAGE(AX26:AY26)&lt;&gt;0,AVERAGE(AX26:AY26),""),"")</f>
        <v/>
      </c>
      <c r="BK26" s="272" t="str">
        <f>IFERROR(IF(AVERAGE(AZ26:BA26)&lt;&gt;0,AVERAGE(AZ26:BA26),""),"")</f>
        <v/>
      </c>
      <c r="BL26" s="272" t="str">
        <f>IFERROR(IF(AVERAGE(BB26:BC26)&lt;&gt;0,AVERAGE(BB26:BC26),""),"")</f>
        <v/>
      </c>
      <c r="BM26" s="272" t="str">
        <f>IFERROR(IF(AVERAGE(BD26:BE26)&lt;&gt;0,AVERAGE(BD26:BE26),""),"")</f>
        <v/>
      </c>
    </row>
    <row r="27" spans="1:65" s="102" customFormat="1" ht="15" customHeight="1" outlineLevel="2" thickBot="1" x14ac:dyDescent="0.25">
      <c r="A27" s="320" t="s">
        <v>226</v>
      </c>
      <c r="B27" s="347"/>
      <c r="C27" s="350"/>
      <c r="D27" s="344"/>
      <c r="E27" s="278" t="s">
        <v>30</v>
      </c>
      <c r="F27" s="55"/>
      <c r="G27" s="56"/>
      <c r="H27" s="56"/>
      <c r="I27" s="56"/>
      <c r="J27" s="56"/>
      <c r="K27" s="56"/>
      <c r="L27" s="56"/>
      <c r="M27" s="56"/>
      <c r="N27" s="56"/>
      <c r="O27" s="56"/>
      <c r="P27" s="56"/>
      <c r="Q27" s="57"/>
      <c r="R27" s="55"/>
      <c r="S27" s="56"/>
      <c r="T27" s="56"/>
      <c r="U27" s="56"/>
      <c r="V27" s="56"/>
      <c r="W27" s="56"/>
      <c r="X27" s="56"/>
      <c r="Y27" s="56"/>
      <c r="Z27" s="56"/>
      <c r="AA27" s="56"/>
      <c r="AB27" s="56"/>
      <c r="AC27" s="57"/>
      <c r="AD27" s="55"/>
      <c r="AE27" s="56"/>
      <c r="AF27" s="56"/>
      <c r="AG27" s="56"/>
      <c r="AH27" s="56"/>
      <c r="AI27" s="56"/>
      <c r="AJ27" s="56"/>
      <c r="AK27" s="56"/>
      <c r="AL27" s="56"/>
      <c r="AM27" s="56"/>
      <c r="AN27" s="56"/>
      <c r="AO27" s="57"/>
      <c r="AP27" s="227" t="str">
        <f>IFERROR(IF(AVERAGE(F27:K27)&lt;&gt;0,AVERAGE(F27:K27),""),"")</f>
        <v/>
      </c>
      <c r="AQ27" s="228" t="str">
        <f>IFERROR(IF(AVERAGE(L27:Q27)&lt;&gt;0,AVERAGE(L27:Q27),""),"")</f>
        <v/>
      </c>
      <c r="AR27" s="227" t="str">
        <f>IFERROR(IF(AVERAGE(R27:W27)&lt;&gt;0,AVERAGE(R27:W27),""),"")</f>
        <v/>
      </c>
      <c r="AS27" s="228" t="str">
        <f>IFERROR(IF(AVERAGE(X27:AC27)&lt;&gt;0,AVERAGE(X27:AC27),""),"")</f>
        <v/>
      </c>
      <c r="AT27" s="227" t="str">
        <f>IFERROR(IF(AVERAGE(AD27:AI27)&lt;&gt;0,AVERAGE(AD27:AI27),""),"")</f>
        <v/>
      </c>
      <c r="AU27" s="228" t="str">
        <f>IFERROR(IF(AVERAGE(AJ27:AO27)&lt;&gt;0,AVERAGE(AJ27:AO27),""),"")</f>
        <v/>
      </c>
      <c r="AV27" s="71"/>
      <c r="AW27" s="56"/>
      <c r="AX27" s="71"/>
      <c r="AY27" s="56"/>
      <c r="AZ27" s="71"/>
      <c r="BA27" s="56"/>
      <c r="BB27" s="71"/>
      <c r="BC27" s="56"/>
      <c r="BD27" s="71"/>
      <c r="BE27" s="265"/>
      <c r="BF27" s="273" t="str">
        <f>IFERROR(IF(AVERAGE(AP27:AQ27)&lt;&gt;0,AVERAGE(AP27:AQ27),""),"")</f>
        <v/>
      </c>
      <c r="BG27" s="273" t="str">
        <f>IFERROR(IF(AVERAGE(AR27:AS27)&lt;&gt;0,AVERAGE(AR27:AS27),""),"")</f>
        <v/>
      </c>
      <c r="BH27" s="273" t="str">
        <f>IFERROR(IF(AVERAGE(AT27:AU27)&lt;&gt;0,AVERAGE(AT27:AU27),""),"")</f>
        <v/>
      </c>
      <c r="BI27" s="273" t="str">
        <f>IFERROR(IF(AVERAGE(AV27:AW27)&lt;&gt;0,AVERAGE(AV27:AW27),""),"")</f>
        <v/>
      </c>
      <c r="BJ27" s="273" t="str">
        <f>IFERROR(IF(AVERAGE(AX27:AY27)&lt;&gt;0,AVERAGE(AX27:AY27),""),"")</f>
        <v/>
      </c>
      <c r="BK27" s="273" t="str">
        <f>IFERROR(IF(AVERAGE(AZ27:BA27)&lt;&gt;0,AVERAGE(AZ27:BA27),""),"")</f>
        <v/>
      </c>
      <c r="BL27" s="273" t="str">
        <f>IFERROR(IF(AVERAGE(BB27:BC27)&lt;&gt;0,AVERAGE(BB27:BC27),""),"")</f>
        <v/>
      </c>
      <c r="BM27" s="273" t="str">
        <f>IFERROR(IF(AVERAGE(BD27:BE27)&lt;&gt;0,AVERAGE(BD27:BE27),""),"")</f>
        <v/>
      </c>
    </row>
    <row r="28" spans="1:65" s="102" customFormat="1" ht="14.25" customHeight="1" outlineLevel="2" x14ac:dyDescent="0.2">
      <c r="A28" s="320" t="s">
        <v>226</v>
      </c>
      <c r="B28" s="347"/>
      <c r="C28" s="350"/>
      <c r="D28" s="344"/>
      <c r="E28" s="279" t="s">
        <v>25</v>
      </c>
      <c r="F28" s="58"/>
      <c r="G28" s="50"/>
      <c r="H28" s="50"/>
      <c r="I28" s="50"/>
      <c r="J28" s="50"/>
      <c r="K28" s="50"/>
      <c r="L28" s="50"/>
      <c r="M28" s="50"/>
      <c r="N28" s="50"/>
      <c r="O28" s="50"/>
      <c r="P28" s="50"/>
      <c r="Q28" s="59"/>
      <c r="R28" s="58"/>
      <c r="S28" s="50"/>
      <c r="T28" s="50"/>
      <c r="U28" s="50"/>
      <c r="V28" s="50"/>
      <c r="W28" s="50"/>
      <c r="X28" s="50"/>
      <c r="Y28" s="50"/>
      <c r="Z28" s="50"/>
      <c r="AA28" s="50"/>
      <c r="AB28" s="50"/>
      <c r="AC28" s="59"/>
      <c r="AD28" s="58"/>
      <c r="AE28" s="50"/>
      <c r="AF28" s="50"/>
      <c r="AG28" s="50"/>
      <c r="AH28" s="50"/>
      <c r="AI28" s="50"/>
      <c r="AJ28" s="50"/>
      <c r="AK28" s="50"/>
      <c r="AL28" s="50"/>
      <c r="AM28" s="50"/>
      <c r="AN28" s="50"/>
      <c r="AO28" s="59"/>
      <c r="AP28" s="229" t="str">
        <f>IFERROR(IF(SUM(F28:K28)&lt;&gt;0,SUM(F28:K28),""),"")</f>
        <v/>
      </c>
      <c r="AQ28" s="230" t="str">
        <f>IFERROR(IF(SUM(L28:Q28)&lt;&gt;0,SUM(L28:Q28),""),"")</f>
        <v/>
      </c>
      <c r="AR28" s="229" t="str">
        <f>IFERROR(IF(SUM(R28:W28)&lt;&gt;0,SUM(R28:W28),""),"")</f>
        <v/>
      </c>
      <c r="AS28" s="230" t="str">
        <f>IFERROR(IF(SUM(X28:AC28)&lt;&gt;0,SUM(X28:AC28),""),"")</f>
        <v/>
      </c>
      <c r="AT28" s="229" t="str">
        <f>IFERROR(IF(SUM(AD28:AI28)&lt;&gt;0,SUM(AD28:AI28),""),"")</f>
        <v/>
      </c>
      <c r="AU28" s="230" t="str">
        <f>IFERROR(IF(SUM(AJ28:AO28)&lt;&gt;0,SUM(AJ28:AO28),""),"")</f>
        <v/>
      </c>
      <c r="AV28" s="72"/>
      <c r="AW28" s="73"/>
      <c r="AX28" s="72"/>
      <c r="AY28" s="73"/>
      <c r="AZ28" s="72"/>
      <c r="BA28" s="73"/>
      <c r="BB28" s="72"/>
      <c r="BC28" s="73"/>
      <c r="BD28" s="72"/>
      <c r="BE28" s="266"/>
      <c r="BF28" s="286" t="e">
        <f t="shared" ref="BF28:BF31" si="44">IF(SUM(AP28,AQ28)&lt;&gt;0,SUM(AP28,AQ28),#N/A)</f>
        <v>#N/A</v>
      </c>
      <c r="BG28" s="286" t="e">
        <f t="shared" ref="BG28:BG31" si="45">IF(SUM(AR28,AS28)&lt;&gt;0,SUM(AR28,AS28),#N/A)</f>
        <v>#N/A</v>
      </c>
      <c r="BH28" s="286" t="e">
        <f t="shared" ref="BH28:BH31" si="46">IF(SUM(AT28,AU28)&lt;&gt;0,SUM(AT28,AU28),#N/A)</f>
        <v>#N/A</v>
      </c>
      <c r="BI28" s="286" t="e">
        <f t="shared" ref="BI28:BI31" si="47">IF(SUM(AV28,AW28)&lt;&gt;0,SUM(AV28,AW28),#N/A)</f>
        <v>#N/A</v>
      </c>
      <c r="BJ28" s="286" t="e">
        <f t="shared" ref="BJ28:BJ31" si="48">IF(SUM(AX28,AY28)&lt;&gt;0,SUM(AX28,AY28),#N/A)</f>
        <v>#N/A</v>
      </c>
      <c r="BK28" s="286" t="e">
        <f t="shared" ref="BK28:BK31" si="49">IF(SUM(AZ28,BA28)&lt;&gt;0,SUM(AZ28,BA28),#N/A)</f>
        <v>#N/A</v>
      </c>
      <c r="BL28" s="286" t="e">
        <f t="shared" ref="BL28:BL31" si="50">IF(SUM(BB28,BC28)&lt;&gt;0,SUM(BB28,BC28),#N/A)</f>
        <v>#N/A</v>
      </c>
      <c r="BM28" s="286" t="e">
        <f t="shared" ref="BM28:BM31" si="51">IF(SUM(BD28,BE28)&lt;&gt;0,SUM(BD28,BE28),#N/A)</f>
        <v>#N/A</v>
      </c>
    </row>
    <row r="29" spans="1:65" s="102" customFormat="1" ht="14.25" customHeight="1" outlineLevel="2" x14ac:dyDescent="0.2">
      <c r="A29" s="320" t="s">
        <v>226</v>
      </c>
      <c r="B29" s="347"/>
      <c r="C29" s="350"/>
      <c r="D29" s="344"/>
      <c r="E29" s="280" t="s">
        <v>26</v>
      </c>
      <c r="F29" s="60"/>
      <c r="G29" s="61"/>
      <c r="H29" s="61"/>
      <c r="I29" s="61"/>
      <c r="J29" s="61"/>
      <c r="K29" s="61"/>
      <c r="L29" s="61"/>
      <c r="M29" s="61"/>
      <c r="N29" s="61"/>
      <c r="O29" s="61"/>
      <c r="P29" s="61"/>
      <c r="Q29" s="62"/>
      <c r="R29" s="60"/>
      <c r="S29" s="61"/>
      <c r="T29" s="61"/>
      <c r="U29" s="61"/>
      <c r="V29" s="61"/>
      <c r="W29" s="61"/>
      <c r="X29" s="61"/>
      <c r="Y29" s="61"/>
      <c r="Z29" s="61"/>
      <c r="AA29" s="61"/>
      <c r="AB29" s="61"/>
      <c r="AC29" s="62"/>
      <c r="AD29" s="60"/>
      <c r="AE29" s="61"/>
      <c r="AF29" s="61"/>
      <c r="AG29" s="61"/>
      <c r="AH29" s="61"/>
      <c r="AI29" s="61"/>
      <c r="AJ29" s="61"/>
      <c r="AK29" s="61"/>
      <c r="AL29" s="61"/>
      <c r="AM29" s="61"/>
      <c r="AN29" s="61"/>
      <c r="AO29" s="62"/>
      <c r="AP29" s="231" t="str">
        <f>IFERROR(IF(SUM(F29:K29)&lt;&gt;0,SUM(F29:K29),""),"")</f>
        <v/>
      </c>
      <c r="AQ29" s="232" t="str">
        <f>IFERROR(IF(SUM(L29:Q29)&lt;&gt;0,SUM(L29:Q29),""),"")</f>
        <v/>
      </c>
      <c r="AR29" s="231" t="str">
        <f>IFERROR(IF(SUM(R29:W29)&lt;&gt;0,SUM(R29:W29),""),"")</f>
        <v/>
      </c>
      <c r="AS29" s="232" t="str">
        <f>IFERROR(IF(SUM(X29:AC29)&lt;&gt;0,SUM(X29:AC29),""),"")</f>
        <v/>
      </c>
      <c r="AT29" s="231" t="str">
        <f>IFERROR(IF(SUM(AD29:AI29)&lt;&gt;0,SUM(AD29:AI29),""),"")</f>
        <v/>
      </c>
      <c r="AU29" s="232" t="str">
        <f>IFERROR(IF(SUM(AJ29:AO29)&lt;&gt;0,SUM(AJ29:AO29),""),"")</f>
        <v/>
      </c>
      <c r="AV29" s="74"/>
      <c r="AW29" s="61"/>
      <c r="AX29" s="74"/>
      <c r="AY29" s="61"/>
      <c r="AZ29" s="74"/>
      <c r="BA29" s="61"/>
      <c r="BB29" s="74"/>
      <c r="BC29" s="61"/>
      <c r="BD29" s="74"/>
      <c r="BE29" s="267"/>
      <c r="BF29" s="287" t="e">
        <f t="shared" si="44"/>
        <v>#N/A</v>
      </c>
      <c r="BG29" s="287" t="e">
        <f t="shared" si="45"/>
        <v>#N/A</v>
      </c>
      <c r="BH29" s="287" t="e">
        <f t="shared" si="46"/>
        <v>#N/A</v>
      </c>
      <c r="BI29" s="287" t="e">
        <f t="shared" si="47"/>
        <v>#N/A</v>
      </c>
      <c r="BJ29" s="287" t="e">
        <f t="shared" si="48"/>
        <v>#N/A</v>
      </c>
      <c r="BK29" s="287" t="e">
        <f t="shared" si="49"/>
        <v>#N/A</v>
      </c>
      <c r="BL29" s="287" t="e">
        <f t="shared" si="50"/>
        <v>#N/A</v>
      </c>
      <c r="BM29" s="287" t="e">
        <f t="shared" si="51"/>
        <v>#N/A</v>
      </c>
    </row>
    <row r="30" spans="1:65" s="102" customFormat="1" ht="14.25" customHeight="1" outlineLevel="2" x14ac:dyDescent="0.2">
      <c r="A30" s="320" t="s">
        <v>226</v>
      </c>
      <c r="B30" s="347"/>
      <c r="C30" s="350"/>
      <c r="D30" s="344"/>
      <c r="E30" s="280" t="s">
        <v>27</v>
      </c>
      <c r="F30" s="60"/>
      <c r="G30" s="61"/>
      <c r="H30" s="61"/>
      <c r="I30" s="61"/>
      <c r="J30" s="61"/>
      <c r="K30" s="61"/>
      <c r="L30" s="61"/>
      <c r="M30" s="61"/>
      <c r="N30" s="61"/>
      <c r="O30" s="61"/>
      <c r="P30" s="61"/>
      <c r="Q30" s="62"/>
      <c r="R30" s="60"/>
      <c r="S30" s="61"/>
      <c r="T30" s="61"/>
      <c r="U30" s="61"/>
      <c r="V30" s="61"/>
      <c r="W30" s="61"/>
      <c r="X30" s="61"/>
      <c r="Y30" s="61"/>
      <c r="Z30" s="61"/>
      <c r="AA30" s="61"/>
      <c r="AB30" s="61"/>
      <c r="AC30" s="62"/>
      <c r="AD30" s="60"/>
      <c r="AE30" s="61"/>
      <c r="AF30" s="61"/>
      <c r="AG30" s="61"/>
      <c r="AH30" s="61"/>
      <c r="AI30" s="61"/>
      <c r="AJ30" s="61"/>
      <c r="AK30" s="61"/>
      <c r="AL30" s="61"/>
      <c r="AM30" s="61"/>
      <c r="AN30" s="61"/>
      <c r="AO30" s="62"/>
      <c r="AP30" s="231" t="str">
        <f>IFERROR(IF(SUM(F30:K30)&lt;&gt;0,SUM(F30:K30),""),"")</f>
        <v/>
      </c>
      <c r="AQ30" s="232" t="str">
        <f>IFERROR(IF(SUM(L30:Q30)&lt;&gt;0,SUM(L30:Q30),""),"")</f>
        <v/>
      </c>
      <c r="AR30" s="231" t="str">
        <f>IFERROR(IF(SUM(R30:W30)&lt;&gt;0,SUM(R30:W30),""),"")</f>
        <v/>
      </c>
      <c r="AS30" s="232" t="str">
        <f>IFERROR(IF(SUM(X30:AC30)&lt;&gt;0,SUM(X30:AC30),""),"")</f>
        <v/>
      </c>
      <c r="AT30" s="231" t="str">
        <f>IFERROR(IF(SUM(AD30:AI30)&lt;&gt;0,SUM(AD30:AI30),""),"")</f>
        <v/>
      </c>
      <c r="AU30" s="232" t="str">
        <f>IFERROR(IF(SUM(AJ30:AO30)&lt;&gt;0,SUM(AJ30:AO30),""),"")</f>
        <v/>
      </c>
      <c r="AV30" s="74"/>
      <c r="AW30" s="61"/>
      <c r="AX30" s="74"/>
      <c r="AY30" s="61"/>
      <c r="AZ30" s="74"/>
      <c r="BA30" s="61"/>
      <c r="BB30" s="74"/>
      <c r="BC30" s="61"/>
      <c r="BD30" s="74"/>
      <c r="BE30" s="267"/>
      <c r="BF30" s="287" t="e">
        <f t="shared" si="44"/>
        <v>#N/A</v>
      </c>
      <c r="BG30" s="287" t="e">
        <f t="shared" si="45"/>
        <v>#N/A</v>
      </c>
      <c r="BH30" s="287" t="e">
        <f t="shared" si="46"/>
        <v>#N/A</v>
      </c>
      <c r="BI30" s="287" t="e">
        <f t="shared" si="47"/>
        <v>#N/A</v>
      </c>
      <c r="BJ30" s="287" t="e">
        <f t="shared" si="48"/>
        <v>#N/A</v>
      </c>
      <c r="BK30" s="287" t="e">
        <f t="shared" si="49"/>
        <v>#N/A</v>
      </c>
      <c r="BL30" s="287" t="e">
        <f t="shared" si="50"/>
        <v>#N/A</v>
      </c>
      <c r="BM30" s="287" t="e">
        <f t="shared" si="51"/>
        <v>#N/A</v>
      </c>
    </row>
    <row r="31" spans="1:65" s="102" customFormat="1" ht="15" customHeight="1" outlineLevel="2" thickBot="1" x14ac:dyDescent="0.25">
      <c r="A31" s="320" t="s">
        <v>226</v>
      </c>
      <c r="B31" s="347"/>
      <c r="C31" s="350"/>
      <c r="D31" s="344"/>
      <c r="E31" s="281" t="s">
        <v>88</v>
      </c>
      <c r="F31" s="63"/>
      <c r="G31" s="48"/>
      <c r="H31" s="48"/>
      <c r="I31" s="48"/>
      <c r="J31" s="48"/>
      <c r="K31" s="48"/>
      <c r="L31" s="48"/>
      <c r="M31" s="48"/>
      <c r="N31" s="48"/>
      <c r="O31" s="48"/>
      <c r="P31" s="48"/>
      <c r="Q31" s="51"/>
      <c r="R31" s="63"/>
      <c r="S31" s="48"/>
      <c r="T31" s="48"/>
      <c r="U31" s="48"/>
      <c r="V31" s="48"/>
      <c r="W31" s="48"/>
      <c r="X31" s="48"/>
      <c r="Y31" s="48"/>
      <c r="Z31" s="48"/>
      <c r="AA31" s="48"/>
      <c r="AB31" s="48"/>
      <c r="AC31" s="51"/>
      <c r="AD31" s="63"/>
      <c r="AE31" s="48"/>
      <c r="AF31" s="48"/>
      <c r="AG31" s="48"/>
      <c r="AH31" s="48"/>
      <c r="AI31" s="48"/>
      <c r="AJ31" s="48"/>
      <c r="AK31" s="48"/>
      <c r="AL31" s="48"/>
      <c r="AM31" s="48"/>
      <c r="AN31" s="48"/>
      <c r="AO31" s="51"/>
      <c r="AP31" s="233" t="str">
        <f>IFERROR(IF(SUM(F31:K31)&lt;&gt;0,SUM(F31:K31),""),"")</f>
        <v/>
      </c>
      <c r="AQ31" s="234" t="str">
        <f>IFERROR(IF(SUM(L31:Q31)&lt;&gt;0,SUM(L31:Q31),""),"")</f>
        <v/>
      </c>
      <c r="AR31" s="233" t="str">
        <f>IFERROR(IF(SUM(R31:W31)&lt;&gt;0,SUM(R31:W31),""),"")</f>
        <v/>
      </c>
      <c r="AS31" s="234" t="str">
        <f>IFERROR(IF(SUM(X31:AC31)&lt;&gt;0,SUM(X31:AC31),""),"")</f>
        <v/>
      </c>
      <c r="AT31" s="233" t="str">
        <f>IFERROR(IF(SUM(AD31:AI31)&lt;&gt;0,SUM(AD31:AI31),""),"")</f>
        <v/>
      </c>
      <c r="AU31" s="234" t="str">
        <f>IFERROR(IF(SUM(AJ31:AO31)&lt;&gt;0,SUM(AJ31:AO31),""),"")</f>
        <v/>
      </c>
      <c r="AV31" s="75"/>
      <c r="AW31" s="76"/>
      <c r="AX31" s="75"/>
      <c r="AY31" s="76"/>
      <c r="AZ31" s="75"/>
      <c r="BA31" s="76"/>
      <c r="BB31" s="75"/>
      <c r="BC31" s="76"/>
      <c r="BD31" s="75"/>
      <c r="BE31" s="268"/>
      <c r="BF31" s="271" t="e">
        <f t="shared" si="44"/>
        <v>#N/A</v>
      </c>
      <c r="BG31" s="271" t="e">
        <f t="shared" si="45"/>
        <v>#N/A</v>
      </c>
      <c r="BH31" s="271" t="e">
        <f t="shared" si="46"/>
        <v>#N/A</v>
      </c>
      <c r="BI31" s="271" t="e">
        <f t="shared" si="47"/>
        <v>#N/A</v>
      </c>
      <c r="BJ31" s="271" t="e">
        <f t="shared" si="48"/>
        <v>#N/A</v>
      </c>
      <c r="BK31" s="271" t="e">
        <f t="shared" si="49"/>
        <v>#N/A</v>
      </c>
      <c r="BL31" s="271" t="e">
        <f t="shared" si="50"/>
        <v>#N/A</v>
      </c>
      <c r="BM31" s="271" t="e">
        <f t="shared" si="51"/>
        <v>#N/A</v>
      </c>
    </row>
    <row r="32" spans="1:65" s="102" customFormat="1" ht="14.25" customHeight="1" outlineLevel="2" x14ac:dyDescent="0.2">
      <c r="A32" s="320" t="s">
        <v>226</v>
      </c>
      <c r="B32" s="347"/>
      <c r="C32" s="350"/>
      <c r="D32" s="344"/>
      <c r="E32" s="279" t="s">
        <v>32</v>
      </c>
      <c r="F32" s="64"/>
      <c r="G32" s="65"/>
      <c r="H32" s="65"/>
      <c r="I32" s="65"/>
      <c r="J32" s="65"/>
      <c r="K32" s="65"/>
      <c r="L32" s="65"/>
      <c r="M32" s="65"/>
      <c r="N32" s="65"/>
      <c r="O32" s="65"/>
      <c r="P32" s="65"/>
      <c r="Q32" s="66"/>
      <c r="R32" s="64"/>
      <c r="S32" s="65"/>
      <c r="T32" s="65"/>
      <c r="U32" s="65"/>
      <c r="V32" s="65"/>
      <c r="W32" s="65"/>
      <c r="X32" s="65"/>
      <c r="Y32" s="65"/>
      <c r="Z32" s="65"/>
      <c r="AA32" s="65"/>
      <c r="AB32" s="65"/>
      <c r="AC32" s="66"/>
      <c r="AD32" s="64"/>
      <c r="AE32" s="65"/>
      <c r="AF32" s="65"/>
      <c r="AG32" s="65"/>
      <c r="AH32" s="65"/>
      <c r="AI32" s="65"/>
      <c r="AJ32" s="65"/>
      <c r="AK32" s="65"/>
      <c r="AL32" s="65"/>
      <c r="AM32" s="65"/>
      <c r="AN32" s="65"/>
      <c r="AO32" s="66"/>
      <c r="AP32" s="32" t="str">
        <f>IFERROR(IF(AVERAGE(F32:K32)&lt;&gt;0,AVERAGE(F32:K32),""),"")</f>
        <v/>
      </c>
      <c r="AQ32" s="235" t="str">
        <f>IFERROR(IF(AVERAGE(L32:Q32)&lt;&gt;0,AVERAGE(L32:Q32),""),"")</f>
        <v/>
      </c>
      <c r="AR32" s="32" t="str">
        <f>IFERROR(IF(AVERAGE(R32:W32)&lt;&gt;0,AVERAGE(R32:W32),""),"")</f>
        <v/>
      </c>
      <c r="AS32" s="235" t="str">
        <f>IFERROR(IF(AVERAGE(X32:AC32)&lt;&gt;0,AVERAGE(X32:AC32),""),"")</f>
        <v/>
      </c>
      <c r="AT32" s="32" t="str">
        <f>IFERROR(IF(AVERAGE(AD32:AI32)&lt;&gt;0,AVERAGE(AD32:AI32),""),"")</f>
        <v/>
      </c>
      <c r="AU32" s="235" t="str">
        <f>IFERROR(IF(AVERAGE(AJ32:AO32)&lt;&gt;0,AVERAGE(AJ32:AO32),""),"")</f>
        <v/>
      </c>
      <c r="AV32" s="77"/>
      <c r="AW32" s="65"/>
      <c r="AX32" s="77"/>
      <c r="AY32" s="65"/>
      <c r="AZ32" s="77"/>
      <c r="BA32" s="65"/>
      <c r="BB32" s="77"/>
      <c r="BC32" s="65"/>
      <c r="BD32" s="77"/>
      <c r="BE32" s="269"/>
      <c r="BF32" s="272" t="str">
        <f>IFERROR(IF(AVERAGE(AP32:AQ32)&lt;&gt;0,AVERAGE(AP32:AQ32),""),"")</f>
        <v/>
      </c>
      <c r="BG32" s="272" t="str">
        <f>IFERROR(IF(AVERAGE(AR32:AS32)&lt;&gt;0,AVERAGE(AR32:AS32),""),"")</f>
        <v/>
      </c>
      <c r="BH32" s="272" t="str">
        <f>IFERROR(IF(AVERAGE(AT32:AU32)&lt;&gt;0,AVERAGE(AT32:AU32),""),"")</f>
        <v/>
      </c>
      <c r="BI32" s="272" t="str">
        <f>IFERROR(IF(AVERAGE(AV32:AW32)&lt;&gt;0,AVERAGE(AV32:AW32),""),"")</f>
        <v/>
      </c>
      <c r="BJ32" s="272" t="str">
        <f>IFERROR(IF(AVERAGE(AX32:AY32)&lt;&gt;0,AVERAGE(AX32:AY32),""),"")</f>
        <v/>
      </c>
      <c r="BK32" s="272" t="str">
        <f>IFERROR(IF(AVERAGE(AZ32:BA32)&lt;&gt;0,AVERAGE(AZ32:BA32),""),"")</f>
        <v/>
      </c>
      <c r="BL32" s="272" t="str">
        <f>IFERROR(IF(AVERAGE(BB32:BC32)&lt;&gt;0,AVERAGE(BB32:BC32),""),"")</f>
        <v/>
      </c>
      <c r="BM32" s="272" t="str">
        <f>IFERROR(IF(AVERAGE(BD32:BE32)&lt;&gt;0,AVERAGE(BD32:BE32),""),"")</f>
        <v/>
      </c>
    </row>
    <row r="33" spans="1:65" s="102" customFormat="1" ht="15" customHeight="1" outlineLevel="2" thickBot="1" x14ac:dyDescent="0.25">
      <c r="A33" s="320" t="s">
        <v>226</v>
      </c>
      <c r="B33" s="347"/>
      <c r="C33" s="350"/>
      <c r="D33" s="344"/>
      <c r="E33" s="281" t="s">
        <v>2</v>
      </c>
      <c r="F33" s="67"/>
      <c r="G33" s="68"/>
      <c r="H33" s="68"/>
      <c r="I33" s="68"/>
      <c r="J33" s="68"/>
      <c r="K33" s="68"/>
      <c r="L33" s="68"/>
      <c r="M33" s="68"/>
      <c r="N33" s="68"/>
      <c r="O33" s="68"/>
      <c r="P33" s="68"/>
      <c r="Q33" s="69"/>
      <c r="R33" s="67"/>
      <c r="S33" s="68"/>
      <c r="T33" s="68"/>
      <c r="U33" s="68"/>
      <c r="V33" s="68"/>
      <c r="W33" s="68"/>
      <c r="X33" s="68"/>
      <c r="Y33" s="68"/>
      <c r="Z33" s="68"/>
      <c r="AA33" s="68"/>
      <c r="AB33" s="68"/>
      <c r="AC33" s="69"/>
      <c r="AD33" s="67"/>
      <c r="AE33" s="68"/>
      <c r="AF33" s="68"/>
      <c r="AG33" s="68"/>
      <c r="AH33" s="68"/>
      <c r="AI33" s="68"/>
      <c r="AJ33" s="68"/>
      <c r="AK33" s="68"/>
      <c r="AL33" s="68"/>
      <c r="AM33" s="68"/>
      <c r="AN33" s="68"/>
      <c r="AO33" s="69"/>
      <c r="AP33" s="236" t="str">
        <f>IFERROR(IF(AVERAGE(F33:K33)&lt;&gt;0,AVERAGE(F33:K33),""),"")</f>
        <v/>
      </c>
      <c r="AQ33" s="237" t="str">
        <f>IFERROR(IF(AVERAGE(L33:Q33)&lt;&gt;0,AVERAGE(L33:Q33),""),"")</f>
        <v/>
      </c>
      <c r="AR33" s="236" t="str">
        <f>IFERROR(IF(AVERAGE(R33:W33)&lt;&gt;0,AVERAGE(R33:W33),""),"")</f>
        <v/>
      </c>
      <c r="AS33" s="237" t="str">
        <f>IFERROR(IF(AVERAGE(X33:AC33)&lt;&gt;0,AVERAGE(X33:AC33),""),"")</f>
        <v/>
      </c>
      <c r="AT33" s="236" t="str">
        <f>IFERROR(IF(AVERAGE(AD33:AI33)&lt;&gt;0,AVERAGE(AD33:AI33),""),"")</f>
        <v/>
      </c>
      <c r="AU33" s="237" t="str">
        <f>IFERROR(IF(AVERAGE(AJ33:AO33)&lt;&gt;0,AVERAGE(AJ33:AO33),""),"")</f>
        <v/>
      </c>
      <c r="AV33" s="78"/>
      <c r="AW33" s="68"/>
      <c r="AX33" s="78"/>
      <c r="AY33" s="68"/>
      <c r="AZ33" s="78"/>
      <c r="BA33" s="68"/>
      <c r="BB33" s="78"/>
      <c r="BC33" s="68"/>
      <c r="BD33" s="78"/>
      <c r="BE33" s="270"/>
      <c r="BF33" s="288" t="str">
        <f>IFERROR(IF(AVERAGE(AP33:AQ33)&lt;&gt;0,AVERAGE(AP33:AQ33),""),"")</f>
        <v/>
      </c>
      <c r="BG33" s="288" t="str">
        <f>IFERROR(IF(AVERAGE(AR33:AS33)&lt;&gt;0,AVERAGE(AR33:AS33),""),"")</f>
        <v/>
      </c>
      <c r="BH33" s="288" t="str">
        <f>IFERROR(IF(AVERAGE(AT33:AU33)&lt;&gt;0,AVERAGE(AT33:AU33),""),"")</f>
        <v/>
      </c>
      <c r="BI33" s="288" t="str">
        <f>IFERROR(IF(AVERAGE(AV33:AW33)&lt;&gt;0,AVERAGE(AV33:AW33),""),"")</f>
        <v/>
      </c>
      <c r="BJ33" s="288" t="str">
        <f>IFERROR(IF(AVERAGE(AX33:AY33)&lt;&gt;0,AVERAGE(AX33:AY33),""),"")</f>
        <v/>
      </c>
      <c r="BK33" s="288" t="str">
        <f>IFERROR(IF(AVERAGE(AZ33:BA33)&lt;&gt;0,AVERAGE(AZ33:BA33),""),"")</f>
        <v/>
      </c>
      <c r="BL33" s="288" t="str">
        <f>IFERROR(IF(AVERAGE(BB33:BC33)&lt;&gt;0,AVERAGE(BB33:BC33),""),"")</f>
        <v/>
      </c>
      <c r="BM33" s="288" t="str">
        <f>IFERROR(IF(AVERAGE(BD33:BE33)&lt;&gt;0,AVERAGE(BD33:BE33),""),"")</f>
        <v/>
      </c>
    </row>
    <row r="34" spans="1:65" s="102" customFormat="1" ht="14.25" customHeight="1" outlineLevel="1" x14ac:dyDescent="0.2">
      <c r="A34" s="320" t="s">
        <v>226</v>
      </c>
      <c r="B34" s="347"/>
      <c r="C34" s="350"/>
      <c r="D34" s="344"/>
      <c r="E34" s="282" t="s">
        <v>228</v>
      </c>
      <c r="F34" s="283" t="str">
        <f ca="1">IF(IFERROR((F$11*(F26-SUM(F28:F31)/F$11)*F33*3600)/(F32),"")&gt;0,IFERROR((F$11*(F26-SUM(F28:F31)/F$11)*F33*3600)/(F32),""),"")</f>
        <v/>
      </c>
      <c r="G34" s="284" t="str">
        <f t="shared" ref="G34" ca="1" si="52">IF(IFERROR((G$11*(G26-SUM(G28:G31)/G$11)*G33*3600)/(G32),"")&gt;0,IFERROR((G$11*(G26-SUM(G28:G31)/G$11)*G33*3600)/(G32),""),"")</f>
        <v/>
      </c>
      <c r="H34" s="284" t="str">
        <f t="shared" ref="H34" ca="1" si="53">IF(IFERROR((H$11*(H26-SUM(H28:H31)/H$11)*H33*3600)/(H32),"")&gt;0,IFERROR((H$11*(H26-SUM(H28:H31)/H$11)*H33*3600)/(H32),""),"")</f>
        <v/>
      </c>
      <c r="I34" s="284" t="str">
        <f t="shared" ref="I34" ca="1" si="54">IF(IFERROR((I$11*(I26-SUM(I28:I31)/I$11)*I33*3600)/(I32),"")&gt;0,IFERROR((I$11*(I26-SUM(I28:I31)/I$11)*I33*3600)/(I32),""),"")</f>
        <v/>
      </c>
      <c r="J34" s="284" t="str">
        <f t="shared" ref="J34" ca="1" si="55">IF(IFERROR((J$11*(J26-SUM(J28:J31)/J$11)*J33*3600)/(J32),"")&gt;0,IFERROR((J$11*(J26-SUM(J28:J31)/J$11)*J33*3600)/(J32),""),"")</f>
        <v/>
      </c>
      <c r="K34" s="284" t="str">
        <f t="shared" ref="K34" ca="1" si="56">IF(IFERROR((K$11*(K26-SUM(K28:K31)/K$11)*K33*3600)/(K32),"")&gt;0,IFERROR((K$11*(K26-SUM(K28:K31)/K$11)*K33*3600)/(K32),""),"")</f>
        <v/>
      </c>
      <c r="L34" s="284" t="str">
        <f t="shared" ref="L34" ca="1" si="57">IF(IFERROR((L$11*(L26-SUM(L28:L31)/L$11)*L33*3600)/(L32),"")&gt;0,IFERROR((L$11*(L26-SUM(L28:L31)/L$11)*L33*3600)/(L32),""),"")</f>
        <v/>
      </c>
      <c r="M34" s="284" t="str">
        <f t="shared" ref="M34" ca="1" si="58">IF(IFERROR((M$11*(M26-SUM(M28:M31)/M$11)*M33*3600)/(M32),"")&gt;0,IFERROR((M$11*(M26-SUM(M28:M31)/M$11)*M33*3600)/(M32),""),"")</f>
        <v/>
      </c>
      <c r="N34" s="284" t="str">
        <f t="shared" ref="N34" ca="1" si="59">IF(IFERROR((N$11*(N26-SUM(N28:N31)/N$11)*N33*3600)/(N32),"")&gt;0,IFERROR((N$11*(N26-SUM(N28:N31)/N$11)*N33*3600)/(N32),""),"")</f>
        <v/>
      </c>
      <c r="O34" s="284" t="str">
        <f t="shared" ref="O34" ca="1" si="60">IF(IFERROR((O$11*(O26-SUM(O28:O31)/O$11)*O33*3600)/(O32),"")&gt;0,IFERROR((O$11*(O26-SUM(O28:O31)/O$11)*O33*3600)/(O32),""),"")</f>
        <v/>
      </c>
      <c r="P34" s="284" t="str">
        <f t="shared" ref="P34" ca="1" si="61">IF(IFERROR((P$11*(P26-SUM(P28:P31)/P$11)*P33*3600)/(P32),"")&gt;0,IFERROR((P$11*(P26-SUM(P28:P31)/P$11)*P33*3600)/(P32),""),"")</f>
        <v/>
      </c>
      <c r="Q34" s="284" t="str">
        <f t="shared" ref="Q34" ca="1" si="62">IF(IFERROR((Q$11*(Q26-SUM(Q28:Q31)/Q$11)*Q33*3600)/(Q32),"")&gt;0,IFERROR((Q$11*(Q26-SUM(Q28:Q31)/Q$11)*Q33*3600)/(Q32),""),"")</f>
        <v/>
      </c>
      <c r="R34" s="283" t="str">
        <f t="shared" ref="R34" ca="1" si="63">IF(IFERROR((R$11*(R26-SUM(R28:R31)/R$11)*R33*3600)/(R32),"")&gt;0,IFERROR((R$11*(R26-SUM(R28:R31)/R$11)*R33*3600)/(R32),""),"")</f>
        <v/>
      </c>
      <c r="S34" s="284" t="str">
        <f t="shared" ref="S34" ca="1" si="64">IF(IFERROR((S$11*(S26-SUM(S28:S31)/S$11)*S33*3600)/(S32),"")&gt;0,IFERROR((S$11*(S26-SUM(S28:S31)/S$11)*S33*3600)/(S32),""),"")</f>
        <v/>
      </c>
      <c r="T34" s="284" t="str">
        <f t="shared" ref="T34" ca="1" si="65">IF(IFERROR((T$11*(T26-SUM(T28:T31)/T$11)*T33*3600)/(T32),"")&gt;0,IFERROR((T$11*(T26-SUM(T28:T31)/T$11)*T33*3600)/(T32),""),"")</f>
        <v/>
      </c>
      <c r="U34" s="284" t="str">
        <f t="shared" ref="U34" ca="1" si="66">IF(IFERROR((U$11*(U26-SUM(U28:U31)/U$11)*U33*3600)/(U32),"")&gt;0,IFERROR((U$11*(U26-SUM(U28:U31)/U$11)*U33*3600)/(U32),""),"")</f>
        <v/>
      </c>
      <c r="V34" s="284" t="str">
        <f t="shared" ref="V34" ca="1" si="67">IF(IFERROR((V$11*(V26-SUM(V28:V31)/V$11)*V33*3600)/(V32),"")&gt;0,IFERROR((V$11*(V26-SUM(V28:V31)/V$11)*V33*3600)/(V32),""),"")</f>
        <v/>
      </c>
      <c r="W34" s="284" t="str">
        <f t="shared" ref="W34" ca="1" si="68">IF(IFERROR((W$11*(W26-SUM(W28:W31)/W$11)*W33*3600)/(W32),"")&gt;0,IFERROR((W$11*(W26-SUM(W28:W31)/W$11)*W33*3600)/(W32),""),"")</f>
        <v/>
      </c>
      <c r="X34" s="284" t="str">
        <f t="shared" ref="X34" ca="1" si="69">IF(IFERROR((X$11*(X26-SUM(X28:X31)/X$11)*X33*3600)/(X32),"")&gt;0,IFERROR((X$11*(X26-SUM(X28:X31)/X$11)*X33*3600)/(X32),""),"")</f>
        <v/>
      </c>
      <c r="Y34" s="284" t="str">
        <f t="shared" ref="Y34" ca="1" si="70">IF(IFERROR((Y$11*(Y26-SUM(Y28:Y31)/Y$11)*Y33*3600)/(Y32),"")&gt;0,IFERROR((Y$11*(Y26-SUM(Y28:Y31)/Y$11)*Y33*3600)/(Y32),""),"")</f>
        <v/>
      </c>
      <c r="Z34" s="284" t="str">
        <f t="shared" ref="Z34" ca="1" si="71">IF(IFERROR((Z$11*(Z26-SUM(Z28:Z31)/Z$11)*Z33*3600)/(Z32),"")&gt;0,IFERROR((Z$11*(Z26-SUM(Z28:Z31)/Z$11)*Z33*3600)/(Z32),""),"")</f>
        <v/>
      </c>
      <c r="AA34" s="284" t="str">
        <f t="shared" ref="AA34" ca="1" si="72">IF(IFERROR((AA$11*(AA26-SUM(AA28:AA31)/AA$11)*AA33*3600)/(AA32),"")&gt;0,IFERROR((AA$11*(AA26-SUM(AA28:AA31)/AA$11)*AA33*3600)/(AA32),""),"")</f>
        <v/>
      </c>
      <c r="AB34" s="284" t="str">
        <f t="shared" ref="AB34" ca="1" si="73">IF(IFERROR((AB$11*(AB26-SUM(AB28:AB31)/AB$11)*AB33*3600)/(AB32),"")&gt;0,IFERROR((AB$11*(AB26-SUM(AB28:AB31)/AB$11)*AB33*3600)/(AB32),""),"")</f>
        <v/>
      </c>
      <c r="AC34" s="284" t="str">
        <f t="shared" ref="AC34" ca="1" si="74">IF(IFERROR((AC$11*(AC26-SUM(AC28:AC31)/AC$11)*AC33*3600)/(AC32),"")&gt;0,IFERROR((AC$11*(AC26-SUM(AC28:AC31)/AC$11)*AC33*3600)/(AC32),""),"")</f>
        <v/>
      </c>
      <c r="AD34" s="283" t="str">
        <f t="shared" ref="AD34" ca="1" si="75">IF(IFERROR((AD$11*(AD26-SUM(AD28:AD31)/AD$11)*AD33*3600)/(AD32),"")&gt;0,IFERROR((AD$11*(AD26-SUM(AD28:AD31)/AD$11)*AD33*3600)/(AD32),""),"")</f>
        <v/>
      </c>
      <c r="AE34" s="284" t="str">
        <f t="shared" ref="AE34" ca="1" si="76">IF(IFERROR((AE$11*(AE26-SUM(AE28:AE31)/AE$11)*AE33*3600)/(AE32),"")&gt;0,IFERROR((AE$11*(AE26-SUM(AE28:AE31)/AE$11)*AE33*3600)/(AE32),""),"")</f>
        <v/>
      </c>
      <c r="AF34" s="284" t="str">
        <f t="shared" ref="AF34" ca="1" si="77">IF(IFERROR((AF$11*(AF26-SUM(AF28:AF31)/AF$11)*AF33*3600)/(AF32),"")&gt;0,IFERROR((AF$11*(AF26-SUM(AF28:AF31)/AF$11)*AF33*3600)/(AF32),""),"")</f>
        <v/>
      </c>
      <c r="AG34" s="284" t="str">
        <f t="shared" ref="AG34" ca="1" si="78">IF(IFERROR((AG$11*(AG26-SUM(AG28:AG31)/AG$11)*AG33*3600)/(AG32),"")&gt;0,IFERROR((AG$11*(AG26-SUM(AG28:AG31)/AG$11)*AG33*3600)/(AG32),""),"")</f>
        <v/>
      </c>
      <c r="AH34" s="284" t="str">
        <f t="shared" ref="AH34" ca="1" si="79">IF(IFERROR((AH$11*(AH26-SUM(AH28:AH31)/AH$11)*AH33*3600)/(AH32),"")&gt;0,IFERROR((AH$11*(AH26-SUM(AH28:AH31)/AH$11)*AH33*3600)/(AH32),""),"")</f>
        <v/>
      </c>
      <c r="AI34" s="284" t="str">
        <f t="shared" ref="AI34" ca="1" si="80">IF(IFERROR((AI$11*(AI26-SUM(AI28:AI31)/AI$11)*AI33*3600)/(AI32),"")&gt;0,IFERROR((AI$11*(AI26-SUM(AI28:AI31)/AI$11)*AI33*3600)/(AI32),""),"")</f>
        <v/>
      </c>
      <c r="AJ34" s="284" t="str">
        <f t="shared" ref="AJ34" ca="1" si="81">IF(IFERROR((AJ$11*(AJ26-SUM(AJ28:AJ31)/AJ$11)*AJ33*3600)/(AJ32),"")&gt;0,IFERROR((AJ$11*(AJ26-SUM(AJ28:AJ31)/AJ$11)*AJ33*3600)/(AJ32),""),"")</f>
        <v/>
      </c>
      <c r="AK34" s="284" t="str">
        <f t="shared" ref="AK34" ca="1" si="82">IF(IFERROR((AK$11*(AK26-SUM(AK28:AK31)/AK$11)*AK33*3600)/(AK32),"")&gt;0,IFERROR((AK$11*(AK26-SUM(AK28:AK31)/AK$11)*AK33*3600)/(AK32),""),"")</f>
        <v/>
      </c>
      <c r="AL34" s="284" t="str">
        <f t="shared" ref="AL34" ca="1" si="83">IF(IFERROR((AL$11*(AL26-SUM(AL28:AL31)/AL$11)*AL33*3600)/(AL32),"")&gt;0,IFERROR((AL$11*(AL26-SUM(AL28:AL31)/AL$11)*AL33*3600)/(AL32),""),"")</f>
        <v/>
      </c>
      <c r="AM34" s="284" t="str">
        <f t="shared" ref="AM34" ca="1" si="84">IF(IFERROR((AM$11*(AM26-SUM(AM28:AM31)/AM$11)*AM33*3600)/(AM32),"")&gt;0,IFERROR((AM$11*(AM26-SUM(AM28:AM31)/AM$11)*AM33*3600)/(AM32),""),"")</f>
        <v/>
      </c>
      <c r="AN34" s="284" t="str">
        <f t="shared" ref="AN34" ca="1" si="85">IF(IFERROR((AN$11*(AN26-SUM(AN28:AN31)/AN$11)*AN33*3600)/(AN32),"")&gt;0,IFERROR((AN$11*(AN26-SUM(AN28:AN31)/AN$11)*AN33*3600)/(AN32),""),"")</f>
        <v/>
      </c>
      <c r="AO34" s="284" t="str">
        <f t="shared" ref="AO34" ca="1" si="86">IF(IFERROR((AO$11*(AO26-SUM(AO28:AO31)/AO$11)*AO33*3600)/(AO32),"")&gt;0,IFERROR((AO$11*(AO26-SUM(AO28:AO31)/AO$11)*AO33*3600)/(AO32),""),"")</f>
        <v/>
      </c>
      <c r="AP34" s="283" t="e">
        <f t="shared" ref="AP34:AP35" ca="1" si="87">IF(SUM(F34:K34)&lt;&gt;0,SUM(F34:K34),#N/A)</f>
        <v>#N/A</v>
      </c>
      <c r="AQ34" s="284" t="e">
        <f t="shared" ref="AQ34:AQ35" ca="1" si="88">IF(SUM(L34:Q34)&lt;&gt;0,SUM(L34:Q34),#N/A)</f>
        <v>#N/A</v>
      </c>
      <c r="AR34" s="283" t="e">
        <f t="shared" ref="AR34:AR35" ca="1" si="89">IF(SUM(R34:W34)&lt;&gt;0,SUM(R34:W34),#N/A)</f>
        <v>#N/A</v>
      </c>
      <c r="AS34" s="284" t="e">
        <f t="shared" ref="AS34:AS35" ca="1" si="90">IF(SUM(X34:AC34)&lt;&gt;0,SUM(X34:AC34),#N/A)</f>
        <v>#N/A</v>
      </c>
      <c r="AT34" s="283" t="e">
        <f t="shared" ref="AT34:AT35" ca="1" si="91">IF(SUM(AD34:AI34)&lt;&gt;0,SUM(AD34:AI34),#N/A)</f>
        <v>#N/A</v>
      </c>
      <c r="AU34" s="284" t="e">
        <f t="shared" ref="AU34:AU35" ca="1" si="92">IF(SUM(AJ34:AO34)&lt;&gt;0,SUM(AJ34:AO34),#N/A)</f>
        <v>#N/A</v>
      </c>
      <c r="AV34" s="283" t="str">
        <f ca="1">IF(IFERROR((AV$11*(AV26-SUM(AV28:AV31)/AV$11)*AV33*3600)/(AV32),"")&lt;&gt;0,IFERROR((AV$11*(AV26-SUM(AV28:AV31)/AV$11)*AV33*3600)/(AV32),""),"")</f>
        <v/>
      </c>
      <c r="AW34" s="284" t="str">
        <f t="shared" ref="AW34" ca="1" si="93">IF(IFERROR((AW$11*(AW26-SUM(AW28:AW31)/AW$11)*AW33*3600)/(AW32),"")&lt;&gt;0,IFERROR((AW$11*(AW26-SUM(AW28:AW31)/AW$11)*AW33*3600)/(AW32),""),"")</f>
        <v/>
      </c>
      <c r="AX34" s="283" t="str">
        <f t="shared" ref="AX34" ca="1" si="94">IF(IFERROR((AX$11*(AX26-SUM(AX28:AX31)/AX$11)*AX33*3600)/(AX32),"")&lt;&gt;0,IFERROR((AX$11*(AX26-SUM(AX28:AX31)/AX$11)*AX33*3600)/(AX32),""),"")</f>
        <v/>
      </c>
      <c r="AY34" s="284" t="str">
        <f t="shared" ref="AY34" ca="1" si="95">IF(IFERROR((AY$11*(AY26-SUM(AY28:AY31)/AY$11)*AY33*3600)/(AY32),"")&lt;&gt;0,IFERROR((AY$11*(AY26-SUM(AY28:AY31)/AY$11)*AY33*3600)/(AY32),""),"")</f>
        <v/>
      </c>
      <c r="AZ34" s="283" t="str">
        <f t="shared" ref="AZ34" ca="1" si="96">IF(IFERROR((AZ$11*(AZ26-SUM(AZ28:AZ31)/AZ$11)*AZ33*3600)/(AZ32),"")&lt;&gt;0,IFERROR((AZ$11*(AZ26-SUM(AZ28:AZ31)/AZ$11)*AZ33*3600)/(AZ32),""),"")</f>
        <v/>
      </c>
      <c r="BA34" s="284" t="str">
        <f t="shared" ref="BA34" ca="1" si="97">IF(IFERROR((BA$11*(BA26-SUM(BA28:BA31)/BA$11)*BA33*3600)/(BA32),"")&lt;&gt;0,IFERROR((BA$11*(BA26-SUM(BA28:BA31)/BA$11)*BA33*3600)/(BA32),""),"")</f>
        <v/>
      </c>
      <c r="BB34" s="283" t="str">
        <f t="shared" ref="BB34" ca="1" si="98">IF(IFERROR((BB$11*(BB26-SUM(BB28:BB31)/BB$11)*BB33*3600)/(BB32),"")&lt;&gt;0,IFERROR((BB$11*(BB26-SUM(BB28:BB31)/BB$11)*BB33*3600)/(BB32),""),"")</f>
        <v/>
      </c>
      <c r="BC34" s="284" t="str">
        <f t="shared" ref="BC34" ca="1" si="99">IF(IFERROR((BC$11*(BC26-SUM(BC28:BC31)/BC$11)*BC33*3600)/(BC32),"")&lt;&gt;0,IFERROR((BC$11*(BC26-SUM(BC28:BC31)/BC$11)*BC33*3600)/(BC32),""),"")</f>
        <v/>
      </c>
      <c r="BD34" s="283" t="str">
        <f t="shared" ref="BD34" ca="1" si="100">IF(IFERROR((BD$11*(BD26-SUM(BD28:BD31)/BD$11)*BD33*3600)/(BD32),"")&lt;&gt;0,IFERROR((BD$11*(BD26-SUM(BD28:BD31)/BD$11)*BD33*3600)/(BD32),""),"")</f>
        <v/>
      </c>
      <c r="BE34" s="285" t="str">
        <f t="shared" ref="BE34" ca="1" si="101">IF(IFERROR((BE$11*(BE26-SUM(BE28:BE31)/BE$11)*BE33*3600)/(BE32),"")&lt;&gt;0,IFERROR((BE$11*(BE26-SUM(BE28:BE31)/BE$11)*BE33*3600)/(BE32),""),"")</f>
        <v/>
      </c>
      <c r="BF34" s="285" t="e">
        <f t="shared" ref="BF34:BF35" ca="1" si="102">IF(SUM(AP34,AQ34)&lt;&gt;0,SUM(AP34,AQ34),#N/A)</f>
        <v>#N/A</v>
      </c>
      <c r="BG34" s="285" t="e">
        <f t="shared" ref="BG34:BG35" ca="1" si="103">IF(SUM(AR34,AS34)&lt;&gt;0,SUM(AR34,AS34),#N/A)</f>
        <v>#N/A</v>
      </c>
      <c r="BH34" s="285" t="e">
        <f t="shared" ref="BH34:BH35" ca="1" si="104">IF(SUM(AT34,AU34)&lt;&gt;0,SUM(AT34,AU34),#N/A)</f>
        <v>#N/A</v>
      </c>
      <c r="BI34" s="285" t="e">
        <f t="shared" ref="BI34:BI35" ca="1" si="105">IF(SUM(AV34,AW34)&lt;&gt;0,SUM(AV34,AW34),#N/A)</f>
        <v>#N/A</v>
      </c>
      <c r="BJ34" s="285" t="e">
        <f t="shared" ref="BJ34:BJ35" ca="1" si="106">IF(SUM(AX34,AY34)&lt;&gt;0,SUM(AX34,AY34),#N/A)</f>
        <v>#N/A</v>
      </c>
      <c r="BK34" s="285" t="e">
        <f t="shared" ref="BK34:BK35" ca="1" si="107">IF(SUM(AZ34,BA34)&lt;&gt;0,SUM(AZ34,BA34),#N/A)</f>
        <v>#N/A</v>
      </c>
      <c r="BL34" s="285" t="e">
        <f t="shared" ref="BL34:BL35" ca="1" si="108">IF(SUM(BB34,BC34)&lt;&gt;0,SUM(BB34,BC34),#N/A)</f>
        <v>#N/A</v>
      </c>
      <c r="BM34" s="285" t="e">
        <f t="shared" ref="BM34:BM35" ca="1" si="109">IF(SUM(BD34,BE34)&lt;&gt;0,SUM(BD34,BE34),#N/A)</f>
        <v>#N/A</v>
      </c>
    </row>
    <row r="35" spans="1:65" s="102" customFormat="1" ht="15" customHeight="1" outlineLevel="1" thickBot="1" x14ac:dyDescent="0.25">
      <c r="A35" s="320" t="s">
        <v>226</v>
      </c>
      <c r="B35" s="348"/>
      <c r="C35" s="351"/>
      <c r="D35" s="345"/>
      <c r="E35" s="104" t="s">
        <v>225</v>
      </c>
      <c r="F35" s="317" t="str">
        <f ca="1">IFERROR(F34+((F25*F27*F33*3600)/(F32)),"")</f>
        <v/>
      </c>
      <c r="G35" s="318" t="str">
        <f t="shared" ref="G35:AO35" ca="1" si="110">IFERROR(G34+((G25*G27*G33*3600)/(G32)),"")</f>
        <v/>
      </c>
      <c r="H35" s="318" t="str">
        <f t="shared" ca="1" si="110"/>
        <v/>
      </c>
      <c r="I35" s="318" t="str">
        <f t="shared" ca="1" si="110"/>
        <v/>
      </c>
      <c r="J35" s="318" t="str">
        <f t="shared" ca="1" si="110"/>
        <v/>
      </c>
      <c r="K35" s="318" t="str">
        <f t="shared" ca="1" si="110"/>
        <v/>
      </c>
      <c r="L35" s="318" t="str">
        <f t="shared" ca="1" si="110"/>
        <v/>
      </c>
      <c r="M35" s="318" t="str">
        <f t="shared" ca="1" si="110"/>
        <v/>
      </c>
      <c r="N35" s="318" t="str">
        <f t="shared" ca="1" si="110"/>
        <v/>
      </c>
      <c r="O35" s="318" t="str">
        <f t="shared" ca="1" si="110"/>
        <v/>
      </c>
      <c r="P35" s="318" t="str">
        <f t="shared" ca="1" si="110"/>
        <v/>
      </c>
      <c r="Q35" s="318" t="str">
        <f t="shared" ca="1" si="110"/>
        <v/>
      </c>
      <c r="R35" s="317" t="str">
        <f t="shared" ca="1" si="110"/>
        <v/>
      </c>
      <c r="S35" s="318" t="str">
        <f t="shared" ca="1" si="110"/>
        <v/>
      </c>
      <c r="T35" s="318" t="str">
        <f t="shared" ca="1" si="110"/>
        <v/>
      </c>
      <c r="U35" s="318" t="str">
        <f t="shared" ca="1" si="110"/>
        <v/>
      </c>
      <c r="V35" s="318" t="str">
        <f t="shared" ca="1" si="110"/>
        <v/>
      </c>
      <c r="W35" s="318" t="str">
        <f t="shared" ca="1" si="110"/>
        <v/>
      </c>
      <c r="X35" s="318" t="str">
        <f t="shared" ca="1" si="110"/>
        <v/>
      </c>
      <c r="Y35" s="318" t="str">
        <f t="shared" ca="1" si="110"/>
        <v/>
      </c>
      <c r="Z35" s="318" t="str">
        <f t="shared" ca="1" si="110"/>
        <v/>
      </c>
      <c r="AA35" s="318" t="str">
        <f t="shared" ca="1" si="110"/>
        <v/>
      </c>
      <c r="AB35" s="318" t="str">
        <f t="shared" ca="1" si="110"/>
        <v/>
      </c>
      <c r="AC35" s="318" t="str">
        <f t="shared" ca="1" si="110"/>
        <v/>
      </c>
      <c r="AD35" s="317" t="str">
        <f t="shared" ca="1" si="110"/>
        <v/>
      </c>
      <c r="AE35" s="318" t="str">
        <f t="shared" ca="1" si="110"/>
        <v/>
      </c>
      <c r="AF35" s="318" t="str">
        <f t="shared" ca="1" si="110"/>
        <v/>
      </c>
      <c r="AG35" s="318" t="str">
        <f t="shared" ca="1" si="110"/>
        <v/>
      </c>
      <c r="AH35" s="318" t="str">
        <f t="shared" ca="1" si="110"/>
        <v/>
      </c>
      <c r="AI35" s="318" t="str">
        <f t="shared" ca="1" si="110"/>
        <v/>
      </c>
      <c r="AJ35" s="318" t="str">
        <f t="shared" ca="1" si="110"/>
        <v/>
      </c>
      <c r="AK35" s="318" t="str">
        <f t="shared" ca="1" si="110"/>
        <v/>
      </c>
      <c r="AL35" s="318" t="str">
        <f t="shared" ca="1" si="110"/>
        <v/>
      </c>
      <c r="AM35" s="318" t="str">
        <f t="shared" ca="1" si="110"/>
        <v/>
      </c>
      <c r="AN35" s="318" t="str">
        <f t="shared" ca="1" si="110"/>
        <v/>
      </c>
      <c r="AO35" s="318" t="str">
        <f t="shared" ca="1" si="110"/>
        <v/>
      </c>
      <c r="AP35" s="317" t="e">
        <f t="shared" ca="1" si="87"/>
        <v>#N/A</v>
      </c>
      <c r="AQ35" s="318" t="e">
        <f t="shared" ca="1" si="88"/>
        <v>#N/A</v>
      </c>
      <c r="AR35" s="317" t="e">
        <f t="shared" ca="1" si="89"/>
        <v>#N/A</v>
      </c>
      <c r="AS35" s="318" t="e">
        <f t="shared" ca="1" si="90"/>
        <v>#N/A</v>
      </c>
      <c r="AT35" s="317" t="e">
        <f t="shared" ca="1" si="91"/>
        <v>#N/A</v>
      </c>
      <c r="AU35" s="318" t="e">
        <f t="shared" ca="1" si="92"/>
        <v>#N/A</v>
      </c>
      <c r="AV35" s="317" t="str">
        <f t="shared" ref="AV35:BE35" ca="1" si="111">IFERROR(AV34+((AV25*AV27*AV33*3600)/(AV32)),"")</f>
        <v/>
      </c>
      <c r="AW35" s="318" t="str">
        <f t="shared" ca="1" si="111"/>
        <v/>
      </c>
      <c r="AX35" s="317" t="str">
        <f t="shared" ca="1" si="111"/>
        <v/>
      </c>
      <c r="AY35" s="318" t="str">
        <f t="shared" ca="1" si="111"/>
        <v/>
      </c>
      <c r="AZ35" s="317" t="str">
        <f t="shared" ca="1" si="111"/>
        <v/>
      </c>
      <c r="BA35" s="318" t="str">
        <f t="shared" ca="1" si="111"/>
        <v/>
      </c>
      <c r="BB35" s="317" t="str">
        <f t="shared" ca="1" si="111"/>
        <v/>
      </c>
      <c r="BC35" s="318" t="str">
        <f t="shared" ca="1" si="111"/>
        <v/>
      </c>
      <c r="BD35" s="317" t="str">
        <f t="shared" ca="1" si="111"/>
        <v/>
      </c>
      <c r="BE35" s="291" t="str">
        <f t="shared" ca="1" si="111"/>
        <v/>
      </c>
      <c r="BF35" s="291" t="e">
        <f t="shared" ca="1" si="102"/>
        <v>#N/A</v>
      </c>
      <c r="BG35" s="291" t="e">
        <f t="shared" ca="1" si="103"/>
        <v>#N/A</v>
      </c>
      <c r="BH35" s="291" t="e">
        <f t="shared" ca="1" si="104"/>
        <v>#N/A</v>
      </c>
      <c r="BI35" s="291" t="e">
        <f t="shared" ca="1" si="105"/>
        <v>#N/A</v>
      </c>
      <c r="BJ35" s="291" t="e">
        <f t="shared" ca="1" si="106"/>
        <v>#N/A</v>
      </c>
      <c r="BK35" s="291" t="e">
        <f t="shared" ca="1" si="107"/>
        <v>#N/A</v>
      </c>
      <c r="BL35" s="291" t="e">
        <f t="shared" ca="1" si="108"/>
        <v>#N/A</v>
      </c>
      <c r="BM35" s="291" t="e">
        <f t="shared" ca="1" si="109"/>
        <v>#N/A</v>
      </c>
    </row>
    <row r="36" spans="1:65" s="102" customFormat="1" ht="22.5" outlineLevel="2" x14ac:dyDescent="0.2">
      <c r="A36" s="320" t="s">
        <v>226</v>
      </c>
      <c r="B36" s="346"/>
      <c r="C36" s="349" t="str">
        <f t="shared" ref="C36" si="112">IF(AND($B36&lt;&gt;0,$C$9&lt;&gt;0),$C$9,"")</f>
        <v/>
      </c>
      <c r="D36" s="343"/>
      <c r="E36" s="277" t="s">
        <v>40</v>
      </c>
      <c r="F36" s="33">
        <f ca="1">IF(F$11-(SUM(F40:F43)/24)=0,"",F$11-(SUM(F40:F43)/24))</f>
        <v>27</v>
      </c>
      <c r="G36" s="34">
        <f t="shared" ref="G36:AO36" ca="1" si="113">IF(G$11-(SUM(G40:G43)/24)=0,"",G$11-(SUM(G40:G43)/24))</f>
        <v>24</v>
      </c>
      <c r="H36" s="34">
        <f t="shared" ca="1" si="113"/>
        <v>26</v>
      </c>
      <c r="I36" s="34">
        <f t="shared" ca="1" si="113"/>
        <v>26</v>
      </c>
      <c r="J36" s="34">
        <f t="shared" ca="1" si="113"/>
        <v>27</v>
      </c>
      <c r="K36" s="34">
        <f t="shared" ca="1" si="113"/>
        <v>25</v>
      </c>
      <c r="L36" s="34">
        <f t="shared" ca="1" si="113"/>
        <v>27</v>
      </c>
      <c r="M36" s="34">
        <f t="shared" ca="1" si="113"/>
        <v>26</v>
      </c>
      <c r="N36" s="34">
        <f t="shared" ca="1" si="113"/>
        <v>26</v>
      </c>
      <c r="O36" s="34">
        <f t="shared" ca="1" si="113"/>
        <v>27</v>
      </c>
      <c r="P36" s="34">
        <f t="shared" ca="1" si="113"/>
        <v>25</v>
      </c>
      <c r="Q36" s="34">
        <f t="shared" ca="1" si="113"/>
        <v>27</v>
      </c>
      <c r="R36" s="32">
        <f t="shared" ca="1" si="113"/>
        <v>27</v>
      </c>
      <c r="S36" s="29">
        <f t="shared" ca="1" si="113"/>
        <v>24</v>
      </c>
      <c r="T36" s="29">
        <f t="shared" ca="1" si="113"/>
        <v>26</v>
      </c>
      <c r="U36" s="29">
        <f t="shared" ca="1" si="113"/>
        <v>26</v>
      </c>
      <c r="V36" s="29">
        <f t="shared" ca="1" si="113"/>
        <v>26</v>
      </c>
      <c r="W36" s="29">
        <f t="shared" ca="1" si="113"/>
        <v>26</v>
      </c>
      <c r="X36" s="29">
        <f t="shared" ca="1" si="113"/>
        <v>27</v>
      </c>
      <c r="Y36" s="29">
        <f t="shared" ca="1" si="113"/>
        <v>26</v>
      </c>
      <c r="Z36" s="29">
        <f t="shared" ca="1" si="113"/>
        <v>26</v>
      </c>
      <c r="AA36" s="29">
        <f t="shared" ca="1" si="113"/>
        <v>27</v>
      </c>
      <c r="AB36" s="29">
        <f t="shared" ca="1" si="113"/>
        <v>25</v>
      </c>
      <c r="AC36" s="29">
        <f t="shared" ca="1" si="113"/>
        <v>27</v>
      </c>
      <c r="AD36" s="32">
        <f t="shared" ca="1" si="113"/>
        <v>26</v>
      </c>
      <c r="AE36" s="29">
        <f t="shared" ca="1" si="113"/>
        <v>24</v>
      </c>
      <c r="AF36" s="29">
        <f t="shared" ca="1" si="113"/>
        <v>27</v>
      </c>
      <c r="AG36" s="29">
        <f t="shared" ca="1" si="113"/>
        <v>26</v>
      </c>
      <c r="AH36" s="29">
        <f t="shared" ca="1" si="113"/>
        <v>26</v>
      </c>
      <c r="AI36" s="29">
        <f t="shared" ca="1" si="113"/>
        <v>26</v>
      </c>
      <c r="AJ36" s="29">
        <f t="shared" ca="1" si="113"/>
        <v>27</v>
      </c>
      <c r="AK36" s="29">
        <f t="shared" ca="1" si="113"/>
        <v>26</v>
      </c>
      <c r="AL36" s="29">
        <f t="shared" ca="1" si="113"/>
        <v>26</v>
      </c>
      <c r="AM36" s="29">
        <f t="shared" ca="1" si="113"/>
        <v>26</v>
      </c>
      <c r="AN36" s="29">
        <f t="shared" ca="1" si="113"/>
        <v>26</v>
      </c>
      <c r="AO36" s="29">
        <f t="shared" ca="1" si="113"/>
        <v>27</v>
      </c>
      <c r="AP36" s="32">
        <f ca="1">IF(SUM(F36:K36)&lt;&gt;0,SUM(F36:K36),"")</f>
        <v>155</v>
      </c>
      <c r="AQ36" s="29">
        <f ca="1">IF(SUM(L36:Q36)&lt;&gt;0,SUM(L36:Q36),"")</f>
        <v>158</v>
      </c>
      <c r="AR36" s="32">
        <f ca="1">IF(SUM(R36:W36)&lt;&gt;0,SUM(R36:W36),"")</f>
        <v>155</v>
      </c>
      <c r="AS36" s="29">
        <f ca="1">IF(SUM(X36:AC36)&lt;&gt;0,SUM(X36:AC36),"")</f>
        <v>158</v>
      </c>
      <c r="AT36" s="32">
        <f ca="1">IF(SUM(AD36:AI36)&lt;&gt;0,SUM(AD36:AI36),"")</f>
        <v>155</v>
      </c>
      <c r="AU36" s="296">
        <f ca="1">SUM(AJ36:AO36)</f>
        <v>158</v>
      </c>
      <c r="AV36" s="32">
        <f t="shared" ref="AV36:BE36" ca="1" si="114">IF(AV$11-(SUM(AV40:AV43)/24)=0,"",AV$11-(SUM(AV40:AV43)/24))</f>
        <v>156</v>
      </c>
      <c r="AW36" s="29">
        <f t="shared" ca="1" si="114"/>
        <v>157</v>
      </c>
      <c r="AX36" s="32">
        <f t="shared" ca="1" si="114"/>
        <v>156</v>
      </c>
      <c r="AY36" s="29">
        <f t="shared" ca="1" si="114"/>
        <v>158</v>
      </c>
      <c r="AZ36" s="32">
        <f t="shared" ca="1" si="114"/>
        <v>155</v>
      </c>
      <c r="BA36" s="29">
        <f t="shared" ca="1" si="114"/>
        <v>158</v>
      </c>
      <c r="BB36" s="32">
        <f t="shared" ca="1" si="114"/>
        <v>155</v>
      </c>
      <c r="BC36" s="29">
        <f t="shared" ca="1" si="114"/>
        <v>158</v>
      </c>
      <c r="BD36" s="32">
        <f t="shared" ca="1" si="114"/>
        <v>156</v>
      </c>
      <c r="BE36" s="262">
        <f t="shared" ca="1" si="114"/>
        <v>158</v>
      </c>
      <c r="BF36" s="286">
        <f t="shared" ref="BF36" ca="1" si="115">IF(SUM(AP36,AQ36)&lt;&gt;0,SUM(AP36,AQ36),#N/A)</f>
        <v>313</v>
      </c>
      <c r="BG36" s="286">
        <f t="shared" ref="BG36" ca="1" si="116">IF(SUM(AR36,AS36)&lt;&gt;0,SUM(AR36,AS36),#N/A)</f>
        <v>313</v>
      </c>
      <c r="BH36" s="286">
        <f t="shared" ref="BH36" ca="1" si="117">IF(SUM(AT36,AU36)&lt;&gt;0,SUM(AT36,AU36),#N/A)</f>
        <v>313</v>
      </c>
      <c r="BI36" s="286">
        <f t="shared" ref="BI36" ca="1" si="118">IF(SUM(AV36,AW36)&lt;&gt;0,SUM(AV36,AW36),#N/A)</f>
        <v>313</v>
      </c>
      <c r="BJ36" s="286">
        <f t="shared" ref="BJ36" ca="1" si="119">IF(SUM(AX36,AY36)&lt;&gt;0,SUM(AX36,AY36),#N/A)</f>
        <v>314</v>
      </c>
      <c r="BK36" s="286">
        <f t="shared" ref="BK36" ca="1" si="120">IF(SUM(AZ36,BA36)&lt;&gt;0,SUM(AZ36,BA36),#N/A)</f>
        <v>313</v>
      </c>
      <c r="BL36" s="286">
        <f t="shared" ref="BL36" ca="1" si="121">IF(SUM(BB36,BC36)&lt;&gt;0,SUM(BB36,BC36),#N/A)</f>
        <v>313</v>
      </c>
      <c r="BM36" s="286">
        <f t="shared" ref="BM36" ca="1" si="122">IF(SUM(BD36,BE36)&lt;&gt;0,SUM(BD36,BE36),#N/A)</f>
        <v>314</v>
      </c>
    </row>
    <row r="37" spans="1:65" s="102" customFormat="1" ht="15" customHeight="1" outlineLevel="2" thickBot="1" x14ac:dyDescent="0.25">
      <c r="A37" s="320" t="s">
        <v>226</v>
      </c>
      <c r="B37" s="347"/>
      <c r="C37" s="350"/>
      <c r="D37" s="344"/>
      <c r="E37" s="278" t="s">
        <v>29</v>
      </c>
      <c r="F37" s="47"/>
      <c r="G37" s="48"/>
      <c r="H37" s="48"/>
      <c r="I37" s="48"/>
      <c r="J37" s="48"/>
      <c r="K37" s="48"/>
      <c r="L37" s="48"/>
      <c r="M37" s="48"/>
      <c r="N37" s="48"/>
      <c r="O37" s="48"/>
      <c r="P37" s="48"/>
      <c r="Q37" s="51"/>
      <c r="R37" s="47"/>
      <c r="S37" s="48"/>
      <c r="T37" s="48"/>
      <c r="U37" s="48"/>
      <c r="V37" s="48"/>
      <c r="W37" s="48"/>
      <c r="X37" s="48"/>
      <c r="Y37" s="48"/>
      <c r="Z37" s="48"/>
      <c r="AA37" s="48"/>
      <c r="AB37" s="48"/>
      <c r="AC37" s="51"/>
      <c r="AD37" s="47"/>
      <c r="AE37" s="48"/>
      <c r="AF37" s="48"/>
      <c r="AG37" s="48"/>
      <c r="AH37" s="48"/>
      <c r="AI37" s="48"/>
      <c r="AJ37" s="48"/>
      <c r="AK37" s="48"/>
      <c r="AL37" s="48"/>
      <c r="AM37" s="48"/>
      <c r="AN37" s="48"/>
      <c r="AO37" s="51"/>
      <c r="AP37" s="294" t="str">
        <f>IFERROR(IF(SUM(F37:K37)&lt;&gt;0,SUM(F37:K37),""),"")</f>
        <v/>
      </c>
      <c r="AQ37" s="295" t="str">
        <f>IFERROR(IF(SUM(L37:Q37)&lt;&gt;0,SUM(L37:Q37),""),"")</f>
        <v/>
      </c>
      <c r="AR37" s="294" t="str">
        <f>IFERROR(IF(SUM(R37:W37)&lt;&gt;0,SUM(R37:W37),""),"")</f>
        <v/>
      </c>
      <c r="AS37" s="295" t="str">
        <f>IFERROR(IF(SUM(X37:AC37)&lt;&gt;0,SUM(X37:AC37),""),"")</f>
        <v/>
      </c>
      <c r="AT37" s="294" t="str">
        <f>IFERROR(IF(SUM(AD37:AI37)&lt;&gt;0,SUM(AD37:AI37),""),"")</f>
        <v/>
      </c>
      <c r="AU37" s="295" t="str">
        <f>IFERROR(IF(SUM(AJ37:AO37)&lt;&gt;0,SUM(AJ37:AO37),""),"")</f>
        <v/>
      </c>
      <c r="AV37" s="47"/>
      <c r="AW37" s="51"/>
      <c r="AX37" s="47"/>
      <c r="AY37" s="51"/>
      <c r="AZ37" s="47"/>
      <c r="BA37" s="51"/>
      <c r="BB37" s="47"/>
      <c r="BC37" s="51"/>
      <c r="BD37" s="47"/>
      <c r="BE37" s="263"/>
      <c r="BF37" s="271" t="str">
        <f>IFERROR(IF(AVERAGE(AP37:AQ37)&lt;&gt;0,AVERAGE(AP37:AQ37),""),"")</f>
        <v/>
      </c>
      <c r="BG37" s="271" t="str">
        <f>IFERROR(IF(AVERAGE(AR37:AS37)&lt;&gt;0,AVERAGE(AR37:AS37),""),"")</f>
        <v/>
      </c>
      <c r="BH37" s="271" t="str">
        <f>IFERROR(IF(AVERAGE(AT37:AU37)&lt;&gt;0,AVERAGE(AT37:AU37),""),"")</f>
        <v/>
      </c>
      <c r="BI37" s="271" t="str">
        <f>IFERROR(IF(AVERAGE(AV37:AW37)&lt;&gt;0,AVERAGE(AV37:AW37),""),"")</f>
        <v/>
      </c>
      <c r="BJ37" s="271" t="str">
        <f>IFERROR(IF(AVERAGE(AX37:AY37)&lt;&gt;0,AVERAGE(AX37:AY37),""),"")</f>
        <v/>
      </c>
      <c r="BK37" s="271" t="str">
        <f>IFERROR(IF(AVERAGE(AZ37:BA37)&lt;&gt;0,AVERAGE(AZ37:BA37),""),"")</f>
        <v/>
      </c>
      <c r="BL37" s="271" t="str">
        <f>IFERROR(IF(AVERAGE(BB37:BC37)&lt;&gt;0,AVERAGE(BB37:BC37),""),"")</f>
        <v/>
      </c>
      <c r="BM37" s="271" t="str">
        <f>IFERROR(IF(AVERAGE(BD37:BE37)&lt;&gt;0,AVERAGE(BD37:BE37),""),"")</f>
        <v/>
      </c>
    </row>
    <row r="38" spans="1:65" s="102" customFormat="1" ht="14.25" customHeight="1" outlineLevel="2" x14ac:dyDescent="0.2">
      <c r="A38" s="320" t="s">
        <v>226</v>
      </c>
      <c r="B38" s="347"/>
      <c r="C38" s="350"/>
      <c r="D38" s="344"/>
      <c r="E38" s="279" t="s">
        <v>28</v>
      </c>
      <c r="F38" s="52"/>
      <c r="G38" s="53"/>
      <c r="H38" s="53"/>
      <c r="I38" s="53"/>
      <c r="J38" s="53"/>
      <c r="K38" s="53"/>
      <c r="L38" s="53"/>
      <c r="M38" s="53"/>
      <c r="N38" s="53"/>
      <c r="O38" s="53"/>
      <c r="P38" s="53"/>
      <c r="Q38" s="54"/>
      <c r="R38" s="52"/>
      <c r="S38" s="53"/>
      <c r="T38" s="53"/>
      <c r="U38" s="53"/>
      <c r="V38" s="53"/>
      <c r="W38" s="53"/>
      <c r="X38" s="53"/>
      <c r="Y38" s="53"/>
      <c r="Z38" s="53"/>
      <c r="AA38" s="53"/>
      <c r="AB38" s="53"/>
      <c r="AC38" s="54"/>
      <c r="AD38" s="52"/>
      <c r="AE38" s="53"/>
      <c r="AF38" s="53"/>
      <c r="AG38" s="53"/>
      <c r="AH38" s="53"/>
      <c r="AI38" s="53"/>
      <c r="AJ38" s="53"/>
      <c r="AK38" s="53"/>
      <c r="AL38" s="53"/>
      <c r="AM38" s="53"/>
      <c r="AN38" s="53"/>
      <c r="AO38" s="54"/>
      <c r="AP38" s="225" t="str">
        <f>IFERROR(IF(AVERAGE(F38:K38)&lt;&gt;0,AVERAGE(F38:K38),""),"")</f>
        <v/>
      </c>
      <c r="AQ38" s="226" t="str">
        <f>IFERROR(IF(AVERAGE(L38:Q38)&lt;&gt;0,AVERAGE(L38:Q38),""),"")</f>
        <v/>
      </c>
      <c r="AR38" s="225" t="str">
        <f>IFERROR(IF(AVERAGE(R38:W38)&lt;&gt;0,AVERAGE(R38:W38),""),"")</f>
        <v/>
      </c>
      <c r="AS38" s="226" t="str">
        <f>IFERROR(IF(AVERAGE(X38:AC38)&lt;&gt;0,AVERAGE(X38:AC38),""),"")</f>
        <v/>
      </c>
      <c r="AT38" s="225" t="str">
        <f>IFERROR(IF(AVERAGE(AD38:AI38)&lt;&gt;0,AVERAGE(AD38:AI38),""),"")</f>
        <v/>
      </c>
      <c r="AU38" s="226" t="str">
        <f>IFERROR(IF(AVERAGE(AJ38:AO38)&lt;&gt;0,AVERAGE(AJ38:AO38),""),"")</f>
        <v/>
      </c>
      <c r="AV38" s="70"/>
      <c r="AW38" s="53"/>
      <c r="AX38" s="70"/>
      <c r="AY38" s="53"/>
      <c r="AZ38" s="70"/>
      <c r="BA38" s="53"/>
      <c r="BB38" s="70"/>
      <c r="BC38" s="53"/>
      <c r="BD38" s="70"/>
      <c r="BE38" s="264"/>
      <c r="BF38" s="272" t="str">
        <f>IFERROR(IF(AVERAGE(AP38:AQ38)&lt;&gt;0,AVERAGE(AP38:AQ38),""),"")</f>
        <v/>
      </c>
      <c r="BG38" s="272" t="str">
        <f>IFERROR(IF(AVERAGE(AR38:AS38)&lt;&gt;0,AVERAGE(AR38:AS38),""),"")</f>
        <v/>
      </c>
      <c r="BH38" s="272" t="str">
        <f>IFERROR(IF(AVERAGE(AT38:AU38)&lt;&gt;0,AVERAGE(AT38:AU38),""),"")</f>
        <v/>
      </c>
      <c r="BI38" s="272" t="str">
        <f>IFERROR(IF(AVERAGE(AV38:AW38)&lt;&gt;0,AVERAGE(AV38:AW38),""),"")</f>
        <v/>
      </c>
      <c r="BJ38" s="272" t="str">
        <f>IFERROR(IF(AVERAGE(AX38:AY38)&lt;&gt;0,AVERAGE(AX38:AY38),""),"")</f>
        <v/>
      </c>
      <c r="BK38" s="272" t="str">
        <f>IFERROR(IF(AVERAGE(AZ38:BA38)&lt;&gt;0,AVERAGE(AZ38:BA38),""),"")</f>
        <v/>
      </c>
      <c r="BL38" s="272" t="str">
        <f>IFERROR(IF(AVERAGE(BB38:BC38)&lt;&gt;0,AVERAGE(BB38:BC38),""),"")</f>
        <v/>
      </c>
      <c r="BM38" s="272" t="str">
        <f>IFERROR(IF(AVERAGE(BD38:BE38)&lt;&gt;0,AVERAGE(BD38:BE38),""),"")</f>
        <v/>
      </c>
    </row>
    <row r="39" spans="1:65" s="102" customFormat="1" ht="15" customHeight="1" outlineLevel="2" thickBot="1" x14ac:dyDescent="0.25">
      <c r="A39" s="320" t="s">
        <v>226</v>
      </c>
      <c r="B39" s="347"/>
      <c r="C39" s="350"/>
      <c r="D39" s="344"/>
      <c r="E39" s="278" t="s">
        <v>30</v>
      </c>
      <c r="F39" s="55"/>
      <c r="G39" s="56"/>
      <c r="H39" s="56"/>
      <c r="I39" s="56"/>
      <c r="J39" s="56"/>
      <c r="K39" s="56"/>
      <c r="L39" s="56"/>
      <c r="M39" s="56"/>
      <c r="N39" s="56"/>
      <c r="O39" s="56"/>
      <c r="P39" s="56"/>
      <c r="Q39" s="57"/>
      <c r="R39" s="55"/>
      <c r="S39" s="56"/>
      <c r="T39" s="56"/>
      <c r="U39" s="56"/>
      <c r="V39" s="56"/>
      <c r="W39" s="56"/>
      <c r="X39" s="56"/>
      <c r="Y39" s="56"/>
      <c r="Z39" s="56"/>
      <c r="AA39" s="56"/>
      <c r="AB39" s="56"/>
      <c r="AC39" s="57"/>
      <c r="AD39" s="55"/>
      <c r="AE39" s="56"/>
      <c r="AF39" s="56"/>
      <c r="AG39" s="56"/>
      <c r="AH39" s="56"/>
      <c r="AI39" s="56"/>
      <c r="AJ39" s="56"/>
      <c r="AK39" s="56"/>
      <c r="AL39" s="56"/>
      <c r="AM39" s="56"/>
      <c r="AN39" s="56"/>
      <c r="AO39" s="57"/>
      <c r="AP39" s="227" t="str">
        <f>IFERROR(IF(AVERAGE(F39:K39)&lt;&gt;0,AVERAGE(F39:K39),""),"")</f>
        <v/>
      </c>
      <c r="AQ39" s="228" t="str">
        <f>IFERROR(IF(AVERAGE(L39:Q39)&lt;&gt;0,AVERAGE(L39:Q39),""),"")</f>
        <v/>
      </c>
      <c r="AR39" s="227" t="str">
        <f>IFERROR(IF(AVERAGE(R39:W39)&lt;&gt;0,AVERAGE(R39:W39),""),"")</f>
        <v/>
      </c>
      <c r="AS39" s="228" t="str">
        <f>IFERROR(IF(AVERAGE(X39:AC39)&lt;&gt;0,AVERAGE(X39:AC39),""),"")</f>
        <v/>
      </c>
      <c r="AT39" s="227" t="str">
        <f>IFERROR(IF(AVERAGE(AD39:AI39)&lt;&gt;0,AVERAGE(AD39:AI39),""),"")</f>
        <v/>
      </c>
      <c r="AU39" s="228" t="str">
        <f>IFERROR(IF(AVERAGE(AJ39:AO39)&lt;&gt;0,AVERAGE(AJ39:AO39),""),"")</f>
        <v/>
      </c>
      <c r="AV39" s="71"/>
      <c r="AW39" s="56"/>
      <c r="AX39" s="71"/>
      <c r="AY39" s="56"/>
      <c r="AZ39" s="71"/>
      <c r="BA39" s="56"/>
      <c r="BB39" s="71"/>
      <c r="BC39" s="56"/>
      <c r="BD39" s="71"/>
      <c r="BE39" s="265"/>
      <c r="BF39" s="273" t="str">
        <f>IFERROR(IF(AVERAGE(AP39:AQ39)&lt;&gt;0,AVERAGE(AP39:AQ39),""),"")</f>
        <v/>
      </c>
      <c r="BG39" s="273" t="str">
        <f>IFERROR(IF(AVERAGE(AR39:AS39)&lt;&gt;0,AVERAGE(AR39:AS39),""),"")</f>
        <v/>
      </c>
      <c r="BH39" s="273" t="str">
        <f>IFERROR(IF(AVERAGE(AT39:AU39)&lt;&gt;0,AVERAGE(AT39:AU39),""),"")</f>
        <v/>
      </c>
      <c r="BI39" s="273" t="str">
        <f>IFERROR(IF(AVERAGE(AV39:AW39)&lt;&gt;0,AVERAGE(AV39:AW39),""),"")</f>
        <v/>
      </c>
      <c r="BJ39" s="273" t="str">
        <f>IFERROR(IF(AVERAGE(AX39:AY39)&lt;&gt;0,AVERAGE(AX39:AY39),""),"")</f>
        <v/>
      </c>
      <c r="BK39" s="273" t="str">
        <f>IFERROR(IF(AVERAGE(AZ39:BA39)&lt;&gt;0,AVERAGE(AZ39:BA39),""),"")</f>
        <v/>
      </c>
      <c r="BL39" s="273" t="str">
        <f>IFERROR(IF(AVERAGE(BB39:BC39)&lt;&gt;0,AVERAGE(BB39:BC39),""),"")</f>
        <v/>
      </c>
      <c r="BM39" s="273" t="str">
        <f>IFERROR(IF(AVERAGE(BD39:BE39)&lt;&gt;0,AVERAGE(BD39:BE39),""),"")</f>
        <v/>
      </c>
    </row>
    <row r="40" spans="1:65" s="102" customFormat="1" ht="14.25" customHeight="1" outlineLevel="2" x14ac:dyDescent="0.2">
      <c r="A40" s="320" t="s">
        <v>226</v>
      </c>
      <c r="B40" s="347"/>
      <c r="C40" s="350"/>
      <c r="D40" s="344"/>
      <c r="E40" s="279" t="s">
        <v>25</v>
      </c>
      <c r="F40" s="58"/>
      <c r="G40" s="50"/>
      <c r="H40" s="50"/>
      <c r="I40" s="50"/>
      <c r="J40" s="50"/>
      <c r="K40" s="50"/>
      <c r="L40" s="50"/>
      <c r="M40" s="50"/>
      <c r="N40" s="50"/>
      <c r="O40" s="50"/>
      <c r="P40" s="50"/>
      <c r="Q40" s="59"/>
      <c r="R40" s="58"/>
      <c r="S40" s="50"/>
      <c r="T40" s="50"/>
      <c r="U40" s="50"/>
      <c r="V40" s="50"/>
      <c r="W40" s="50"/>
      <c r="X40" s="50"/>
      <c r="Y40" s="50"/>
      <c r="Z40" s="50"/>
      <c r="AA40" s="50"/>
      <c r="AB40" s="50"/>
      <c r="AC40" s="59"/>
      <c r="AD40" s="58"/>
      <c r="AE40" s="50"/>
      <c r="AF40" s="50"/>
      <c r="AG40" s="50"/>
      <c r="AH40" s="50"/>
      <c r="AI40" s="50"/>
      <c r="AJ40" s="50"/>
      <c r="AK40" s="50"/>
      <c r="AL40" s="50"/>
      <c r="AM40" s="50"/>
      <c r="AN40" s="50"/>
      <c r="AO40" s="59"/>
      <c r="AP40" s="229" t="str">
        <f>IFERROR(IF(SUM(F40:K40)&lt;&gt;0,SUM(F40:K40),""),"")</f>
        <v/>
      </c>
      <c r="AQ40" s="230" t="str">
        <f>IFERROR(IF(SUM(L40:Q40)&lt;&gt;0,SUM(L40:Q40),""),"")</f>
        <v/>
      </c>
      <c r="AR40" s="229" t="str">
        <f>IFERROR(IF(SUM(R40:W40)&lt;&gt;0,SUM(R40:W40),""),"")</f>
        <v/>
      </c>
      <c r="AS40" s="230" t="str">
        <f>IFERROR(IF(SUM(X40:AC40)&lt;&gt;0,SUM(X40:AC40),""),"")</f>
        <v/>
      </c>
      <c r="AT40" s="229" t="str">
        <f>IFERROR(IF(SUM(AD40:AI40)&lt;&gt;0,SUM(AD40:AI40),""),"")</f>
        <v/>
      </c>
      <c r="AU40" s="230" t="str">
        <f>IFERROR(IF(SUM(AJ40:AO40)&lt;&gt;0,SUM(AJ40:AO40),""),"")</f>
        <v/>
      </c>
      <c r="AV40" s="72"/>
      <c r="AW40" s="73"/>
      <c r="AX40" s="72"/>
      <c r="AY40" s="73"/>
      <c r="AZ40" s="72"/>
      <c r="BA40" s="73"/>
      <c r="BB40" s="72"/>
      <c r="BC40" s="73"/>
      <c r="BD40" s="72"/>
      <c r="BE40" s="266"/>
      <c r="BF40" s="286" t="e">
        <f t="shared" ref="BF40:BF43" si="123">IF(SUM(AP40,AQ40)&lt;&gt;0,SUM(AP40,AQ40),#N/A)</f>
        <v>#N/A</v>
      </c>
      <c r="BG40" s="286" t="e">
        <f t="shared" ref="BG40:BG43" si="124">IF(SUM(AR40,AS40)&lt;&gt;0,SUM(AR40,AS40),#N/A)</f>
        <v>#N/A</v>
      </c>
      <c r="BH40" s="286" t="e">
        <f t="shared" ref="BH40:BH43" si="125">IF(SUM(AT40,AU40)&lt;&gt;0,SUM(AT40,AU40),#N/A)</f>
        <v>#N/A</v>
      </c>
      <c r="BI40" s="286" t="e">
        <f t="shared" ref="BI40:BI43" si="126">IF(SUM(AV40,AW40)&lt;&gt;0,SUM(AV40,AW40),#N/A)</f>
        <v>#N/A</v>
      </c>
      <c r="BJ40" s="286" t="e">
        <f t="shared" ref="BJ40:BJ43" si="127">IF(SUM(AX40,AY40)&lt;&gt;0,SUM(AX40,AY40),#N/A)</f>
        <v>#N/A</v>
      </c>
      <c r="BK40" s="286" t="e">
        <f t="shared" ref="BK40:BK43" si="128">IF(SUM(AZ40,BA40)&lt;&gt;0,SUM(AZ40,BA40),#N/A)</f>
        <v>#N/A</v>
      </c>
      <c r="BL40" s="286" t="e">
        <f t="shared" ref="BL40:BL43" si="129">IF(SUM(BB40,BC40)&lt;&gt;0,SUM(BB40,BC40),#N/A)</f>
        <v>#N/A</v>
      </c>
      <c r="BM40" s="286" t="e">
        <f t="shared" ref="BM40:BM43" si="130">IF(SUM(BD40,BE40)&lt;&gt;0,SUM(BD40,BE40),#N/A)</f>
        <v>#N/A</v>
      </c>
    </row>
    <row r="41" spans="1:65" s="102" customFormat="1" ht="14.25" customHeight="1" outlineLevel="2" x14ac:dyDescent="0.2">
      <c r="A41" s="320" t="s">
        <v>226</v>
      </c>
      <c r="B41" s="347"/>
      <c r="C41" s="350"/>
      <c r="D41" s="344"/>
      <c r="E41" s="280" t="s">
        <v>26</v>
      </c>
      <c r="F41" s="60"/>
      <c r="G41" s="61"/>
      <c r="H41" s="61"/>
      <c r="I41" s="61"/>
      <c r="J41" s="61"/>
      <c r="K41" s="61"/>
      <c r="L41" s="61"/>
      <c r="M41" s="61"/>
      <c r="N41" s="61"/>
      <c r="O41" s="61"/>
      <c r="P41" s="61"/>
      <c r="Q41" s="62"/>
      <c r="R41" s="60"/>
      <c r="S41" s="61"/>
      <c r="T41" s="61"/>
      <c r="U41" s="61"/>
      <c r="V41" s="61"/>
      <c r="W41" s="61"/>
      <c r="X41" s="61"/>
      <c r="Y41" s="61"/>
      <c r="Z41" s="61"/>
      <c r="AA41" s="61"/>
      <c r="AB41" s="61"/>
      <c r="AC41" s="62"/>
      <c r="AD41" s="60"/>
      <c r="AE41" s="61"/>
      <c r="AF41" s="61"/>
      <c r="AG41" s="61"/>
      <c r="AH41" s="61"/>
      <c r="AI41" s="61"/>
      <c r="AJ41" s="61"/>
      <c r="AK41" s="61"/>
      <c r="AL41" s="61"/>
      <c r="AM41" s="61"/>
      <c r="AN41" s="61"/>
      <c r="AO41" s="62"/>
      <c r="AP41" s="231" t="str">
        <f>IFERROR(IF(SUM(F41:K41)&lt;&gt;0,SUM(F41:K41),""),"")</f>
        <v/>
      </c>
      <c r="AQ41" s="232" t="str">
        <f>IFERROR(IF(SUM(L41:Q41)&lt;&gt;0,SUM(L41:Q41),""),"")</f>
        <v/>
      </c>
      <c r="AR41" s="231" t="str">
        <f>IFERROR(IF(SUM(R41:W41)&lt;&gt;0,SUM(R41:W41),""),"")</f>
        <v/>
      </c>
      <c r="AS41" s="232" t="str">
        <f>IFERROR(IF(SUM(X41:AC41)&lt;&gt;0,SUM(X41:AC41),""),"")</f>
        <v/>
      </c>
      <c r="AT41" s="231" t="str">
        <f>IFERROR(IF(SUM(AD41:AI41)&lt;&gt;0,SUM(AD41:AI41),""),"")</f>
        <v/>
      </c>
      <c r="AU41" s="232" t="str">
        <f>IFERROR(IF(SUM(AJ41:AO41)&lt;&gt;0,SUM(AJ41:AO41),""),"")</f>
        <v/>
      </c>
      <c r="AV41" s="74"/>
      <c r="AW41" s="61"/>
      <c r="AX41" s="74"/>
      <c r="AY41" s="61"/>
      <c r="AZ41" s="74"/>
      <c r="BA41" s="61"/>
      <c r="BB41" s="74"/>
      <c r="BC41" s="61"/>
      <c r="BD41" s="74"/>
      <c r="BE41" s="267"/>
      <c r="BF41" s="287" t="e">
        <f t="shared" si="123"/>
        <v>#N/A</v>
      </c>
      <c r="BG41" s="287" t="e">
        <f t="shared" si="124"/>
        <v>#N/A</v>
      </c>
      <c r="BH41" s="287" t="e">
        <f t="shared" si="125"/>
        <v>#N/A</v>
      </c>
      <c r="BI41" s="287" t="e">
        <f t="shared" si="126"/>
        <v>#N/A</v>
      </c>
      <c r="BJ41" s="287" t="e">
        <f t="shared" si="127"/>
        <v>#N/A</v>
      </c>
      <c r="BK41" s="287" t="e">
        <f t="shared" si="128"/>
        <v>#N/A</v>
      </c>
      <c r="BL41" s="287" t="e">
        <f t="shared" si="129"/>
        <v>#N/A</v>
      </c>
      <c r="BM41" s="287" t="e">
        <f t="shared" si="130"/>
        <v>#N/A</v>
      </c>
    </row>
    <row r="42" spans="1:65" s="102" customFormat="1" ht="14.25" customHeight="1" outlineLevel="2" x14ac:dyDescent="0.2">
      <c r="A42" s="320" t="s">
        <v>226</v>
      </c>
      <c r="B42" s="347"/>
      <c r="C42" s="350"/>
      <c r="D42" s="344"/>
      <c r="E42" s="280" t="s">
        <v>27</v>
      </c>
      <c r="F42" s="60"/>
      <c r="G42" s="61"/>
      <c r="H42" s="61"/>
      <c r="I42" s="61"/>
      <c r="J42" s="61"/>
      <c r="K42" s="61"/>
      <c r="L42" s="61"/>
      <c r="M42" s="61"/>
      <c r="N42" s="61"/>
      <c r="O42" s="61"/>
      <c r="P42" s="61"/>
      <c r="Q42" s="62"/>
      <c r="R42" s="60"/>
      <c r="S42" s="61"/>
      <c r="T42" s="61"/>
      <c r="U42" s="61"/>
      <c r="V42" s="61"/>
      <c r="W42" s="61"/>
      <c r="X42" s="61"/>
      <c r="Y42" s="61"/>
      <c r="Z42" s="61"/>
      <c r="AA42" s="61"/>
      <c r="AB42" s="61"/>
      <c r="AC42" s="62"/>
      <c r="AD42" s="60"/>
      <c r="AE42" s="61"/>
      <c r="AF42" s="61"/>
      <c r="AG42" s="61"/>
      <c r="AH42" s="61"/>
      <c r="AI42" s="61"/>
      <c r="AJ42" s="61"/>
      <c r="AK42" s="61"/>
      <c r="AL42" s="61"/>
      <c r="AM42" s="61"/>
      <c r="AN42" s="61"/>
      <c r="AO42" s="62"/>
      <c r="AP42" s="231" t="str">
        <f>IFERROR(IF(SUM(F42:K42)&lt;&gt;0,SUM(F42:K42),""),"")</f>
        <v/>
      </c>
      <c r="AQ42" s="232" t="str">
        <f>IFERROR(IF(SUM(L42:Q42)&lt;&gt;0,SUM(L42:Q42),""),"")</f>
        <v/>
      </c>
      <c r="AR42" s="231" t="str">
        <f>IFERROR(IF(SUM(R42:W42)&lt;&gt;0,SUM(R42:W42),""),"")</f>
        <v/>
      </c>
      <c r="AS42" s="232" t="str">
        <f>IFERROR(IF(SUM(X42:AC42)&lt;&gt;0,SUM(X42:AC42),""),"")</f>
        <v/>
      </c>
      <c r="AT42" s="231" t="str">
        <f>IFERROR(IF(SUM(AD42:AI42)&lt;&gt;0,SUM(AD42:AI42),""),"")</f>
        <v/>
      </c>
      <c r="AU42" s="232" t="str">
        <f>IFERROR(IF(SUM(AJ42:AO42)&lt;&gt;0,SUM(AJ42:AO42),""),"")</f>
        <v/>
      </c>
      <c r="AV42" s="74"/>
      <c r="AW42" s="61"/>
      <c r="AX42" s="74"/>
      <c r="AY42" s="61"/>
      <c r="AZ42" s="74"/>
      <c r="BA42" s="61"/>
      <c r="BB42" s="74"/>
      <c r="BC42" s="61"/>
      <c r="BD42" s="74"/>
      <c r="BE42" s="267"/>
      <c r="BF42" s="287" t="e">
        <f t="shared" si="123"/>
        <v>#N/A</v>
      </c>
      <c r="BG42" s="287" t="e">
        <f t="shared" si="124"/>
        <v>#N/A</v>
      </c>
      <c r="BH42" s="287" t="e">
        <f t="shared" si="125"/>
        <v>#N/A</v>
      </c>
      <c r="BI42" s="287" t="e">
        <f t="shared" si="126"/>
        <v>#N/A</v>
      </c>
      <c r="BJ42" s="287" t="e">
        <f t="shared" si="127"/>
        <v>#N/A</v>
      </c>
      <c r="BK42" s="287" t="e">
        <f t="shared" si="128"/>
        <v>#N/A</v>
      </c>
      <c r="BL42" s="287" t="e">
        <f t="shared" si="129"/>
        <v>#N/A</v>
      </c>
      <c r="BM42" s="287" t="e">
        <f t="shared" si="130"/>
        <v>#N/A</v>
      </c>
    </row>
    <row r="43" spans="1:65" s="102" customFormat="1" ht="15" customHeight="1" outlineLevel="2" thickBot="1" x14ac:dyDescent="0.25">
      <c r="A43" s="320" t="s">
        <v>226</v>
      </c>
      <c r="B43" s="347"/>
      <c r="C43" s="350"/>
      <c r="D43" s="344"/>
      <c r="E43" s="281" t="s">
        <v>88</v>
      </c>
      <c r="F43" s="63"/>
      <c r="G43" s="48"/>
      <c r="H43" s="48"/>
      <c r="I43" s="48"/>
      <c r="J43" s="48"/>
      <c r="K43" s="48"/>
      <c r="L43" s="48"/>
      <c r="M43" s="48"/>
      <c r="N43" s="48"/>
      <c r="O43" s="48"/>
      <c r="P43" s="48"/>
      <c r="Q43" s="51"/>
      <c r="R43" s="63"/>
      <c r="S43" s="48"/>
      <c r="T43" s="48"/>
      <c r="U43" s="48"/>
      <c r="V43" s="48"/>
      <c r="W43" s="48"/>
      <c r="X43" s="48"/>
      <c r="Y43" s="48"/>
      <c r="Z43" s="48"/>
      <c r="AA43" s="48"/>
      <c r="AB43" s="48"/>
      <c r="AC43" s="51"/>
      <c r="AD43" s="63"/>
      <c r="AE43" s="48"/>
      <c r="AF43" s="48"/>
      <c r="AG43" s="48"/>
      <c r="AH43" s="48"/>
      <c r="AI43" s="48"/>
      <c r="AJ43" s="48"/>
      <c r="AK43" s="48"/>
      <c r="AL43" s="48"/>
      <c r="AM43" s="48"/>
      <c r="AN43" s="48"/>
      <c r="AO43" s="51"/>
      <c r="AP43" s="233" t="str">
        <f>IFERROR(IF(SUM(F43:K43)&lt;&gt;0,SUM(F43:K43),""),"")</f>
        <v/>
      </c>
      <c r="AQ43" s="234" t="str">
        <f>IFERROR(IF(SUM(L43:Q43)&lt;&gt;0,SUM(L43:Q43),""),"")</f>
        <v/>
      </c>
      <c r="AR43" s="233" t="str">
        <f>IFERROR(IF(SUM(R43:W43)&lt;&gt;0,SUM(R43:W43),""),"")</f>
        <v/>
      </c>
      <c r="AS43" s="234" t="str">
        <f>IFERROR(IF(SUM(X43:AC43)&lt;&gt;0,SUM(X43:AC43),""),"")</f>
        <v/>
      </c>
      <c r="AT43" s="233" t="str">
        <f>IFERROR(IF(SUM(AD43:AI43)&lt;&gt;0,SUM(AD43:AI43),""),"")</f>
        <v/>
      </c>
      <c r="AU43" s="234" t="str">
        <f>IFERROR(IF(SUM(AJ43:AO43)&lt;&gt;0,SUM(AJ43:AO43),""),"")</f>
        <v/>
      </c>
      <c r="AV43" s="75"/>
      <c r="AW43" s="76"/>
      <c r="AX43" s="75"/>
      <c r="AY43" s="76"/>
      <c r="AZ43" s="75"/>
      <c r="BA43" s="76"/>
      <c r="BB43" s="75"/>
      <c r="BC43" s="76"/>
      <c r="BD43" s="75"/>
      <c r="BE43" s="268"/>
      <c r="BF43" s="271" t="e">
        <f t="shared" si="123"/>
        <v>#N/A</v>
      </c>
      <c r="BG43" s="271" t="e">
        <f t="shared" si="124"/>
        <v>#N/A</v>
      </c>
      <c r="BH43" s="271" t="e">
        <f t="shared" si="125"/>
        <v>#N/A</v>
      </c>
      <c r="BI43" s="271" t="e">
        <f t="shared" si="126"/>
        <v>#N/A</v>
      </c>
      <c r="BJ43" s="271" t="e">
        <f t="shared" si="127"/>
        <v>#N/A</v>
      </c>
      <c r="BK43" s="271" t="e">
        <f t="shared" si="128"/>
        <v>#N/A</v>
      </c>
      <c r="BL43" s="271" t="e">
        <f t="shared" si="129"/>
        <v>#N/A</v>
      </c>
      <c r="BM43" s="271" t="e">
        <f t="shared" si="130"/>
        <v>#N/A</v>
      </c>
    </row>
    <row r="44" spans="1:65" s="102" customFormat="1" ht="14.25" customHeight="1" outlineLevel="2" x14ac:dyDescent="0.2">
      <c r="A44" s="320" t="s">
        <v>226</v>
      </c>
      <c r="B44" s="347"/>
      <c r="C44" s="350"/>
      <c r="D44" s="344"/>
      <c r="E44" s="279" t="s">
        <v>32</v>
      </c>
      <c r="F44" s="64"/>
      <c r="G44" s="65"/>
      <c r="H44" s="65"/>
      <c r="I44" s="65"/>
      <c r="J44" s="65"/>
      <c r="K44" s="65"/>
      <c r="L44" s="65"/>
      <c r="M44" s="65"/>
      <c r="N44" s="65"/>
      <c r="O44" s="65"/>
      <c r="P44" s="65"/>
      <c r="Q44" s="66"/>
      <c r="R44" s="64"/>
      <c r="S44" s="65"/>
      <c r="T44" s="65"/>
      <c r="U44" s="65"/>
      <c r="V44" s="65"/>
      <c r="W44" s="65"/>
      <c r="X44" s="65"/>
      <c r="Y44" s="65"/>
      <c r="Z44" s="65"/>
      <c r="AA44" s="65"/>
      <c r="AB44" s="65"/>
      <c r="AC44" s="66"/>
      <c r="AD44" s="64"/>
      <c r="AE44" s="65"/>
      <c r="AF44" s="65"/>
      <c r="AG44" s="65"/>
      <c r="AH44" s="65"/>
      <c r="AI44" s="65"/>
      <c r="AJ44" s="65"/>
      <c r="AK44" s="65"/>
      <c r="AL44" s="65"/>
      <c r="AM44" s="65"/>
      <c r="AN44" s="65"/>
      <c r="AO44" s="66"/>
      <c r="AP44" s="32" t="str">
        <f>IFERROR(IF(AVERAGE(F44:K44)&lt;&gt;0,AVERAGE(F44:K44),""),"")</f>
        <v/>
      </c>
      <c r="AQ44" s="235" t="str">
        <f>IFERROR(IF(AVERAGE(L44:Q44)&lt;&gt;0,AVERAGE(L44:Q44),""),"")</f>
        <v/>
      </c>
      <c r="AR44" s="32" t="str">
        <f>IFERROR(IF(AVERAGE(R44:W44)&lt;&gt;0,AVERAGE(R44:W44),""),"")</f>
        <v/>
      </c>
      <c r="AS44" s="235" t="str">
        <f>IFERROR(IF(AVERAGE(X44:AC44)&lt;&gt;0,AVERAGE(X44:AC44),""),"")</f>
        <v/>
      </c>
      <c r="AT44" s="32" t="str">
        <f>IFERROR(IF(AVERAGE(AD44:AI44)&lt;&gt;0,AVERAGE(AD44:AI44),""),"")</f>
        <v/>
      </c>
      <c r="AU44" s="235" t="str">
        <f>IFERROR(IF(AVERAGE(AJ44:AO44)&lt;&gt;0,AVERAGE(AJ44:AO44),""),"")</f>
        <v/>
      </c>
      <c r="AV44" s="77"/>
      <c r="AW44" s="65"/>
      <c r="AX44" s="77"/>
      <c r="AY44" s="65"/>
      <c r="AZ44" s="77"/>
      <c r="BA44" s="65"/>
      <c r="BB44" s="77"/>
      <c r="BC44" s="65"/>
      <c r="BD44" s="77"/>
      <c r="BE44" s="269"/>
      <c r="BF44" s="272" t="str">
        <f>IFERROR(IF(AVERAGE(AP44:AQ44)&lt;&gt;0,AVERAGE(AP44:AQ44),""),"")</f>
        <v/>
      </c>
      <c r="BG44" s="272" t="str">
        <f>IFERROR(IF(AVERAGE(AR44:AS44)&lt;&gt;0,AVERAGE(AR44:AS44),""),"")</f>
        <v/>
      </c>
      <c r="BH44" s="272" t="str">
        <f>IFERROR(IF(AVERAGE(AT44:AU44)&lt;&gt;0,AVERAGE(AT44:AU44),""),"")</f>
        <v/>
      </c>
      <c r="BI44" s="272" t="str">
        <f>IFERROR(IF(AVERAGE(AV44:AW44)&lt;&gt;0,AVERAGE(AV44:AW44),""),"")</f>
        <v/>
      </c>
      <c r="BJ44" s="272" t="str">
        <f>IFERROR(IF(AVERAGE(AX44:AY44)&lt;&gt;0,AVERAGE(AX44:AY44),""),"")</f>
        <v/>
      </c>
      <c r="BK44" s="272" t="str">
        <f>IFERROR(IF(AVERAGE(AZ44:BA44)&lt;&gt;0,AVERAGE(AZ44:BA44),""),"")</f>
        <v/>
      </c>
      <c r="BL44" s="272" t="str">
        <f>IFERROR(IF(AVERAGE(BB44:BC44)&lt;&gt;0,AVERAGE(BB44:BC44),""),"")</f>
        <v/>
      </c>
      <c r="BM44" s="272" t="str">
        <f>IFERROR(IF(AVERAGE(BD44:BE44)&lt;&gt;0,AVERAGE(BD44:BE44),""),"")</f>
        <v/>
      </c>
    </row>
    <row r="45" spans="1:65" s="102" customFormat="1" ht="15" customHeight="1" outlineLevel="2" thickBot="1" x14ac:dyDescent="0.25">
      <c r="A45" s="320" t="s">
        <v>226</v>
      </c>
      <c r="B45" s="347"/>
      <c r="C45" s="350"/>
      <c r="D45" s="344"/>
      <c r="E45" s="281" t="s">
        <v>2</v>
      </c>
      <c r="F45" s="67"/>
      <c r="G45" s="68"/>
      <c r="H45" s="68"/>
      <c r="I45" s="68"/>
      <c r="J45" s="68"/>
      <c r="K45" s="68"/>
      <c r="L45" s="68"/>
      <c r="M45" s="68"/>
      <c r="N45" s="68"/>
      <c r="O45" s="68"/>
      <c r="P45" s="68"/>
      <c r="Q45" s="69"/>
      <c r="R45" s="67"/>
      <c r="S45" s="68"/>
      <c r="T45" s="68"/>
      <c r="U45" s="68"/>
      <c r="V45" s="68"/>
      <c r="W45" s="68"/>
      <c r="X45" s="68"/>
      <c r="Y45" s="68"/>
      <c r="Z45" s="68"/>
      <c r="AA45" s="68"/>
      <c r="AB45" s="68"/>
      <c r="AC45" s="69"/>
      <c r="AD45" s="67"/>
      <c r="AE45" s="68"/>
      <c r="AF45" s="68"/>
      <c r="AG45" s="68"/>
      <c r="AH45" s="68"/>
      <c r="AI45" s="68"/>
      <c r="AJ45" s="68"/>
      <c r="AK45" s="68"/>
      <c r="AL45" s="68"/>
      <c r="AM45" s="68"/>
      <c r="AN45" s="68"/>
      <c r="AO45" s="69"/>
      <c r="AP45" s="236" t="str">
        <f>IFERROR(IF(AVERAGE(F45:K45)&lt;&gt;0,AVERAGE(F45:K45),""),"")</f>
        <v/>
      </c>
      <c r="AQ45" s="237" t="str">
        <f>IFERROR(IF(AVERAGE(L45:Q45)&lt;&gt;0,AVERAGE(L45:Q45),""),"")</f>
        <v/>
      </c>
      <c r="AR45" s="236" t="str">
        <f>IFERROR(IF(AVERAGE(R45:W45)&lt;&gt;0,AVERAGE(R45:W45),""),"")</f>
        <v/>
      </c>
      <c r="AS45" s="237" t="str">
        <f>IFERROR(IF(AVERAGE(X45:AC45)&lt;&gt;0,AVERAGE(X45:AC45),""),"")</f>
        <v/>
      </c>
      <c r="AT45" s="236" t="str">
        <f>IFERROR(IF(AVERAGE(AD45:AI45)&lt;&gt;0,AVERAGE(AD45:AI45),""),"")</f>
        <v/>
      </c>
      <c r="AU45" s="237" t="str">
        <f>IFERROR(IF(AVERAGE(AJ45:AO45)&lt;&gt;0,AVERAGE(AJ45:AO45),""),"")</f>
        <v/>
      </c>
      <c r="AV45" s="78"/>
      <c r="AW45" s="68"/>
      <c r="AX45" s="78"/>
      <c r="AY45" s="68"/>
      <c r="AZ45" s="78"/>
      <c r="BA45" s="68"/>
      <c r="BB45" s="78"/>
      <c r="BC45" s="68"/>
      <c r="BD45" s="78"/>
      <c r="BE45" s="270"/>
      <c r="BF45" s="288" t="str">
        <f>IFERROR(IF(AVERAGE(AP45:AQ45)&lt;&gt;0,AVERAGE(AP45:AQ45),""),"")</f>
        <v/>
      </c>
      <c r="BG45" s="288" t="str">
        <f>IFERROR(IF(AVERAGE(AR45:AS45)&lt;&gt;0,AVERAGE(AR45:AS45),""),"")</f>
        <v/>
      </c>
      <c r="BH45" s="288" t="str">
        <f>IFERROR(IF(AVERAGE(AT45:AU45)&lt;&gt;0,AVERAGE(AT45:AU45),""),"")</f>
        <v/>
      </c>
      <c r="BI45" s="288" t="str">
        <f>IFERROR(IF(AVERAGE(AV45:AW45)&lt;&gt;0,AVERAGE(AV45:AW45),""),"")</f>
        <v/>
      </c>
      <c r="BJ45" s="288" t="str">
        <f>IFERROR(IF(AVERAGE(AX45:AY45)&lt;&gt;0,AVERAGE(AX45:AY45),""),"")</f>
        <v/>
      </c>
      <c r="BK45" s="288" t="str">
        <f>IFERROR(IF(AVERAGE(AZ45:BA45)&lt;&gt;0,AVERAGE(AZ45:BA45),""),"")</f>
        <v/>
      </c>
      <c r="BL45" s="288" t="str">
        <f>IFERROR(IF(AVERAGE(BB45:BC45)&lt;&gt;0,AVERAGE(BB45:BC45),""),"")</f>
        <v/>
      </c>
      <c r="BM45" s="288" t="str">
        <f>IFERROR(IF(AVERAGE(BD45:BE45)&lt;&gt;0,AVERAGE(BD45:BE45),""),"")</f>
        <v/>
      </c>
    </row>
    <row r="46" spans="1:65" s="102" customFormat="1" ht="14.25" customHeight="1" outlineLevel="1" x14ac:dyDescent="0.2">
      <c r="A46" s="320" t="s">
        <v>226</v>
      </c>
      <c r="B46" s="347"/>
      <c r="C46" s="350"/>
      <c r="D46" s="344"/>
      <c r="E46" s="282" t="s">
        <v>228</v>
      </c>
      <c r="F46" s="283" t="str">
        <f ca="1">IF(IFERROR((F$11*(F38-SUM(F40:F43)/F$11)*F45*3600)/(F44),"")&gt;0,IFERROR((F$11*(F38-SUM(F40:F43)/F$11)*F45*3600)/(F44),""),"")</f>
        <v/>
      </c>
      <c r="G46" s="284" t="str">
        <f t="shared" ref="G46" ca="1" si="131">IF(IFERROR((G$11*(G38-SUM(G40:G43)/G$11)*G45*3600)/(G44),"")&gt;0,IFERROR((G$11*(G38-SUM(G40:G43)/G$11)*G45*3600)/(G44),""),"")</f>
        <v/>
      </c>
      <c r="H46" s="284" t="str">
        <f t="shared" ref="H46" ca="1" si="132">IF(IFERROR((H$11*(H38-SUM(H40:H43)/H$11)*H45*3600)/(H44),"")&gt;0,IFERROR((H$11*(H38-SUM(H40:H43)/H$11)*H45*3600)/(H44),""),"")</f>
        <v/>
      </c>
      <c r="I46" s="284" t="str">
        <f t="shared" ref="I46" ca="1" si="133">IF(IFERROR((I$11*(I38-SUM(I40:I43)/I$11)*I45*3600)/(I44),"")&gt;0,IFERROR((I$11*(I38-SUM(I40:I43)/I$11)*I45*3600)/(I44),""),"")</f>
        <v/>
      </c>
      <c r="J46" s="284" t="str">
        <f t="shared" ref="J46" ca="1" si="134">IF(IFERROR((J$11*(J38-SUM(J40:J43)/J$11)*J45*3600)/(J44),"")&gt;0,IFERROR((J$11*(J38-SUM(J40:J43)/J$11)*J45*3600)/(J44),""),"")</f>
        <v/>
      </c>
      <c r="K46" s="284" t="str">
        <f t="shared" ref="K46" ca="1" si="135">IF(IFERROR((K$11*(K38-SUM(K40:K43)/K$11)*K45*3600)/(K44),"")&gt;0,IFERROR((K$11*(K38-SUM(K40:K43)/K$11)*K45*3600)/(K44),""),"")</f>
        <v/>
      </c>
      <c r="L46" s="284" t="str">
        <f t="shared" ref="L46" ca="1" si="136">IF(IFERROR((L$11*(L38-SUM(L40:L43)/L$11)*L45*3600)/(L44),"")&gt;0,IFERROR((L$11*(L38-SUM(L40:L43)/L$11)*L45*3600)/(L44),""),"")</f>
        <v/>
      </c>
      <c r="M46" s="284" t="str">
        <f t="shared" ref="M46" ca="1" si="137">IF(IFERROR((M$11*(M38-SUM(M40:M43)/M$11)*M45*3600)/(M44),"")&gt;0,IFERROR((M$11*(M38-SUM(M40:M43)/M$11)*M45*3600)/(M44),""),"")</f>
        <v/>
      </c>
      <c r="N46" s="284" t="str">
        <f t="shared" ref="N46" ca="1" si="138">IF(IFERROR((N$11*(N38-SUM(N40:N43)/N$11)*N45*3600)/(N44),"")&gt;0,IFERROR((N$11*(N38-SUM(N40:N43)/N$11)*N45*3600)/(N44),""),"")</f>
        <v/>
      </c>
      <c r="O46" s="284" t="str">
        <f t="shared" ref="O46" ca="1" si="139">IF(IFERROR((O$11*(O38-SUM(O40:O43)/O$11)*O45*3600)/(O44),"")&gt;0,IFERROR((O$11*(O38-SUM(O40:O43)/O$11)*O45*3600)/(O44),""),"")</f>
        <v/>
      </c>
      <c r="P46" s="284" t="str">
        <f t="shared" ref="P46" ca="1" si="140">IF(IFERROR((P$11*(P38-SUM(P40:P43)/P$11)*P45*3600)/(P44),"")&gt;0,IFERROR((P$11*(P38-SUM(P40:P43)/P$11)*P45*3600)/(P44),""),"")</f>
        <v/>
      </c>
      <c r="Q46" s="284" t="str">
        <f t="shared" ref="Q46" ca="1" si="141">IF(IFERROR((Q$11*(Q38-SUM(Q40:Q43)/Q$11)*Q45*3600)/(Q44),"")&gt;0,IFERROR((Q$11*(Q38-SUM(Q40:Q43)/Q$11)*Q45*3600)/(Q44),""),"")</f>
        <v/>
      </c>
      <c r="R46" s="283" t="str">
        <f t="shared" ref="R46" ca="1" si="142">IF(IFERROR((R$11*(R38-SUM(R40:R43)/R$11)*R45*3600)/(R44),"")&gt;0,IFERROR((R$11*(R38-SUM(R40:R43)/R$11)*R45*3600)/(R44),""),"")</f>
        <v/>
      </c>
      <c r="S46" s="284" t="str">
        <f t="shared" ref="S46" ca="1" si="143">IF(IFERROR((S$11*(S38-SUM(S40:S43)/S$11)*S45*3600)/(S44),"")&gt;0,IFERROR((S$11*(S38-SUM(S40:S43)/S$11)*S45*3600)/(S44),""),"")</f>
        <v/>
      </c>
      <c r="T46" s="284" t="str">
        <f t="shared" ref="T46" ca="1" si="144">IF(IFERROR((T$11*(T38-SUM(T40:T43)/T$11)*T45*3600)/(T44),"")&gt;0,IFERROR((T$11*(T38-SUM(T40:T43)/T$11)*T45*3600)/(T44),""),"")</f>
        <v/>
      </c>
      <c r="U46" s="284" t="str">
        <f t="shared" ref="U46" ca="1" si="145">IF(IFERROR((U$11*(U38-SUM(U40:U43)/U$11)*U45*3600)/(U44),"")&gt;0,IFERROR((U$11*(U38-SUM(U40:U43)/U$11)*U45*3600)/(U44),""),"")</f>
        <v/>
      </c>
      <c r="V46" s="284" t="str">
        <f t="shared" ref="V46" ca="1" si="146">IF(IFERROR((V$11*(V38-SUM(V40:V43)/V$11)*V45*3600)/(V44),"")&gt;0,IFERROR((V$11*(V38-SUM(V40:V43)/V$11)*V45*3600)/(V44),""),"")</f>
        <v/>
      </c>
      <c r="W46" s="284" t="str">
        <f t="shared" ref="W46" ca="1" si="147">IF(IFERROR((W$11*(W38-SUM(W40:W43)/W$11)*W45*3600)/(W44),"")&gt;0,IFERROR((W$11*(W38-SUM(W40:W43)/W$11)*W45*3600)/(W44),""),"")</f>
        <v/>
      </c>
      <c r="X46" s="284" t="str">
        <f t="shared" ref="X46" ca="1" si="148">IF(IFERROR((X$11*(X38-SUM(X40:X43)/X$11)*X45*3600)/(X44),"")&gt;0,IFERROR((X$11*(X38-SUM(X40:X43)/X$11)*X45*3600)/(X44),""),"")</f>
        <v/>
      </c>
      <c r="Y46" s="284" t="str">
        <f t="shared" ref="Y46" ca="1" si="149">IF(IFERROR((Y$11*(Y38-SUM(Y40:Y43)/Y$11)*Y45*3600)/(Y44),"")&gt;0,IFERROR((Y$11*(Y38-SUM(Y40:Y43)/Y$11)*Y45*3600)/(Y44),""),"")</f>
        <v/>
      </c>
      <c r="Z46" s="284" t="str">
        <f t="shared" ref="Z46" ca="1" si="150">IF(IFERROR((Z$11*(Z38-SUM(Z40:Z43)/Z$11)*Z45*3600)/(Z44),"")&gt;0,IFERROR((Z$11*(Z38-SUM(Z40:Z43)/Z$11)*Z45*3600)/(Z44),""),"")</f>
        <v/>
      </c>
      <c r="AA46" s="284" t="str">
        <f t="shared" ref="AA46" ca="1" si="151">IF(IFERROR((AA$11*(AA38-SUM(AA40:AA43)/AA$11)*AA45*3600)/(AA44),"")&gt;0,IFERROR((AA$11*(AA38-SUM(AA40:AA43)/AA$11)*AA45*3600)/(AA44),""),"")</f>
        <v/>
      </c>
      <c r="AB46" s="284" t="str">
        <f t="shared" ref="AB46" ca="1" si="152">IF(IFERROR((AB$11*(AB38-SUM(AB40:AB43)/AB$11)*AB45*3600)/(AB44),"")&gt;0,IFERROR((AB$11*(AB38-SUM(AB40:AB43)/AB$11)*AB45*3600)/(AB44),""),"")</f>
        <v/>
      </c>
      <c r="AC46" s="284" t="str">
        <f t="shared" ref="AC46" ca="1" si="153">IF(IFERROR((AC$11*(AC38-SUM(AC40:AC43)/AC$11)*AC45*3600)/(AC44),"")&gt;0,IFERROR((AC$11*(AC38-SUM(AC40:AC43)/AC$11)*AC45*3600)/(AC44),""),"")</f>
        <v/>
      </c>
      <c r="AD46" s="283" t="str">
        <f t="shared" ref="AD46" ca="1" si="154">IF(IFERROR((AD$11*(AD38-SUM(AD40:AD43)/AD$11)*AD45*3600)/(AD44),"")&gt;0,IFERROR((AD$11*(AD38-SUM(AD40:AD43)/AD$11)*AD45*3600)/(AD44),""),"")</f>
        <v/>
      </c>
      <c r="AE46" s="284" t="str">
        <f t="shared" ref="AE46" ca="1" si="155">IF(IFERROR((AE$11*(AE38-SUM(AE40:AE43)/AE$11)*AE45*3600)/(AE44),"")&gt;0,IFERROR((AE$11*(AE38-SUM(AE40:AE43)/AE$11)*AE45*3600)/(AE44),""),"")</f>
        <v/>
      </c>
      <c r="AF46" s="284" t="str">
        <f t="shared" ref="AF46" ca="1" si="156">IF(IFERROR((AF$11*(AF38-SUM(AF40:AF43)/AF$11)*AF45*3600)/(AF44),"")&gt;0,IFERROR((AF$11*(AF38-SUM(AF40:AF43)/AF$11)*AF45*3600)/(AF44),""),"")</f>
        <v/>
      </c>
      <c r="AG46" s="284" t="str">
        <f t="shared" ref="AG46" ca="1" si="157">IF(IFERROR((AG$11*(AG38-SUM(AG40:AG43)/AG$11)*AG45*3600)/(AG44),"")&gt;0,IFERROR((AG$11*(AG38-SUM(AG40:AG43)/AG$11)*AG45*3600)/(AG44),""),"")</f>
        <v/>
      </c>
      <c r="AH46" s="284" t="str">
        <f t="shared" ref="AH46" ca="1" si="158">IF(IFERROR((AH$11*(AH38-SUM(AH40:AH43)/AH$11)*AH45*3600)/(AH44),"")&gt;0,IFERROR((AH$11*(AH38-SUM(AH40:AH43)/AH$11)*AH45*3600)/(AH44),""),"")</f>
        <v/>
      </c>
      <c r="AI46" s="284" t="str">
        <f t="shared" ref="AI46" ca="1" si="159">IF(IFERROR((AI$11*(AI38-SUM(AI40:AI43)/AI$11)*AI45*3600)/(AI44),"")&gt;0,IFERROR((AI$11*(AI38-SUM(AI40:AI43)/AI$11)*AI45*3600)/(AI44),""),"")</f>
        <v/>
      </c>
      <c r="AJ46" s="284" t="str">
        <f t="shared" ref="AJ46" ca="1" si="160">IF(IFERROR((AJ$11*(AJ38-SUM(AJ40:AJ43)/AJ$11)*AJ45*3600)/(AJ44),"")&gt;0,IFERROR((AJ$11*(AJ38-SUM(AJ40:AJ43)/AJ$11)*AJ45*3600)/(AJ44),""),"")</f>
        <v/>
      </c>
      <c r="AK46" s="284" t="str">
        <f t="shared" ref="AK46" ca="1" si="161">IF(IFERROR((AK$11*(AK38-SUM(AK40:AK43)/AK$11)*AK45*3600)/(AK44),"")&gt;0,IFERROR((AK$11*(AK38-SUM(AK40:AK43)/AK$11)*AK45*3600)/(AK44),""),"")</f>
        <v/>
      </c>
      <c r="AL46" s="284" t="str">
        <f t="shared" ref="AL46" ca="1" si="162">IF(IFERROR((AL$11*(AL38-SUM(AL40:AL43)/AL$11)*AL45*3600)/(AL44),"")&gt;0,IFERROR((AL$11*(AL38-SUM(AL40:AL43)/AL$11)*AL45*3600)/(AL44),""),"")</f>
        <v/>
      </c>
      <c r="AM46" s="284" t="str">
        <f t="shared" ref="AM46" ca="1" si="163">IF(IFERROR((AM$11*(AM38-SUM(AM40:AM43)/AM$11)*AM45*3600)/(AM44),"")&gt;0,IFERROR((AM$11*(AM38-SUM(AM40:AM43)/AM$11)*AM45*3600)/(AM44),""),"")</f>
        <v/>
      </c>
      <c r="AN46" s="284" t="str">
        <f t="shared" ref="AN46" ca="1" si="164">IF(IFERROR((AN$11*(AN38-SUM(AN40:AN43)/AN$11)*AN45*3600)/(AN44),"")&gt;0,IFERROR((AN$11*(AN38-SUM(AN40:AN43)/AN$11)*AN45*3600)/(AN44),""),"")</f>
        <v/>
      </c>
      <c r="AO46" s="284" t="str">
        <f t="shared" ref="AO46" ca="1" si="165">IF(IFERROR((AO$11*(AO38-SUM(AO40:AO43)/AO$11)*AO45*3600)/(AO44),"")&gt;0,IFERROR((AO$11*(AO38-SUM(AO40:AO43)/AO$11)*AO45*3600)/(AO44),""),"")</f>
        <v/>
      </c>
      <c r="AP46" s="283" t="e">
        <f t="shared" ref="AP46:AP47" ca="1" si="166">IF(SUM(F46:K46)&lt;&gt;0,SUM(F46:K46),#N/A)</f>
        <v>#N/A</v>
      </c>
      <c r="AQ46" s="284" t="e">
        <f t="shared" ref="AQ46:AQ47" ca="1" si="167">IF(SUM(L46:Q46)&lt;&gt;0,SUM(L46:Q46),#N/A)</f>
        <v>#N/A</v>
      </c>
      <c r="AR46" s="283" t="e">
        <f t="shared" ref="AR46:AR47" ca="1" si="168">IF(SUM(R46:W46)&lt;&gt;0,SUM(R46:W46),#N/A)</f>
        <v>#N/A</v>
      </c>
      <c r="AS46" s="284" t="e">
        <f t="shared" ref="AS46:AS47" ca="1" si="169">IF(SUM(X46:AC46)&lt;&gt;0,SUM(X46:AC46),#N/A)</f>
        <v>#N/A</v>
      </c>
      <c r="AT46" s="283" t="e">
        <f t="shared" ref="AT46:AT47" ca="1" si="170">IF(SUM(AD46:AI46)&lt;&gt;0,SUM(AD46:AI46),#N/A)</f>
        <v>#N/A</v>
      </c>
      <c r="AU46" s="284" t="e">
        <f t="shared" ref="AU46:AU47" ca="1" si="171">IF(SUM(AJ46:AO46)&lt;&gt;0,SUM(AJ46:AO46),#N/A)</f>
        <v>#N/A</v>
      </c>
      <c r="AV46" s="283" t="str">
        <f ca="1">IF(IFERROR((AV$11*(AV38-SUM(AV40:AV43)/AV$11)*AV45*3600)/(AV44),"")&lt;&gt;0,IFERROR((AV$11*(AV38-SUM(AV40:AV43)/AV$11)*AV45*3600)/(AV44),""),"")</f>
        <v/>
      </c>
      <c r="AW46" s="284" t="str">
        <f t="shared" ref="AW46" ca="1" si="172">IF(IFERROR((AW$11*(AW38-SUM(AW40:AW43)/AW$11)*AW45*3600)/(AW44),"")&lt;&gt;0,IFERROR((AW$11*(AW38-SUM(AW40:AW43)/AW$11)*AW45*3600)/(AW44),""),"")</f>
        <v/>
      </c>
      <c r="AX46" s="283" t="str">
        <f t="shared" ref="AX46" ca="1" si="173">IF(IFERROR((AX$11*(AX38-SUM(AX40:AX43)/AX$11)*AX45*3600)/(AX44),"")&lt;&gt;0,IFERROR((AX$11*(AX38-SUM(AX40:AX43)/AX$11)*AX45*3600)/(AX44),""),"")</f>
        <v/>
      </c>
      <c r="AY46" s="284" t="str">
        <f t="shared" ref="AY46" ca="1" si="174">IF(IFERROR((AY$11*(AY38-SUM(AY40:AY43)/AY$11)*AY45*3600)/(AY44),"")&lt;&gt;0,IFERROR((AY$11*(AY38-SUM(AY40:AY43)/AY$11)*AY45*3600)/(AY44),""),"")</f>
        <v/>
      </c>
      <c r="AZ46" s="283" t="str">
        <f t="shared" ref="AZ46" ca="1" si="175">IF(IFERROR((AZ$11*(AZ38-SUM(AZ40:AZ43)/AZ$11)*AZ45*3600)/(AZ44),"")&lt;&gt;0,IFERROR((AZ$11*(AZ38-SUM(AZ40:AZ43)/AZ$11)*AZ45*3600)/(AZ44),""),"")</f>
        <v/>
      </c>
      <c r="BA46" s="284" t="str">
        <f t="shared" ref="BA46" ca="1" si="176">IF(IFERROR((BA$11*(BA38-SUM(BA40:BA43)/BA$11)*BA45*3600)/(BA44),"")&lt;&gt;0,IFERROR((BA$11*(BA38-SUM(BA40:BA43)/BA$11)*BA45*3600)/(BA44),""),"")</f>
        <v/>
      </c>
      <c r="BB46" s="283" t="str">
        <f t="shared" ref="BB46" ca="1" si="177">IF(IFERROR((BB$11*(BB38-SUM(BB40:BB43)/BB$11)*BB45*3600)/(BB44),"")&lt;&gt;0,IFERROR((BB$11*(BB38-SUM(BB40:BB43)/BB$11)*BB45*3600)/(BB44),""),"")</f>
        <v/>
      </c>
      <c r="BC46" s="284" t="str">
        <f t="shared" ref="BC46" ca="1" si="178">IF(IFERROR((BC$11*(BC38-SUM(BC40:BC43)/BC$11)*BC45*3600)/(BC44),"")&lt;&gt;0,IFERROR((BC$11*(BC38-SUM(BC40:BC43)/BC$11)*BC45*3600)/(BC44),""),"")</f>
        <v/>
      </c>
      <c r="BD46" s="283" t="str">
        <f t="shared" ref="BD46" ca="1" si="179">IF(IFERROR((BD$11*(BD38-SUM(BD40:BD43)/BD$11)*BD45*3600)/(BD44),"")&lt;&gt;0,IFERROR((BD$11*(BD38-SUM(BD40:BD43)/BD$11)*BD45*3600)/(BD44),""),"")</f>
        <v/>
      </c>
      <c r="BE46" s="285" t="str">
        <f t="shared" ref="BE46" ca="1" si="180">IF(IFERROR((BE$11*(BE38-SUM(BE40:BE43)/BE$11)*BE45*3600)/(BE44),"")&lt;&gt;0,IFERROR((BE$11*(BE38-SUM(BE40:BE43)/BE$11)*BE45*3600)/(BE44),""),"")</f>
        <v/>
      </c>
      <c r="BF46" s="285" t="e">
        <f t="shared" ref="BF46:BF47" ca="1" si="181">IF(SUM(AP46,AQ46)&lt;&gt;0,SUM(AP46,AQ46),#N/A)</f>
        <v>#N/A</v>
      </c>
      <c r="BG46" s="285" t="e">
        <f t="shared" ref="BG46:BG47" ca="1" si="182">IF(SUM(AR46,AS46)&lt;&gt;0,SUM(AR46,AS46),#N/A)</f>
        <v>#N/A</v>
      </c>
      <c r="BH46" s="285" t="e">
        <f t="shared" ref="BH46:BH47" ca="1" si="183">IF(SUM(AT46,AU46)&lt;&gt;0,SUM(AT46,AU46),#N/A)</f>
        <v>#N/A</v>
      </c>
      <c r="BI46" s="285" t="e">
        <f t="shared" ref="BI46:BI47" ca="1" si="184">IF(SUM(AV46,AW46)&lt;&gt;0,SUM(AV46,AW46),#N/A)</f>
        <v>#N/A</v>
      </c>
      <c r="BJ46" s="285" t="e">
        <f t="shared" ref="BJ46:BJ47" ca="1" si="185">IF(SUM(AX46,AY46)&lt;&gt;0,SUM(AX46,AY46),#N/A)</f>
        <v>#N/A</v>
      </c>
      <c r="BK46" s="285" t="e">
        <f t="shared" ref="BK46:BK47" ca="1" si="186">IF(SUM(AZ46,BA46)&lt;&gt;0,SUM(AZ46,BA46),#N/A)</f>
        <v>#N/A</v>
      </c>
      <c r="BL46" s="285" t="e">
        <f t="shared" ref="BL46:BL47" ca="1" si="187">IF(SUM(BB46,BC46)&lt;&gt;0,SUM(BB46,BC46),#N/A)</f>
        <v>#N/A</v>
      </c>
      <c r="BM46" s="285" t="e">
        <f t="shared" ref="BM46:BM47" ca="1" si="188">IF(SUM(BD46,BE46)&lt;&gt;0,SUM(BD46,BE46),#N/A)</f>
        <v>#N/A</v>
      </c>
    </row>
    <row r="47" spans="1:65" s="102" customFormat="1" ht="15" customHeight="1" outlineLevel="1" thickBot="1" x14ac:dyDescent="0.25">
      <c r="A47" s="320" t="s">
        <v>226</v>
      </c>
      <c r="B47" s="348"/>
      <c r="C47" s="351"/>
      <c r="D47" s="345"/>
      <c r="E47" s="104" t="s">
        <v>225</v>
      </c>
      <c r="F47" s="317" t="str">
        <f ca="1">IFERROR(F46+((F37*F39*F45*3600)/(F44)),"")</f>
        <v/>
      </c>
      <c r="G47" s="318" t="str">
        <f t="shared" ref="G47:AO47" ca="1" si="189">IFERROR(G46+((G37*G39*G45*3600)/(G44)),"")</f>
        <v/>
      </c>
      <c r="H47" s="318" t="str">
        <f t="shared" ca="1" si="189"/>
        <v/>
      </c>
      <c r="I47" s="318" t="str">
        <f t="shared" ca="1" si="189"/>
        <v/>
      </c>
      <c r="J47" s="318" t="str">
        <f t="shared" ca="1" si="189"/>
        <v/>
      </c>
      <c r="K47" s="318" t="str">
        <f t="shared" ca="1" si="189"/>
        <v/>
      </c>
      <c r="L47" s="318" t="str">
        <f t="shared" ca="1" si="189"/>
        <v/>
      </c>
      <c r="M47" s="318" t="str">
        <f t="shared" ca="1" si="189"/>
        <v/>
      </c>
      <c r="N47" s="318" t="str">
        <f t="shared" ca="1" si="189"/>
        <v/>
      </c>
      <c r="O47" s="318" t="str">
        <f t="shared" ca="1" si="189"/>
        <v/>
      </c>
      <c r="P47" s="318" t="str">
        <f t="shared" ca="1" si="189"/>
        <v/>
      </c>
      <c r="Q47" s="318" t="str">
        <f t="shared" ca="1" si="189"/>
        <v/>
      </c>
      <c r="R47" s="317" t="str">
        <f t="shared" ca="1" si="189"/>
        <v/>
      </c>
      <c r="S47" s="318" t="str">
        <f t="shared" ca="1" si="189"/>
        <v/>
      </c>
      <c r="T47" s="318" t="str">
        <f t="shared" ca="1" si="189"/>
        <v/>
      </c>
      <c r="U47" s="318" t="str">
        <f t="shared" ca="1" si="189"/>
        <v/>
      </c>
      <c r="V47" s="318" t="str">
        <f t="shared" ca="1" si="189"/>
        <v/>
      </c>
      <c r="W47" s="318" t="str">
        <f t="shared" ca="1" si="189"/>
        <v/>
      </c>
      <c r="X47" s="318" t="str">
        <f t="shared" ca="1" si="189"/>
        <v/>
      </c>
      <c r="Y47" s="318" t="str">
        <f t="shared" ca="1" si="189"/>
        <v/>
      </c>
      <c r="Z47" s="318" t="str">
        <f t="shared" ca="1" si="189"/>
        <v/>
      </c>
      <c r="AA47" s="318" t="str">
        <f t="shared" ca="1" si="189"/>
        <v/>
      </c>
      <c r="AB47" s="318" t="str">
        <f t="shared" ca="1" si="189"/>
        <v/>
      </c>
      <c r="AC47" s="318" t="str">
        <f t="shared" ca="1" si="189"/>
        <v/>
      </c>
      <c r="AD47" s="317" t="str">
        <f t="shared" ca="1" si="189"/>
        <v/>
      </c>
      <c r="AE47" s="318" t="str">
        <f t="shared" ca="1" si="189"/>
        <v/>
      </c>
      <c r="AF47" s="318" t="str">
        <f t="shared" ca="1" si="189"/>
        <v/>
      </c>
      <c r="AG47" s="318" t="str">
        <f t="shared" ca="1" si="189"/>
        <v/>
      </c>
      <c r="AH47" s="318" t="str">
        <f t="shared" ca="1" si="189"/>
        <v/>
      </c>
      <c r="AI47" s="318" t="str">
        <f t="shared" ca="1" si="189"/>
        <v/>
      </c>
      <c r="AJ47" s="318" t="str">
        <f t="shared" ca="1" si="189"/>
        <v/>
      </c>
      <c r="AK47" s="318" t="str">
        <f t="shared" ca="1" si="189"/>
        <v/>
      </c>
      <c r="AL47" s="318" t="str">
        <f t="shared" ca="1" si="189"/>
        <v/>
      </c>
      <c r="AM47" s="318" t="str">
        <f t="shared" ca="1" si="189"/>
        <v/>
      </c>
      <c r="AN47" s="318" t="str">
        <f t="shared" ca="1" si="189"/>
        <v/>
      </c>
      <c r="AO47" s="318" t="str">
        <f t="shared" ca="1" si="189"/>
        <v/>
      </c>
      <c r="AP47" s="317" t="e">
        <f t="shared" ca="1" si="166"/>
        <v>#N/A</v>
      </c>
      <c r="AQ47" s="318" t="e">
        <f t="shared" ca="1" si="167"/>
        <v>#N/A</v>
      </c>
      <c r="AR47" s="317" t="e">
        <f t="shared" ca="1" si="168"/>
        <v>#N/A</v>
      </c>
      <c r="AS47" s="318" t="e">
        <f t="shared" ca="1" si="169"/>
        <v>#N/A</v>
      </c>
      <c r="AT47" s="317" t="e">
        <f t="shared" ca="1" si="170"/>
        <v>#N/A</v>
      </c>
      <c r="AU47" s="318" t="e">
        <f t="shared" ca="1" si="171"/>
        <v>#N/A</v>
      </c>
      <c r="AV47" s="317" t="str">
        <f t="shared" ref="AV47:BE47" ca="1" si="190">IFERROR(AV46+((AV37*AV39*AV45*3600)/(AV44)),"")</f>
        <v/>
      </c>
      <c r="AW47" s="318" t="str">
        <f t="shared" ca="1" si="190"/>
        <v/>
      </c>
      <c r="AX47" s="317" t="str">
        <f t="shared" ca="1" si="190"/>
        <v/>
      </c>
      <c r="AY47" s="318" t="str">
        <f t="shared" ca="1" si="190"/>
        <v/>
      </c>
      <c r="AZ47" s="317" t="str">
        <f t="shared" ca="1" si="190"/>
        <v/>
      </c>
      <c r="BA47" s="318" t="str">
        <f t="shared" ca="1" si="190"/>
        <v/>
      </c>
      <c r="BB47" s="317" t="str">
        <f t="shared" ca="1" si="190"/>
        <v/>
      </c>
      <c r="BC47" s="318" t="str">
        <f t="shared" ca="1" si="190"/>
        <v/>
      </c>
      <c r="BD47" s="317" t="str">
        <f t="shared" ca="1" si="190"/>
        <v/>
      </c>
      <c r="BE47" s="291" t="str">
        <f t="shared" ca="1" si="190"/>
        <v/>
      </c>
      <c r="BF47" s="291" t="e">
        <f t="shared" ca="1" si="181"/>
        <v>#N/A</v>
      </c>
      <c r="BG47" s="291" t="e">
        <f t="shared" ca="1" si="182"/>
        <v>#N/A</v>
      </c>
      <c r="BH47" s="291" t="e">
        <f t="shared" ca="1" si="183"/>
        <v>#N/A</v>
      </c>
      <c r="BI47" s="291" t="e">
        <f t="shared" ca="1" si="184"/>
        <v>#N/A</v>
      </c>
      <c r="BJ47" s="291" t="e">
        <f t="shared" ca="1" si="185"/>
        <v>#N/A</v>
      </c>
      <c r="BK47" s="291" t="e">
        <f t="shared" ca="1" si="186"/>
        <v>#N/A</v>
      </c>
      <c r="BL47" s="291" t="e">
        <f t="shared" ca="1" si="187"/>
        <v>#N/A</v>
      </c>
      <c r="BM47" s="291" t="e">
        <f t="shared" ca="1" si="188"/>
        <v>#N/A</v>
      </c>
    </row>
    <row r="48" spans="1:65" s="102" customFormat="1" ht="22.5" outlineLevel="2" x14ac:dyDescent="0.2">
      <c r="A48" s="320" t="s">
        <v>226</v>
      </c>
      <c r="B48" s="346"/>
      <c r="C48" s="349" t="str">
        <f t="shared" ref="C48" si="191">IF(AND($B48&lt;&gt;0,$C$9&lt;&gt;0),$C$9,"")</f>
        <v/>
      </c>
      <c r="D48" s="343"/>
      <c r="E48" s="277" t="s">
        <v>40</v>
      </c>
      <c r="F48" s="33">
        <f ca="1">IF(F$11-(SUM(F52:F55)/24)=0,"",F$11-(SUM(F52:F55)/24))</f>
        <v>27</v>
      </c>
      <c r="G48" s="34">
        <f t="shared" ref="G48:AO48" ca="1" si="192">IF(G$11-(SUM(G52:G55)/24)=0,"",G$11-(SUM(G52:G55)/24))</f>
        <v>24</v>
      </c>
      <c r="H48" s="34">
        <f t="shared" ca="1" si="192"/>
        <v>26</v>
      </c>
      <c r="I48" s="34">
        <f t="shared" ca="1" si="192"/>
        <v>26</v>
      </c>
      <c r="J48" s="34">
        <f t="shared" ca="1" si="192"/>
        <v>27</v>
      </c>
      <c r="K48" s="34">
        <f t="shared" ca="1" si="192"/>
        <v>25</v>
      </c>
      <c r="L48" s="34">
        <f t="shared" ca="1" si="192"/>
        <v>27</v>
      </c>
      <c r="M48" s="34">
        <f t="shared" ca="1" si="192"/>
        <v>26</v>
      </c>
      <c r="N48" s="34">
        <f t="shared" ca="1" si="192"/>
        <v>26</v>
      </c>
      <c r="O48" s="34">
        <f t="shared" ca="1" si="192"/>
        <v>27</v>
      </c>
      <c r="P48" s="34">
        <f t="shared" ca="1" si="192"/>
        <v>25</v>
      </c>
      <c r="Q48" s="34">
        <f t="shared" ca="1" si="192"/>
        <v>27</v>
      </c>
      <c r="R48" s="32">
        <f t="shared" ca="1" si="192"/>
        <v>27</v>
      </c>
      <c r="S48" s="29">
        <f t="shared" ca="1" si="192"/>
        <v>24</v>
      </c>
      <c r="T48" s="29">
        <f t="shared" ca="1" si="192"/>
        <v>26</v>
      </c>
      <c r="U48" s="29">
        <f t="shared" ca="1" si="192"/>
        <v>26</v>
      </c>
      <c r="V48" s="29">
        <f t="shared" ca="1" si="192"/>
        <v>26</v>
      </c>
      <c r="W48" s="29">
        <f t="shared" ca="1" si="192"/>
        <v>26</v>
      </c>
      <c r="X48" s="29">
        <f t="shared" ca="1" si="192"/>
        <v>27</v>
      </c>
      <c r="Y48" s="29">
        <f t="shared" ca="1" si="192"/>
        <v>26</v>
      </c>
      <c r="Z48" s="29">
        <f t="shared" ca="1" si="192"/>
        <v>26</v>
      </c>
      <c r="AA48" s="29">
        <f t="shared" ca="1" si="192"/>
        <v>27</v>
      </c>
      <c r="AB48" s="29">
        <f t="shared" ca="1" si="192"/>
        <v>25</v>
      </c>
      <c r="AC48" s="29">
        <f t="shared" ca="1" si="192"/>
        <v>27</v>
      </c>
      <c r="AD48" s="32">
        <f t="shared" ca="1" si="192"/>
        <v>26</v>
      </c>
      <c r="AE48" s="29">
        <f t="shared" ca="1" si="192"/>
        <v>24</v>
      </c>
      <c r="AF48" s="29">
        <f t="shared" ca="1" si="192"/>
        <v>27</v>
      </c>
      <c r="AG48" s="29">
        <f t="shared" ca="1" si="192"/>
        <v>26</v>
      </c>
      <c r="AH48" s="29">
        <f t="shared" ca="1" si="192"/>
        <v>26</v>
      </c>
      <c r="AI48" s="29">
        <f t="shared" ca="1" si="192"/>
        <v>26</v>
      </c>
      <c r="AJ48" s="29">
        <f t="shared" ca="1" si="192"/>
        <v>27</v>
      </c>
      <c r="AK48" s="29">
        <f t="shared" ca="1" si="192"/>
        <v>26</v>
      </c>
      <c r="AL48" s="29">
        <f t="shared" ca="1" si="192"/>
        <v>26</v>
      </c>
      <c r="AM48" s="29">
        <f t="shared" ca="1" si="192"/>
        <v>26</v>
      </c>
      <c r="AN48" s="29">
        <f t="shared" ca="1" si="192"/>
        <v>26</v>
      </c>
      <c r="AO48" s="29">
        <f t="shared" ca="1" si="192"/>
        <v>27</v>
      </c>
      <c r="AP48" s="32">
        <f ca="1">IF(SUM(F48:K48)&lt;&gt;0,SUM(F48:K48),"")</f>
        <v>155</v>
      </c>
      <c r="AQ48" s="29">
        <f ca="1">IF(SUM(L48:Q48)&lt;&gt;0,SUM(L48:Q48),"")</f>
        <v>158</v>
      </c>
      <c r="AR48" s="32">
        <f ca="1">IF(SUM(R48:W48)&lt;&gt;0,SUM(R48:W48),"")</f>
        <v>155</v>
      </c>
      <c r="AS48" s="29">
        <f ca="1">IF(SUM(X48:AC48)&lt;&gt;0,SUM(X48:AC48),"")</f>
        <v>158</v>
      </c>
      <c r="AT48" s="32">
        <f ca="1">IF(SUM(AD48:AI48)&lt;&gt;0,SUM(AD48:AI48),"")</f>
        <v>155</v>
      </c>
      <c r="AU48" s="296">
        <f ca="1">SUM(AJ48:AO48)</f>
        <v>158</v>
      </c>
      <c r="AV48" s="32">
        <f t="shared" ref="AV48:BE48" ca="1" si="193">IF(AV$11-(SUM(AV52:AV55)/24)=0,"",AV$11-(SUM(AV52:AV55)/24))</f>
        <v>156</v>
      </c>
      <c r="AW48" s="29">
        <f t="shared" ca="1" si="193"/>
        <v>157</v>
      </c>
      <c r="AX48" s="32">
        <f t="shared" ca="1" si="193"/>
        <v>156</v>
      </c>
      <c r="AY48" s="29">
        <f t="shared" ca="1" si="193"/>
        <v>158</v>
      </c>
      <c r="AZ48" s="32">
        <f t="shared" ca="1" si="193"/>
        <v>155</v>
      </c>
      <c r="BA48" s="29">
        <f t="shared" ca="1" si="193"/>
        <v>158</v>
      </c>
      <c r="BB48" s="32">
        <f t="shared" ca="1" si="193"/>
        <v>155</v>
      </c>
      <c r="BC48" s="29">
        <f t="shared" ca="1" si="193"/>
        <v>158</v>
      </c>
      <c r="BD48" s="32">
        <f t="shared" ca="1" si="193"/>
        <v>156</v>
      </c>
      <c r="BE48" s="262">
        <f t="shared" ca="1" si="193"/>
        <v>158</v>
      </c>
      <c r="BF48" s="286">
        <f t="shared" ref="BF48" ca="1" si="194">IF(SUM(AP48,AQ48)&lt;&gt;0,SUM(AP48,AQ48),#N/A)</f>
        <v>313</v>
      </c>
      <c r="BG48" s="286">
        <f t="shared" ref="BG48" ca="1" si="195">IF(SUM(AR48,AS48)&lt;&gt;0,SUM(AR48,AS48),#N/A)</f>
        <v>313</v>
      </c>
      <c r="BH48" s="286">
        <f t="shared" ref="BH48" ca="1" si="196">IF(SUM(AT48,AU48)&lt;&gt;0,SUM(AT48,AU48),#N/A)</f>
        <v>313</v>
      </c>
      <c r="BI48" s="286">
        <f t="shared" ref="BI48" ca="1" si="197">IF(SUM(AV48,AW48)&lt;&gt;0,SUM(AV48,AW48),#N/A)</f>
        <v>313</v>
      </c>
      <c r="BJ48" s="286">
        <f t="shared" ref="BJ48" ca="1" si="198">IF(SUM(AX48,AY48)&lt;&gt;0,SUM(AX48,AY48),#N/A)</f>
        <v>314</v>
      </c>
      <c r="BK48" s="286">
        <f t="shared" ref="BK48" ca="1" si="199">IF(SUM(AZ48,BA48)&lt;&gt;0,SUM(AZ48,BA48),#N/A)</f>
        <v>313</v>
      </c>
      <c r="BL48" s="286">
        <f t="shared" ref="BL48" ca="1" si="200">IF(SUM(BB48,BC48)&lt;&gt;0,SUM(BB48,BC48),#N/A)</f>
        <v>313</v>
      </c>
      <c r="BM48" s="286">
        <f t="shared" ref="BM48" ca="1" si="201">IF(SUM(BD48,BE48)&lt;&gt;0,SUM(BD48,BE48),#N/A)</f>
        <v>314</v>
      </c>
    </row>
    <row r="49" spans="1:65" s="102" customFormat="1" ht="15" customHeight="1" outlineLevel="2" thickBot="1" x14ac:dyDescent="0.25">
      <c r="A49" s="320" t="s">
        <v>226</v>
      </c>
      <c r="B49" s="347"/>
      <c r="C49" s="350"/>
      <c r="D49" s="344"/>
      <c r="E49" s="278" t="s">
        <v>29</v>
      </c>
      <c r="F49" s="47"/>
      <c r="G49" s="48"/>
      <c r="H49" s="48"/>
      <c r="I49" s="48"/>
      <c r="J49" s="48"/>
      <c r="K49" s="48"/>
      <c r="L49" s="48"/>
      <c r="M49" s="48"/>
      <c r="N49" s="48"/>
      <c r="O49" s="48"/>
      <c r="P49" s="48"/>
      <c r="Q49" s="51"/>
      <c r="R49" s="47"/>
      <c r="S49" s="48"/>
      <c r="T49" s="48"/>
      <c r="U49" s="48"/>
      <c r="V49" s="48"/>
      <c r="W49" s="48"/>
      <c r="X49" s="48"/>
      <c r="Y49" s="48"/>
      <c r="Z49" s="48"/>
      <c r="AA49" s="48"/>
      <c r="AB49" s="48"/>
      <c r="AC49" s="51"/>
      <c r="AD49" s="47"/>
      <c r="AE49" s="48"/>
      <c r="AF49" s="48"/>
      <c r="AG49" s="48"/>
      <c r="AH49" s="48"/>
      <c r="AI49" s="48"/>
      <c r="AJ49" s="48"/>
      <c r="AK49" s="48"/>
      <c r="AL49" s="48"/>
      <c r="AM49" s="48"/>
      <c r="AN49" s="48"/>
      <c r="AO49" s="51"/>
      <c r="AP49" s="294" t="str">
        <f>IFERROR(IF(SUM(F49:K49)&lt;&gt;0,SUM(F49:K49),""),"")</f>
        <v/>
      </c>
      <c r="AQ49" s="295" t="str">
        <f>IFERROR(IF(SUM(L49:Q49)&lt;&gt;0,SUM(L49:Q49),""),"")</f>
        <v/>
      </c>
      <c r="AR49" s="294" t="str">
        <f>IFERROR(IF(SUM(R49:W49)&lt;&gt;0,SUM(R49:W49),""),"")</f>
        <v/>
      </c>
      <c r="AS49" s="295" t="str">
        <f>IFERROR(IF(SUM(X49:AC49)&lt;&gt;0,SUM(X49:AC49),""),"")</f>
        <v/>
      </c>
      <c r="AT49" s="294" t="str">
        <f>IFERROR(IF(SUM(AD49:AI49)&lt;&gt;0,SUM(AD49:AI49),""),"")</f>
        <v/>
      </c>
      <c r="AU49" s="295" t="str">
        <f>IFERROR(IF(SUM(AJ49:AO49)&lt;&gt;0,SUM(AJ49:AO49),""),"")</f>
        <v/>
      </c>
      <c r="AV49" s="47"/>
      <c r="AW49" s="51"/>
      <c r="AX49" s="47"/>
      <c r="AY49" s="51"/>
      <c r="AZ49" s="47"/>
      <c r="BA49" s="51"/>
      <c r="BB49" s="47"/>
      <c r="BC49" s="51"/>
      <c r="BD49" s="47"/>
      <c r="BE49" s="263"/>
      <c r="BF49" s="271" t="str">
        <f>IFERROR(IF(AVERAGE(AP49:AQ49)&lt;&gt;0,AVERAGE(AP49:AQ49),""),"")</f>
        <v/>
      </c>
      <c r="BG49" s="271" t="str">
        <f>IFERROR(IF(AVERAGE(AR49:AS49)&lt;&gt;0,AVERAGE(AR49:AS49),""),"")</f>
        <v/>
      </c>
      <c r="BH49" s="271" t="str">
        <f>IFERROR(IF(AVERAGE(AT49:AU49)&lt;&gt;0,AVERAGE(AT49:AU49),""),"")</f>
        <v/>
      </c>
      <c r="BI49" s="271" t="str">
        <f>IFERROR(IF(AVERAGE(AV49:AW49)&lt;&gt;0,AVERAGE(AV49:AW49),""),"")</f>
        <v/>
      </c>
      <c r="BJ49" s="271" t="str">
        <f>IFERROR(IF(AVERAGE(AX49:AY49)&lt;&gt;0,AVERAGE(AX49:AY49),""),"")</f>
        <v/>
      </c>
      <c r="BK49" s="271" t="str">
        <f>IFERROR(IF(AVERAGE(AZ49:BA49)&lt;&gt;0,AVERAGE(AZ49:BA49),""),"")</f>
        <v/>
      </c>
      <c r="BL49" s="271" t="str">
        <f>IFERROR(IF(AVERAGE(BB49:BC49)&lt;&gt;0,AVERAGE(BB49:BC49),""),"")</f>
        <v/>
      </c>
      <c r="BM49" s="271" t="str">
        <f>IFERROR(IF(AVERAGE(BD49:BE49)&lt;&gt;0,AVERAGE(BD49:BE49),""),"")</f>
        <v/>
      </c>
    </row>
    <row r="50" spans="1:65" s="102" customFormat="1" ht="14.25" customHeight="1" outlineLevel="2" x14ac:dyDescent="0.2">
      <c r="A50" s="320" t="s">
        <v>226</v>
      </c>
      <c r="B50" s="347"/>
      <c r="C50" s="350"/>
      <c r="D50" s="344"/>
      <c r="E50" s="279" t="s">
        <v>28</v>
      </c>
      <c r="F50" s="52"/>
      <c r="G50" s="53"/>
      <c r="H50" s="53"/>
      <c r="I50" s="53"/>
      <c r="J50" s="53"/>
      <c r="K50" s="53"/>
      <c r="L50" s="53"/>
      <c r="M50" s="53"/>
      <c r="N50" s="53"/>
      <c r="O50" s="53"/>
      <c r="P50" s="53"/>
      <c r="Q50" s="54"/>
      <c r="R50" s="52"/>
      <c r="S50" s="53"/>
      <c r="T50" s="53"/>
      <c r="U50" s="53"/>
      <c r="V50" s="53"/>
      <c r="W50" s="53"/>
      <c r="X50" s="53"/>
      <c r="Y50" s="53"/>
      <c r="Z50" s="53"/>
      <c r="AA50" s="53"/>
      <c r="AB50" s="53"/>
      <c r="AC50" s="54"/>
      <c r="AD50" s="52"/>
      <c r="AE50" s="53"/>
      <c r="AF50" s="53"/>
      <c r="AG50" s="53"/>
      <c r="AH50" s="53"/>
      <c r="AI50" s="53"/>
      <c r="AJ50" s="53"/>
      <c r="AK50" s="53"/>
      <c r="AL50" s="53"/>
      <c r="AM50" s="53"/>
      <c r="AN50" s="53"/>
      <c r="AO50" s="54"/>
      <c r="AP50" s="225" t="str">
        <f>IFERROR(IF(AVERAGE(F50:K50)&lt;&gt;0,AVERAGE(F50:K50),""),"")</f>
        <v/>
      </c>
      <c r="AQ50" s="226" t="str">
        <f>IFERROR(IF(AVERAGE(L50:Q50)&lt;&gt;0,AVERAGE(L50:Q50),""),"")</f>
        <v/>
      </c>
      <c r="AR50" s="225" t="str">
        <f>IFERROR(IF(AVERAGE(R50:W50)&lt;&gt;0,AVERAGE(R50:W50),""),"")</f>
        <v/>
      </c>
      <c r="AS50" s="226" t="str">
        <f>IFERROR(IF(AVERAGE(X50:AC50)&lt;&gt;0,AVERAGE(X50:AC50),""),"")</f>
        <v/>
      </c>
      <c r="AT50" s="225" t="str">
        <f>IFERROR(IF(AVERAGE(AD50:AI50)&lt;&gt;0,AVERAGE(AD50:AI50),""),"")</f>
        <v/>
      </c>
      <c r="AU50" s="226" t="str">
        <f>IFERROR(IF(AVERAGE(AJ50:AO50)&lt;&gt;0,AVERAGE(AJ50:AO50),""),"")</f>
        <v/>
      </c>
      <c r="AV50" s="70"/>
      <c r="AW50" s="53"/>
      <c r="AX50" s="70"/>
      <c r="AY50" s="53"/>
      <c r="AZ50" s="70"/>
      <c r="BA50" s="53"/>
      <c r="BB50" s="70"/>
      <c r="BC50" s="53"/>
      <c r="BD50" s="70"/>
      <c r="BE50" s="264"/>
      <c r="BF50" s="272" t="str">
        <f>IFERROR(IF(AVERAGE(AP50:AQ50)&lt;&gt;0,AVERAGE(AP50:AQ50),""),"")</f>
        <v/>
      </c>
      <c r="BG50" s="272" t="str">
        <f>IFERROR(IF(AVERAGE(AR50:AS50)&lt;&gt;0,AVERAGE(AR50:AS50),""),"")</f>
        <v/>
      </c>
      <c r="BH50" s="272" t="str">
        <f>IFERROR(IF(AVERAGE(AT50:AU50)&lt;&gt;0,AVERAGE(AT50:AU50),""),"")</f>
        <v/>
      </c>
      <c r="BI50" s="272" t="str">
        <f>IFERROR(IF(AVERAGE(AV50:AW50)&lt;&gt;0,AVERAGE(AV50:AW50),""),"")</f>
        <v/>
      </c>
      <c r="BJ50" s="272" t="str">
        <f>IFERROR(IF(AVERAGE(AX50:AY50)&lt;&gt;0,AVERAGE(AX50:AY50),""),"")</f>
        <v/>
      </c>
      <c r="BK50" s="272" t="str">
        <f>IFERROR(IF(AVERAGE(AZ50:BA50)&lt;&gt;0,AVERAGE(AZ50:BA50),""),"")</f>
        <v/>
      </c>
      <c r="BL50" s="272" t="str">
        <f>IFERROR(IF(AVERAGE(BB50:BC50)&lt;&gt;0,AVERAGE(BB50:BC50),""),"")</f>
        <v/>
      </c>
      <c r="BM50" s="272" t="str">
        <f>IFERROR(IF(AVERAGE(BD50:BE50)&lt;&gt;0,AVERAGE(BD50:BE50),""),"")</f>
        <v/>
      </c>
    </row>
    <row r="51" spans="1:65" s="102" customFormat="1" ht="15" customHeight="1" outlineLevel="2" thickBot="1" x14ac:dyDescent="0.25">
      <c r="A51" s="320" t="s">
        <v>226</v>
      </c>
      <c r="B51" s="347"/>
      <c r="C51" s="350"/>
      <c r="D51" s="344"/>
      <c r="E51" s="278" t="s">
        <v>30</v>
      </c>
      <c r="F51" s="55"/>
      <c r="G51" s="56"/>
      <c r="H51" s="56"/>
      <c r="I51" s="56"/>
      <c r="J51" s="56"/>
      <c r="K51" s="56"/>
      <c r="L51" s="56"/>
      <c r="M51" s="56"/>
      <c r="N51" s="56"/>
      <c r="O51" s="56"/>
      <c r="P51" s="56"/>
      <c r="Q51" s="57"/>
      <c r="R51" s="55"/>
      <c r="S51" s="56"/>
      <c r="T51" s="56"/>
      <c r="U51" s="56"/>
      <c r="V51" s="56"/>
      <c r="W51" s="56"/>
      <c r="X51" s="56"/>
      <c r="Y51" s="56"/>
      <c r="Z51" s="56"/>
      <c r="AA51" s="56"/>
      <c r="AB51" s="56"/>
      <c r="AC51" s="57"/>
      <c r="AD51" s="55"/>
      <c r="AE51" s="56"/>
      <c r="AF51" s="56"/>
      <c r="AG51" s="56"/>
      <c r="AH51" s="56"/>
      <c r="AI51" s="56"/>
      <c r="AJ51" s="56"/>
      <c r="AK51" s="56"/>
      <c r="AL51" s="56"/>
      <c r="AM51" s="56"/>
      <c r="AN51" s="56"/>
      <c r="AO51" s="57"/>
      <c r="AP51" s="227" t="str">
        <f>IFERROR(IF(AVERAGE(F51:K51)&lt;&gt;0,AVERAGE(F51:K51),""),"")</f>
        <v/>
      </c>
      <c r="AQ51" s="228" t="str">
        <f>IFERROR(IF(AVERAGE(L51:Q51)&lt;&gt;0,AVERAGE(L51:Q51),""),"")</f>
        <v/>
      </c>
      <c r="AR51" s="227" t="str">
        <f>IFERROR(IF(AVERAGE(R51:W51)&lt;&gt;0,AVERAGE(R51:W51),""),"")</f>
        <v/>
      </c>
      <c r="AS51" s="228" t="str">
        <f>IFERROR(IF(AVERAGE(X51:AC51)&lt;&gt;0,AVERAGE(X51:AC51),""),"")</f>
        <v/>
      </c>
      <c r="AT51" s="227" t="str">
        <f>IFERROR(IF(AVERAGE(AD51:AI51)&lt;&gt;0,AVERAGE(AD51:AI51),""),"")</f>
        <v/>
      </c>
      <c r="AU51" s="228" t="str">
        <f>IFERROR(IF(AVERAGE(AJ51:AO51)&lt;&gt;0,AVERAGE(AJ51:AO51),""),"")</f>
        <v/>
      </c>
      <c r="AV51" s="71"/>
      <c r="AW51" s="56"/>
      <c r="AX51" s="71"/>
      <c r="AY51" s="56"/>
      <c r="AZ51" s="71"/>
      <c r="BA51" s="56"/>
      <c r="BB51" s="71"/>
      <c r="BC51" s="56"/>
      <c r="BD51" s="71"/>
      <c r="BE51" s="265"/>
      <c r="BF51" s="273" t="str">
        <f>IFERROR(IF(AVERAGE(AP51:AQ51)&lt;&gt;0,AVERAGE(AP51:AQ51),""),"")</f>
        <v/>
      </c>
      <c r="BG51" s="273" t="str">
        <f>IFERROR(IF(AVERAGE(AR51:AS51)&lt;&gt;0,AVERAGE(AR51:AS51),""),"")</f>
        <v/>
      </c>
      <c r="BH51" s="273" t="str">
        <f>IFERROR(IF(AVERAGE(AT51:AU51)&lt;&gt;0,AVERAGE(AT51:AU51),""),"")</f>
        <v/>
      </c>
      <c r="BI51" s="273" t="str">
        <f>IFERROR(IF(AVERAGE(AV51:AW51)&lt;&gt;0,AVERAGE(AV51:AW51),""),"")</f>
        <v/>
      </c>
      <c r="BJ51" s="273" t="str">
        <f>IFERROR(IF(AVERAGE(AX51:AY51)&lt;&gt;0,AVERAGE(AX51:AY51),""),"")</f>
        <v/>
      </c>
      <c r="BK51" s="273" t="str">
        <f>IFERROR(IF(AVERAGE(AZ51:BA51)&lt;&gt;0,AVERAGE(AZ51:BA51),""),"")</f>
        <v/>
      </c>
      <c r="BL51" s="273" t="str">
        <f>IFERROR(IF(AVERAGE(BB51:BC51)&lt;&gt;0,AVERAGE(BB51:BC51),""),"")</f>
        <v/>
      </c>
      <c r="BM51" s="273" t="str">
        <f>IFERROR(IF(AVERAGE(BD51:BE51)&lt;&gt;0,AVERAGE(BD51:BE51),""),"")</f>
        <v/>
      </c>
    </row>
    <row r="52" spans="1:65" s="102" customFormat="1" ht="14.25" customHeight="1" outlineLevel="2" x14ac:dyDescent="0.2">
      <c r="A52" s="320" t="s">
        <v>226</v>
      </c>
      <c r="B52" s="347"/>
      <c r="C52" s="350"/>
      <c r="D52" s="344"/>
      <c r="E52" s="279" t="s">
        <v>25</v>
      </c>
      <c r="F52" s="58"/>
      <c r="G52" s="50"/>
      <c r="H52" s="50"/>
      <c r="I52" s="50"/>
      <c r="J52" s="50"/>
      <c r="K52" s="50"/>
      <c r="L52" s="50"/>
      <c r="M52" s="50"/>
      <c r="N52" s="50"/>
      <c r="O52" s="50"/>
      <c r="P52" s="50"/>
      <c r="Q52" s="59"/>
      <c r="R52" s="58"/>
      <c r="S52" s="50"/>
      <c r="T52" s="50"/>
      <c r="U52" s="50"/>
      <c r="V52" s="50"/>
      <c r="W52" s="50"/>
      <c r="X52" s="50"/>
      <c r="Y52" s="50"/>
      <c r="Z52" s="50"/>
      <c r="AA52" s="50"/>
      <c r="AB52" s="50"/>
      <c r="AC52" s="59"/>
      <c r="AD52" s="58"/>
      <c r="AE52" s="50"/>
      <c r="AF52" s="50"/>
      <c r="AG52" s="50"/>
      <c r="AH52" s="50"/>
      <c r="AI52" s="50"/>
      <c r="AJ52" s="50"/>
      <c r="AK52" s="50"/>
      <c r="AL52" s="50"/>
      <c r="AM52" s="50"/>
      <c r="AN52" s="50"/>
      <c r="AO52" s="59"/>
      <c r="AP52" s="229" t="str">
        <f>IFERROR(IF(SUM(F52:K52)&lt;&gt;0,SUM(F52:K52),""),"")</f>
        <v/>
      </c>
      <c r="AQ52" s="230" t="str">
        <f>IFERROR(IF(SUM(L52:Q52)&lt;&gt;0,SUM(L52:Q52),""),"")</f>
        <v/>
      </c>
      <c r="AR52" s="229" t="str">
        <f>IFERROR(IF(SUM(R52:W52)&lt;&gt;0,SUM(R52:W52),""),"")</f>
        <v/>
      </c>
      <c r="AS52" s="230" t="str">
        <f>IFERROR(IF(SUM(X52:AC52)&lt;&gt;0,SUM(X52:AC52),""),"")</f>
        <v/>
      </c>
      <c r="AT52" s="229" t="str">
        <f>IFERROR(IF(SUM(AD52:AI52)&lt;&gt;0,SUM(AD52:AI52),""),"")</f>
        <v/>
      </c>
      <c r="AU52" s="230" t="str">
        <f>IFERROR(IF(SUM(AJ52:AO52)&lt;&gt;0,SUM(AJ52:AO52),""),"")</f>
        <v/>
      </c>
      <c r="AV52" s="72"/>
      <c r="AW52" s="73"/>
      <c r="AX52" s="72"/>
      <c r="AY52" s="73"/>
      <c r="AZ52" s="72"/>
      <c r="BA52" s="73"/>
      <c r="BB52" s="72"/>
      <c r="BC52" s="73"/>
      <c r="BD52" s="72"/>
      <c r="BE52" s="266"/>
      <c r="BF52" s="286" t="e">
        <f t="shared" ref="BF52:BF55" si="202">IF(SUM(AP52,AQ52)&lt;&gt;0,SUM(AP52,AQ52),#N/A)</f>
        <v>#N/A</v>
      </c>
      <c r="BG52" s="286" t="e">
        <f t="shared" ref="BG52:BG55" si="203">IF(SUM(AR52,AS52)&lt;&gt;0,SUM(AR52,AS52),#N/A)</f>
        <v>#N/A</v>
      </c>
      <c r="BH52" s="286" t="e">
        <f t="shared" ref="BH52:BH55" si="204">IF(SUM(AT52,AU52)&lt;&gt;0,SUM(AT52,AU52),#N/A)</f>
        <v>#N/A</v>
      </c>
      <c r="BI52" s="286" t="e">
        <f t="shared" ref="BI52:BI55" si="205">IF(SUM(AV52,AW52)&lt;&gt;0,SUM(AV52,AW52),#N/A)</f>
        <v>#N/A</v>
      </c>
      <c r="BJ52" s="286" t="e">
        <f t="shared" ref="BJ52:BJ55" si="206">IF(SUM(AX52,AY52)&lt;&gt;0,SUM(AX52,AY52),#N/A)</f>
        <v>#N/A</v>
      </c>
      <c r="BK52" s="286" t="e">
        <f t="shared" ref="BK52:BK55" si="207">IF(SUM(AZ52,BA52)&lt;&gt;0,SUM(AZ52,BA52),#N/A)</f>
        <v>#N/A</v>
      </c>
      <c r="BL52" s="286" t="e">
        <f t="shared" ref="BL52:BL55" si="208">IF(SUM(BB52,BC52)&lt;&gt;0,SUM(BB52,BC52),#N/A)</f>
        <v>#N/A</v>
      </c>
      <c r="BM52" s="286" t="e">
        <f t="shared" ref="BM52:BM55" si="209">IF(SUM(BD52,BE52)&lt;&gt;0,SUM(BD52,BE52),#N/A)</f>
        <v>#N/A</v>
      </c>
    </row>
    <row r="53" spans="1:65" s="102" customFormat="1" ht="14.25" customHeight="1" outlineLevel="2" x14ac:dyDescent="0.2">
      <c r="A53" s="320" t="s">
        <v>226</v>
      </c>
      <c r="B53" s="347"/>
      <c r="C53" s="350"/>
      <c r="D53" s="344"/>
      <c r="E53" s="280" t="s">
        <v>26</v>
      </c>
      <c r="F53" s="60"/>
      <c r="G53" s="61"/>
      <c r="H53" s="61"/>
      <c r="I53" s="61"/>
      <c r="J53" s="61"/>
      <c r="K53" s="61"/>
      <c r="L53" s="61"/>
      <c r="M53" s="61"/>
      <c r="N53" s="61"/>
      <c r="O53" s="61"/>
      <c r="P53" s="61"/>
      <c r="Q53" s="62"/>
      <c r="R53" s="60"/>
      <c r="S53" s="61"/>
      <c r="T53" s="61"/>
      <c r="U53" s="61"/>
      <c r="V53" s="61"/>
      <c r="W53" s="61"/>
      <c r="X53" s="61"/>
      <c r="Y53" s="61"/>
      <c r="Z53" s="61"/>
      <c r="AA53" s="61"/>
      <c r="AB53" s="61"/>
      <c r="AC53" s="62"/>
      <c r="AD53" s="60"/>
      <c r="AE53" s="61"/>
      <c r="AF53" s="61"/>
      <c r="AG53" s="61"/>
      <c r="AH53" s="61"/>
      <c r="AI53" s="61"/>
      <c r="AJ53" s="61"/>
      <c r="AK53" s="61"/>
      <c r="AL53" s="61"/>
      <c r="AM53" s="61"/>
      <c r="AN53" s="61"/>
      <c r="AO53" s="62"/>
      <c r="AP53" s="231" t="str">
        <f>IFERROR(IF(SUM(F53:K53)&lt;&gt;0,SUM(F53:K53),""),"")</f>
        <v/>
      </c>
      <c r="AQ53" s="232" t="str">
        <f>IFERROR(IF(SUM(L53:Q53)&lt;&gt;0,SUM(L53:Q53),""),"")</f>
        <v/>
      </c>
      <c r="AR53" s="231" t="str">
        <f>IFERROR(IF(SUM(R53:W53)&lt;&gt;0,SUM(R53:W53),""),"")</f>
        <v/>
      </c>
      <c r="AS53" s="232" t="str">
        <f>IFERROR(IF(SUM(X53:AC53)&lt;&gt;0,SUM(X53:AC53),""),"")</f>
        <v/>
      </c>
      <c r="AT53" s="231" t="str">
        <f>IFERROR(IF(SUM(AD53:AI53)&lt;&gt;0,SUM(AD53:AI53),""),"")</f>
        <v/>
      </c>
      <c r="AU53" s="232" t="str">
        <f>IFERROR(IF(SUM(AJ53:AO53)&lt;&gt;0,SUM(AJ53:AO53),""),"")</f>
        <v/>
      </c>
      <c r="AV53" s="74"/>
      <c r="AW53" s="61"/>
      <c r="AX53" s="74"/>
      <c r="AY53" s="61"/>
      <c r="AZ53" s="74"/>
      <c r="BA53" s="61"/>
      <c r="BB53" s="74"/>
      <c r="BC53" s="61"/>
      <c r="BD53" s="74"/>
      <c r="BE53" s="267"/>
      <c r="BF53" s="287" t="e">
        <f t="shared" si="202"/>
        <v>#N/A</v>
      </c>
      <c r="BG53" s="287" t="e">
        <f t="shared" si="203"/>
        <v>#N/A</v>
      </c>
      <c r="BH53" s="287" t="e">
        <f t="shared" si="204"/>
        <v>#N/A</v>
      </c>
      <c r="BI53" s="287" t="e">
        <f t="shared" si="205"/>
        <v>#N/A</v>
      </c>
      <c r="BJ53" s="287" t="e">
        <f t="shared" si="206"/>
        <v>#N/A</v>
      </c>
      <c r="BK53" s="287" t="e">
        <f t="shared" si="207"/>
        <v>#N/A</v>
      </c>
      <c r="BL53" s="287" t="e">
        <f t="shared" si="208"/>
        <v>#N/A</v>
      </c>
      <c r="BM53" s="287" t="e">
        <f t="shared" si="209"/>
        <v>#N/A</v>
      </c>
    </row>
    <row r="54" spans="1:65" s="102" customFormat="1" ht="14.25" customHeight="1" outlineLevel="2" x14ac:dyDescent="0.2">
      <c r="A54" s="320" t="s">
        <v>226</v>
      </c>
      <c r="B54" s="347"/>
      <c r="C54" s="350"/>
      <c r="D54" s="344"/>
      <c r="E54" s="280" t="s">
        <v>27</v>
      </c>
      <c r="F54" s="60"/>
      <c r="G54" s="61"/>
      <c r="H54" s="61"/>
      <c r="I54" s="61"/>
      <c r="J54" s="61"/>
      <c r="K54" s="61"/>
      <c r="L54" s="61"/>
      <c r="M54" s="61"/>
      <c r="N54" s="61"/>
      <c r="O54" s="61"/>
      <c r="P54" s="61"/>
      <c r="Q54" s="62"/>
      <c r="R54" s="60"/>
      <c r="S54" s="61"/>
      <c r="T54" s="61"/>
      <c r="U54" s="61"/>
      <c r="V54" s="61"/>
      <c r="W54" s="61"/>
      <c r="X54" s="61"/>
      <c r="Y54" s="61"/>
      <c r="Z54" s="61"/>
      <c r="AA54" s="61"/>
      <c r="AB54" s="61"/>
      <c r="AC54" s="62"/>
      <c r="AD54" s="60"/>
      <c r="AE54" s="61"/>
      <c r="AF54" s="61"/>
      <c r="AG54" s="61"/>
      <c r="AH54" s="61"/>
      <c r="AI54" s="61"/>
      <c r="AJ54" s="61"/>
      <c r="AK54" s="61"/>
      <c r="AL54" s="61"/>
      <c r="AM54" s="61"/>
      <c r="AN54" s="61"/>
      <c r="AO54" s="62"/>
      <c r="AP54" s="231" t="str">
        <f>IFERROR(IF(SUM(F54:K54)&lt;&gt;0,SUM(F54:K54),""),"")</f>
        <v/>
      </c>
      <c r="AQ54" s="232" t="str">
        <f>IFERROR(IF(SUM(L54:Q54)&lt;&gt;0,SUM(L54:Q54),""),"")</f>
        <v/>
      </c>
      <c r="AR54" s="231" t="str">
        <f>IFERROR(IF(SUM(R54:W54)&lt;&gt;0,SUM(R54:W54),""),"")</f>
        <v/>
      </c>
      <c r="AS54" s="232" t="str">
        <f>IFERROR(IF(SUM(X54:AC54)&lt;&gt;0,SUM(X54:AC54),""),"")</f>
        <v/>
      </c>
      <c r="AT54" s="231" t="str">
        <f>IFERROR(IF(SUM(AD54:AI54)&lt;&gt;0,SUM(AD54:AI54),""),"")</f>
        <v/>
      </c>
      <c r="AU54" s="232" t="str">
        <f>IFERROR(IF(SUM(AJ54:AO54)&lt;&gt;0,SUM(AJ54:AO54),""),"")</f>
        <v/>
      </c>
      <c r="AV54" s="74"/>
      <c r="AW54" s="61"/>
      <c r="AX54" s="74"/>
      <c r="AY54" s="61"/>
      <c r="AZ54" s="74"/>
      <c r="BA54" s="61"/>
      <c r="BB54" s="74"/>
      <c r="BC54" s="61"/>
      <c r="BD54" s="74"/>
      <c r="BE54" s="267"/>
      <c r="BF54" s="287" t="e">
        <f t="shared" si="202"/>
        <v>#N/A</v>
      </c>
      <c r="BG54" s="287" t="e">
        <f t="shared" si="203"/>
        <v>#N/A</v>
      </c>
      <c r="BH54" s="287" t="e">
        <f t="shared" si="204"/>
        <v>#N/A</v>
      </c>
      <c r="BI54" s="287" t="e">
        <f t="shared" si="205"/>
        <v>#N/A</v>
      </c>
      <c r="BJ54" s="287" t="e">
        <f t="shared" si="206"/>
        <v>#N/A</v>
      </c>
      <c r="BK54" s="287" t="e">
        <f t="shared" si="207"/>
        <v>#N/A</v>
      </c>
      <c r="BL54" s="287" t="e">
        <f t="shared" si="208"/>
        <v>#N/A</v>
      </c>
      <c r="BM54" s="287" t="e">
        <f t="shared" si="209"/>
        <v>#N/A</v>
      </c>
    </row>
    <row r="55" spans="1:65" s="102" customFormat="1" ht="15" customHeight="1" outlineLevel="2" thickBot="1" x14ac:dyDescent="0.25">
      <c r="A55" s="320" t="s">
        <v>226</v>
      </c>
      <c r="B55" s="347"/>
      <c r="C55" s="350"/>
      <c r="D55" s="344"/>
      <c r="E55" s="281" t="s">
        <v>88</v>
      </c>
      <c r="F55" s="63"/>
      <c r="G55" s="48"/>
      <c r="H55" s="48"/>
      <c r="I55" s="48"/>
      <c r="J55" s="48"/>
      <c r="K55" s="48"/>
      <c r="L55" s="48"/>
      <c r="M55" s="48"/>
      <c r="N55" s="48"/>
      <c r="O55" s="48"/>
      <c r="P55" s="48"/>
      <c r="Q55" s="51"/>
      <c r="R55" s="63"/>
      <c r="S55" s="48"/>
      <c r="T55" s="48"/>
      <c r="U55" s="48"/>
      <c r="V55" s="48"/>
      <c r="W55" s="48"/>
      <c r="X55" s="48"/>
      <c r="Y55" s="48"/>
      <c r="Z55" s="48"/>
      <c r="AA55" s="48"/>
      <c r="AB55" s="48"/>
      <c r="AC55" s="51"/>
      <c r="AD55" s="63"/>
      <c r="AE55" s="48"/>
      <c r="AF55" s="48"/>
      <c r="AG55" s="48"/>
      <c r="AH55" s="48"/>
      <c r="AI55" s="48"/>
      <c r="AJ55" s="48"/>
      <c r="AK55" s="48"/>
      <c r="AL55" s="48"/>
      <c r="AM55" s="48"/>
      <c r="AN55" s="48"/>
      <c r="AO55" s="51"/>
      <c r="AP55" s="233" t="str">
        <f>IFERROR(IF(SUM(F55:K55)&lt;&gt;0,SUM(F55:K55),""),"")</f>
        <v/>
      </c>
      <c r="AQ55" s="234" t="str">
        <f>IFERROR(IF(SUM(L55:Q55)&lt;&gt;0,SUM(L55:Q55),""),"")</f>
        <v/>
      </c>
      <c r="AR55" s="233" t="str">
        <f>IFERROR(IF(SUM(R55:W55)&lt;&gt;0,SUM(R55:W55),""),"")</f>
        <v/>
      </c>
      <c r="AS55" s="234" t="str">
        <f>IFERROR(IF(SUM(X55:AC55)&lt;&gt;0,SUM(X55:AC55),""),"")</f>
        <v/>
      </c>
      <c r="AT55" s="233" t="str">
        <f>IFERROR(IF(SUM(AD55:AI55)&lt;&gt;0,SUM(AD55:AI55),""),"")</f>
        <v/>
      </c>
      <c r="AU55" s="234" t="str">
        <f>IFERROR(IF(SUM(AJ55:AO55)&lt;&gt;0,SUM(AJ55:AO55),""),"")</f>
        <v/>
      </c>
      <c r="AV55" s="75"/>
      <c r="AW55" s="76"/>
      <c r="AX55" s="75"/>
      <c r="AY55" s="76"/>
      <c r="AZ55" s="75"/>
      <c r="BA55" s="76"/>
      <c r="BB55" s="75"/>
      <c r="BC55" s="76"/>
      <c r="BD55" s="75"/>
      <c r="BE55" s="268"/>
      <c r="BF55" s="271" t="e">
        <f t="shared" si="202"/>
        <v>#N/A</v>
      </c>
      <c r="BG55" s="271" t="e">
        <f t="shared" si="203"/>
        <v>#N/A</v>
      </c>
      <c r="BH55" s="271" t="e">
        <f t="shared" si="204"/>
        <v>#N/A</v>
      </c>
      <c r="BI55" s="271" t="e">
        <f t="shared" si="205"/>
        <v>#N/A</v>
      </c>
      <c r="BJ55" s="271" t="e">
        <f t="shared" si="206"/>
        <v>#N/A</v>
      </c>
      <c r="BK55" s="271" t="e">
        <f t="shared" si="207"/>
        <v>#N/A</v>
      </c>
      <c r="BL55" s="271" t="e">
        <f t="shared" si="208"/>
        <v>#N/A</v>
      </c>
      <c r="BM55" s="271" t="e">
        <f t="shared" si="209"/>
        <v>#N/A</v>
      </c>
    </row>
    <row r="56" spans="1:65" s="102" customFormat="1" ht="14.25" customHeight="1" outlineLevel="2" x14ac:dyDescent="0.2">
      <c r="A56" s="320" t="s">
        <v>226</v>
      </c>
      <c r="B56" s="347"/>
      <c r="C56" s="350"/>
      <c r="D56" s="344"/>
      <c r="E56" s="279" t="s">
        <v>32</v>
      </c>
      <c r="F56" s="64"/>
      <c r="G56" s="65"/>
      <c r="H56" s="65"/>
      <c r="I56" s="65"/>
      <c r="J56" s="65"/>
      <c r="K56" s="65"/>
      <c r="L56" s="65"/>
      <c r="M56" s="65"/>
      <c r="N56" s="65"/>
      <c r="O56" s="65"/>
      <c r="P56" s="65"/>
      <c r="Q56" s="66"/>
      <c r="R56" s="64"/>
      <c r="S56" s="65"/>
      <c r="T56" s="65"/>
      <c r="U56" s="65"/>
      <c r="V56" s="65"/>
      <c r="W56" s="65"/>
      <c r="X56" s="65"/>
      <c r="Y56" s="65"/>
      <c r="Z56" s="65"/>
      <c r="AA56" s="65"/>
      <c r="AB56" s="65"/>
      <c r="AC56" s="66"/>
      <c r="AD56" s="64"/>
      <c r="AE56" s="65"/>
      <c r="AF56" s="65"/>
      <c r="AG56" s="65"/>
      <c r="AH56" s="65"/>
      <c r="AI56" s="65"/>
      <c r="AJ56" s="65"/>
      <c r="AK56" s="65"/>
      <c r="AL56" s="65"/>
      <c r="AM56" s="65"/>
      <c r="AN56" s="65"/>
      <c r="AO56" s="66"/>
      <c r="AP56" s="32" t="str">
        <f>IFERROR(IF(AVERAGE(F56:K56)&lt;&gt;0,AVERAGE(F56:K56),""),"")</f>
        <v/>
      </c>
      <c r="AQ56" s="235" t="str">
        <f>IFERROR(IF(AVERAGE(L56:Q56)&lt;&gt;0,AVERAGE(L56:Q56),""),"")</f>
        <v/>
      </c>
      <c r="AR56" s="32" t="str">
        <f>IFERROR(IF(AVERAGE(R56:W56)&lt;&gt;0,AVERAGE(R56:W56),""),"")</f>
        <v/>
      </c>
      <c r="AS56" s="235" t="str">
        <f>IFERROR(IF(AVERAGE(X56:AC56)&lt;&gt;0,AVERAGE(X56:AC56),""),"")</f>
        <v/>
      </c>
      <c r="AT56" s="32" t="str">
        <f>IFERROR(IF(AVERAGE(AD56:AI56)&lt;&gt;0,AVERAGE(AD56:AI56),""),"")</f>
        <v/>
      </c>
      <c r="AU56" s="235" t="str">
        <f>IFERROR(IF(AVERAGE(AJ56:AO56)&lt;&gt;0,AVERAGE(AJ56:AO56),""),"")</f>
        <v/>
      </c>
      <c r="AV56" s="77"/>
      <c r="AW56" s="65"/>
      <c r="AX56" s="77"/>
      <c r="AY56" s="65"/>
      <c r="AZ56" s="77"/>
      <c r="BA56" s="65"/>
      <c r="BB56" s="77"/>
      <c r="BC56" s="65"/>
      <c r="BD56" s="77"/>
      <c r="BE56" s="269"/>
      <c r="BF56" s="272" t="str">
        <f>IFERROR(IF(AVERAGE(AP56:AQ56)&lt;&gt;0,AVERAGE(AP56:AQ56),""),"")</f>
        <v/>
      </c>
      <c r="BG56" s="272" t="str">
        <f>IFERROR(IF(AVERAGE(AR56:AS56)&lt;&gt;0,AVERAGE(AR56:AS56),""),"")</f>
        <v/>
      </c>
      <c r="BH56" s="272" t="str">
        <f>IFERROR(IF(AVERAGE(AT56:AU56)&lt;&gt;0,AVERAGE(AT56:AU56),""),"")</f>
        <v/>
      </c>
      <c r="BI56" s="272" t="str">
        <f>IFERROR(IF(AVERAGE(AV56:AW56)&lt;&gt;0,AVERAGE(AV56:AW56),""),"")</f>
        <v/>
      </c>
      <c r="BJ56" s="272" t="str">
        <f>IFERROR(IF(AVERAGE(AX56:AY56)&lt;&gt;0,AVERAGE(AX56:AY56),""),"")</f>
        <v/>
      </c>
      <c r="BK56" s="272" t="str">
        <f>IFERROR(IF(AVERAGE(AZ56:BA56)&lt;&gt;0,AVERAGE(AZ56:BA56),""),"")</f>
        <v/>
      </c>
      <c r="BL56" s="272" t="str">
        <f>IFERROR(IF(AVERAGE(BB56:BC56)&lt;&gt;0,AVERAGE(BB56:BC56),""),"")</f>
        <v/>
      </c>
      <c r="BM56" s="272" t="str">
        <f>IFERROR(IF(AVERAGE(BD56:BE56)&lt;&gt;0,AVERAGE(BD56:BE56),""),"")</f>
        <v/>
      </c>
    </row>
    <row r="57" spans="1:65" s="102" customFormat="1" ht="15" customHeight="1" outlineLevel="2" thickBot="1" x14ac:dyDescent="0.25">
      <c r="A57" s="320" t="s">
        <v>226</v>
      </c>
      <c r="B57" s="347"/>
      <c r="C57" s="350"/>
      <c r="D57" s="344"/>
      <c r="E57" s="281" t="s">
        <v>2</v>
      </c>
      <c r="F57" s="67"/>
      <c r="G57" s="68"/>
      <c r="H57" s="68"/>
      <c r="I57" s="68"/>
      <c r="J57" s="68"/>
      <c r="K57" s="68"/>
      <c r="L57" s="68"/>
      <c r="M57" s="68"/>
      <c r="N57" s="68"/>
      <c r="O57" s="68"/>
      <c r="P57" s="68"/>
      <c r="Q57" s="69"/>
      <c r="R57" s="67"/>
      <c r="S57" s="68"/>
      <c r="T57" s="68"/>
      <c r="U57" s="68"/>
      <c r="V57" s="68"/>
      <c r="W57" s="68"/>
      <c r="X57" s="68"/>
      <c r="Y57" s="68"/>
      <c r="Z57" s="68"/>
      <c r="AA57" s="68"/>
      <c r="AB57" s="68"/>
      <c r="AC57" s="69"/>
      <c r="AD57" s="67"/>
      <c r="AE57" s="68"/>
      <c r="AF57" s="68"/>
      <c r="AG57" s="68"/>
      <c r="AH57" s="68"/>
      <c r="AI57" s="68"/>
      <c r="AJ57" s="68"/>
      <c r="AK57" s="68"/>
      <c r="AL57" s="68"/>
      <c r="AM57" s="68"/>
      <c r="AN57" s="68"/>
      <c r="AO57" s="69"/>
      <c r="AP57" s="236" t="str">
        <f>IFERROR(IF(AVERAGE(F57:K57)&lt;&gt;0,AVERAGE(F57:K57),""),"")</f>
        <v/>
      </c>
      <c r="AQ57" s="237" t="str">
        <f>IFERROR(IF(AVERAGE(L57:Q57)&lt;&gt;0,AVERAGE(L57:Q57),""),"")</f>
        <v/>
      </c>
      <c r="AR57" s="236" t="str">
        <f>IFERROR(IF(AVERAGE(R57:W57)&lt;&gt;0,AVERAGE(R57:W57),""),"")</f>
        <v/>
      </c>
      <c r="AS57" s="237" t="str">
        <f>IFERROR(IF(AVERAGE(X57:AC57)&lt;&gt;0,AVERAGE(X57:AC57),""),"")</f>
        <v/>
      </c>
      <c r="AT57" s="236" t="str">
        <f>IFERROR(IF(AVERAGE(AD57:AI57)&lt;&gt;0,AVERAGE(AD57:AI57),""),"")</f>
        <v/>
      </c>
      <c r="AU57" s="237" t="str">
        <f>IFERROR(IF(AVERAGE(AJ57:AO57)&lt;&gt;0,AVERAGE(AJ57:AO57),""),"")</f>
        <v/>
      </c>
      <c r="AV57" s="78"/>
      <c r="AW57" s="68"/>
      <c r="AX57" s="78"/>
      <c r="AY57" s="68"/>
      <c r="AZ57" s="78"/>
      <c r="BA57" s="68"/>
      <c r="BB57" s="78"/>
      <c r="BC57" s="68"/>
      <c r="BD57" s="78"/>
      <c r="BE57" s="270"/>
      <c r="BF57" s="288" t="str">
        <f>IFERROR(IF(AVERAGE(AP57:AQ57)&lt;&gt;0,AVERAGE(AP57:AQ57),""),"")</f>
        <v/>
      </c>
      <c r="BG57" s="288" t="str">
        <f>IFERROR(IF(AVERAGE(AR57:AS57)&lt;&gt;0,AVERAGE(AR57:AS57),""),"")</f>
        <v/>
      </c>
      <c r="BH57" s="288" t="str">
        <f>IFERROR(IF(AVERAGE(AT57:AU57)&lt;&gt;0,AVERAGE(AT57:AU57),""),"")</f>
        <v/>
      </c>
      <c r="BI57" s="288" t="str">
        <f>IFERROR(IF(AVERAGE(AV57:AW57)&lt;&gt;0,AVERAGE(AV57:AW57),""),"")</f>
        <v/>
      </c>
      <c r="BJ57" s="288" t="str">
        <f>IFERROR(IF(AVERAGE(AX57:AY57)&lt;&gt;0,AVERAGE(AX57:AY57),""),"")</f>
        <v/>
      </c>
      <c r="BK57" s="288" t="str">
        <f>IFERROR(IF(AVERAGE(AZ57:BA57)&lt;&gt;0,AVERAGE(AZ57:BA57),""),"")</f>
        <v/>
      </c>
      <c r="BL57" s="288" t="str">
        <f>IFERROR(IF(AVERAGE(BB57:BC57)&lt;&gt;0,AVERAGE(BB57:BC57),""),"")</f>
        <v/>
      </c>
      <c r="BM57" s="288" t="str">
        <f>IFERROR(IF(AVERAGE(BD57:BE57)&lt;&gt;0,AVERAGE(BD57:BE57),""),"")</f>
        <v/>
      </c>
    </row>
    <row r="58" spans="1:65" s="102" customFormat="1" ht="14.25" customHeight="1" outlineLevel="1" x14ac:dyDescent="0.2">
      <c r="A58" s="320" t="s">
        <v>226</v>
      </c>
      <c r="B58" s="347"/>
      <c r="C58" s="350"/>
      <c r="D58" s="344"/>
      <c r="E58" s="282" t="s">
        <v>228</v>
      </c>
      <c r="F58" s="283" t="str">
        <f ca="1">IF(IFERROR((F$11*(F50-SUM(F52:F55)/F$11)*F57*3600)/(F56),"")&gt;0,IFERROR((F$11*(F50-SUM(F52:F55)/F$11)*F57*3600)/(F56),""),"")</f>
        <v/>
      </c>
      <c r="G58" s="284" t="str">
        <f t="shared" ref="G58" ca="1" si="210">IF(IFERROR((G$11*(G50-SUM(G52:G55)/G$11)*G57*3600)/(G56),"")&gt;0,IFERROR((G$11*(G50-SUM(G52:G55)/G$11)*G57*3600)/(G56),""),"")</f>
        <v/>
      </c>
      <c r="H58" s="284" t="str">
        <f t="shared" ref="H58" ca="1" si="211">IF(IFERROR((H$11*(H50-SUM(H52:H55)/H$11)*H57*3600)/(H56),"")&gt;0,IFERROR((H$11*(H50-SUM(H52:H55)/H$11)*H57*3600)/(H56),""),"")</f>
        <v/>
      </c>
      <c r="I58" s="284" t="str">
        <f t="shared" ref="I58" ca="1" si="212">IF(IFERROR((I$11*(I50-SUM(I52:I55)/I$11)*I57*3600)/(I56),"")&gt;0,IFERROR((I$11*(I50-SUM(I52:I55)/I$11)*I57*3600)/(I56),""),"")</f>
        <v/>
      </c>
      <c r="J58" s="284" t="str">
        <f t="shared" ref="J58" ca="1" si="213">IF(IFERROR((J$11*(J50-SUM(J52:J55)/J$11)*J57*3600)/(J56),"")&gt;0,IFERROR((J$11*(J50-SUM(J52:J55)/J$11)*J57*3600)/(J56),""),"")</f>
        <v/>
      </c>
      <c r="K58" s="284" t="str">
        <f t="shared" ref="K58" ca="1" si="214">IF(IFERROR((K$11*(K50-SUM(K52:K55)/K$11)*K57*3600)/(K56),"")&gt;0,IFERROR((K$11*(K50-SUM(K52:K55)/K$11)*K57*3600)/(K56),""),"")</f>
        <v/>
      </c>
      <c r="L58" s="284" t="str">
        <f t="shared" ref="L58" ca="1" si="215">IF(IFERROR((L$11*(L50-SUM(L52:L55)/L$11)*L57*3600)/(L56),"")&gt;0,IFERROR((L$11*(L50-SUM(L52:L55)/L$11)*L57*3600)/(L56),""),"")</f>
        <v/>
      </c>
      <c r="M58" s="284" t="str">
        <f t="shared" ref="M58" ca="1" si="216">IF(IFERROR((M$11*(M50-SUM(M52:M55)/M$11)*M57*3600)/(M56),"")&gt;0,IFERROR((M$11*(M50-SUM(M52:M55)/M$11)*M57*3600)/(M56),""),"")</f>
        <v/>
      </c>
      <c r="N58" s="284" t="str">
        <f t="shared" ref="N58" ca="1" si="217">IF(IFERROR((N$11*(N50-SUM(N52:N55)/N$11)*N57*3600)/(N56),"")&gt;0,IFERROR((N$11*(N50-SUM(N52:N55)/N$11)*N57*3600)/(N56),""),"")</f>
        <v/>
      </c>
      <c r="O58" s="284" t="str">
        <f t="shared" ref="O58" ca="1" si="218">IF(IFERROR((O$11*(O50-SUM(O52:O55)/O$11)*O57*3600)/(O56),"")&gt;0,IFERROR((O$11*(O50-SUM(O52:O55)/O$11)*O57*3600)/(O56),""),"")</f>
        <v/>
      </c>
      <c r="P58" s="284" t="str">
        <f t="shared" ref="P58" ca="1" si="219">IF(IFERROR((P$11*(P50-SUM(P52:P55)/P$11)*P57*3600)/(P56),"")&gt;0,IFERROR((P$11*(P50-SUM(P52:P55)/P$11)*P57*3600)/(P56),""),"")</f>
        <v/>
      </c>
      <c r="Q58" s="284" t="str">
        <f t="shared" ref="Q58" ca="1" si="220">IF(IFERROR((Q$11*(Q50-SUM(Q52:Q55)/Q$11)*Q57*3600)/(Q56),"")&gt;0,IFERROR((Q$11*(Q50-SUM(Q52:Q55)/Q$11)*Q57*3600)/(Q56),""),"")</f>
        <v/>
      </c>
      <c r="R58" s="283" t="str">
        <f t="shared" ref="R58" ca="1" si="221">IF(IFERROR((R$11*(R50-SUM(R52:R55)/R$11)*R57*3600)/(R56),"")&gt;0,IFERROR((R$11*(R50-SUM(R52:R55)/R$11)*R57*3600)/(R56),""),"")</f>
        <v/>
      </c>
      <c r="S58" s="284" t="str">
        <f t="shared" ref="S58" ca="1" si="222">IF(IFERROR((S$11*(S50-SUM(S52:S55)/S$11)*S57*3600)/(S56),"")&gt;0,IFERROR((S$11*(S50-SUM(S52:S55)/S$11)*S57*3600)/(S56),""),"")</f>
        <v/>
      </c>
      <c r="T58" s="284" t="str">
        <f t="shared" ref="T58" ca="1" si="223">IF(IFERROR((T$11*(T50-SUM(T52:T55)/T$11)*T57*3600)/(T56),"")&gt;0,IFERROR((T$11*(T50-SUM(T52:T55)/T$11)*T57*3600)/(T56),""),"")</f>
        <v/>
      </c>
      <c r="U58" s="284" t="str">
        <f t="shared" ref="U58" ca="1" si="224">IF(IFERROR((U$11*(U50-SUM(U52:U55)/U$11)*U57*3600)/(U56),"")&gt;0,IFERROR((U$11*(U50-SUM(U52:U55)/U$11)*U57*3600)/(U56),""),"")</f>
        <v/>
      </c>
      <c r="V58" s="284" t="str">
        <f t="shared" ref="V58" ca="1" si="225">IF(IFERROR((V$11*(V50-SUM(V52:V55)/V$11)*V57*3600)/(V56),"")&gt;0,IFERROR((V$11*(V50-SUM(V52:V55)/V$11)*V57*3600)/(V56),""),"")</f>
        <v/>
      </c>
      <c r="W58" s="284" t="str">
        <f t="shared" ref="W58" ca="1" si="226">IF(IFERROR((W$11*(W50-SUM(W52:W55)/W$11)*W57*3600)/(W56),"")&gt;0,IFERROR((W$11*(W50-SUM(W52:W55)/W$11)*W57*3600)/(W56),""),"")</f>
        <v/>
      </c>
      <c r="X58" s="284" t="str">
        <f t="shared" ref="X58" ca="1" si="227">IF(IFERROR((X$11*(X50-SUM(X52:X55)/X$11)*X57*3600)/(X56),"")&gt;0,IFERROR((X$11*(X50-SUM(X52:X55)/X$11)*X57*3600)/(X56),""),"")</f>
        <v/>
      </c>
      <c r="Y58" s="284" t="str">
        <f t="shared" ref="Y58" ca="1" si="228">IF(IFERROR((Y$11*(Y50-SUM(Y52:Y55)/Y$11)*Y57*3600)/(Y56),"")&gt;0,IFERROR((Y$11*(Y50-SUM(Y52:Y55)/Y$11)*Y57*3600)/(Y56),""),"")</f>
        <v/>
      </c>
      <c r="Z58" s="284" t="str">
        <f t="shared" ref="Z58" ca="1" si="229">IF(IFERROR((Z$11*(Z50-SUM(Z52:Z55)/Z$11)*Z57*3600)/(Z56),"")&gt;0,IFERROR((Z$11*(Z50-SUM(Z52:Z55)/Z$11)*Z57*3600)/(Z56),""),"")</f>
        <v/>
      </c>
      <c r="AA58" s="284" t="str">
        <f t="shared" ref="AA58" ca="1" si="230">IF(IFERROR((AA$11*(AA50-SUM(AA52:AA55)/AA$11)*AA57*3600)/(AA56),"")&gt;0,IFERROR((AA$11*(AA50-SUM(AA52:AA55)/AA$11)*AA57*3600)/(AA56),""),"")</f>
        <v/>
      </c>
      <c r="AB58" s="284" t="str">
        <f t="shared" ref="AB58" ca="1" si="231">IF(IFERROR((AB$11*(AB50-SUM(AB52:AB55)/AB$11)*AB57*3600)/(AB56),"")&gt;0,IFERROR((AB$11*(AB50-SUM(AB52:AB55)/AB$11)*AB57*3600)/(AB56),""),"")</f>
        <v/>
      </c>
      <c r="AC58" s="284" t="str">
        <f t="shared" ref="AC58" ca="1" si="232">IF(IFERROR((AC$11*(AC50-SUM(AC52:AC55)/AC$11)*AC57*3600)/(AC56),"")&gt;0,IFERROR((AC$11*(AC50-SUM(AC52:AC55)/AC$11)*AC57*3600)/(AC56),""),"")</f>
        <v/>
      </c>
      <c r="AD58" s="283" t="str">
        <f t="shared" ref="AD58" ca="1" si="233">IF(IFERROR((AD$11*(AD50-SUM(AD52:AD55)/AD$11)*AD57*3600)/(AD56),"")&gt;0,IFERROR((AD$11*(AD50-SUM(AD52:AD55)/AD$11)*AD57*3600)/(AD56),""),"")</f>
        <v/>
      </c>
      <c r="AE58" s="284" t="str">
        <f t="shared" ref="AE58" ca="1" si="234">IF(IFERROR((AE$11*(AE50-SUM(AE52:AE55)/AE$11)*AE57*3600)/(AE56),"")&gt;0,IFERROR((AE$11*(AE50-SUM(AE52:AE55)/AE$11)*AE57*3600)/(AE56),""),"")</f>
        <v/>
      </c>
      <c r="AF58" s="284" t="str">
        <f t="shared" ref="AF58" ca="1" si="235">IF(IFERROR((AF$11*(AF50-SUM(AF52:AF55)/AF$11)*AF57*3600)/(AF56),"")&gt;0,IFERROR((AF$11*(AF50-SUM(AF52:AF55)/AF$11)*AF57*3600)/(AF56),""),"")</f>
        <v/>
      </c>
      <c r="AG58" s="284" t="str">
        <f t="shared" ref="AG58" ca="1" si="236">IF(IFERROR((AG$11*(AG50-SUM(AG52:AG55)/AG$11)*AG57*3600)/(AG56),"")&gt;0,IFERROR((AG$11*(AG50-SUM(AG52:AG55)/AG$11)*AG57*3600)/(AG56),""),"")</f>
        <v/>
      </c>
      <c r="AH58" s="284" t="str">
        <f t="shared" ref="AH58" ca="1" si="237">IF(IFERROR((AH$11*(AH50-SUM(AH52:AH55)/AH$11)*AH57*3600)/(AH56),"")&gt;0,IFERROR((AH$11*(AH50-SUM(AH52:AH55)/AH$11)*AH57*3600)/(AH56),""),"")</f>
        <v/>
      </c>
      <c r="AI58" s="284" t="str">
        <f t="shared" ref="AI58" ca="1" si="238">IF(IFERROR((AI$11*(AI50-SUM(AI52:AI55)/AI$11)*AI57*3600)/(AI56),"")&gt;0,IFERROR((AI$11*(AI50-SUM(AI52:AI55)/AI$11)*AI57*3600)/(AI56),""),"")</f>
        <v/>
      </c>
      <c r="AJ58" s="284" t="str">
        <f t="shared" ref="AJ58" ca="1" si="239">IF(IFERROR((AJ$11*(AJ50-SUM(AJ52:AJ55)/AJ$11)*AJ57*3600)/(AJ56),"")&gt;0,IFERROR((AJ$11*(AJ50-SUM(AJ52:AJ55)/AJ$11)*AJ57*3600)/(AJ56),""),"")</f>
        <v/>
      </c>
      <c r="AK58" s="284" t="str">
        <f t="shared" ref="AK58" ca="1" si="240">IF(IFERROR((AK$11*(AK50-SUM(AK52:AK55)/AK$11)*AK57*3600)/(AK56),"")&gt;0,IFERROR((AK$11*(AK50-SUM(AK52:AK55)/AK$11)*AK57*3600)/(AK56),""),"")</f>
        <v/>
      </c>
      <c r="AL58" s="284" t="str">
        <f t="shared" ref="AL58" ca="1" si="241">IF(IFERROR((AL$11*(AL50-SUM(AL52:AL55)/AL$11)*AL57*3600)/(AL56),"")&gt;0,IFERROR((AL$11*(AL50-SUM(AL52:AL55)/AL$11)*AL57*3600)/(AL56),""),"")</f>
        <v/>
      </c>
      <c r="AM58" s="284" t="str">
        <f t="shared" ref="AM58" ca="1" si="242">IF(IFERROR((AM$11*(AM50-SUM(AM52:AM55)/AM$11)*AM57*3600)/(AM56),"")&gt;0,IFERROR((AM$11*(AM50-SUM(AM52:AM55)/AM$11)*AM57*3600)/(AM56),""),"")</f>
        <v/>
      </c>
      <c r="AN58" s="284" t="str">
        <f t="shared" ref="AN58" ca="1" si="243">IF(IFERROR((AN$11*(AN50-SUM(AN52:AN55)/AN$11)*AN57*3600)/(AN56),"")&gt;0,IFERROR((AN$11*(AN50-SUM(AN52:AN55)/AN$11)*AN57*3600)/(AN56),""),"")</f>
        <v/>
      </c>
      <c r="AO58" s="284" t="str">
        <f t="shared" ref="AO58" ca="1" si="244">IF(IFERROR((AO$11*(AO50-SUM(AO52:AO55)/AO$11)*AO57*3600)/(AO56),"")&gt;0,IFERROR((AO$11*(AO50-SUM(AO52:AO55)/AO$11)*AO57*3600)/(AO56),""),"")</f>
        <v/>
      </c>
      <c r="AP58" s="283" t="e">
        <f t="shared" ref="AP58:AP59" ca="1" si="245">IF(SUM(F58:K58)&lt;&gt;0,SUM(F58:K58),#N/A)</f>
        <v>#N/A</v>
      </c>
      <c r="AQ58" s="284" t="e">
        <f t="shared" ref="AQ58:AQ59" ca="1" si="246">IF(SUM(L58:Q58)&lt;&gt;0,SUM(L58:Q58),#N/A)</f>
        <v>#N/A</v>
      </c>
      <c r="AR58" s="283" t="e">
        <f t="shared" ref="AR58:AR59" ca="1" si="247">IF(SUM(R58:W58)&lt;&gt;0,SUM(R58:W58),#N/A)</f>
        <v>#N/A</v>
      </c>
      <c r="AS58" s="284" t="e">
        <f t="shared" ref="AS58:AS59" ca="1" si="248">IF(SUM(X58:AC58)&lt;&gt;0,SUM(X58:AC58),#N/A)</f>
        <v>#N/A</v>
      </c>
      <c r="AT58" s="283" t="e">
        <f t="shared" ref="AT58:AT59" ca="1" si="249">IF(SUM(AD58:AI58)&lt;&gt;0,SUM(AD58:AI58),#N/A)</f>
        <v>#N/A</v>
      </c>
      <c r="AU58" s="284" t="e">
        <f t="shared" ref="AU58:AU59" ca="1" si="250">IF(SUM(AJ58:AO58)&lt;&gt;0,SUM(AJ58:AO58),#N/A)</f>
        <v>#N/A</v>
      </c>
      <c r="AV58" s="283" t="str">
        <f ca="1">IF(IFERROR((AV$11*(AV50-SUM(AV52:AV55)/AV$11)*AV57*3600)/(AV56),"")&lt;&gt;0,IFERROR((AV$11*(AV50-SUM(AV52:AV55)/AV$11)*AV57*3600)/(AV56),""),"")</f>
        <v/>
      </c>
      <c r="AW58" s="284" t="str">
        <f t="shared" ref="AW58" ca="1" si="251">IF(IFERROR((AW$11*(AW50-SUM(AW52:AW55)/AW$11)*AW57*3600)/(AW56),"")&lt;&gt;0,IFERROR((AW$11*(AW50-SUM(AW52:AW55)/AW$11)*AW57*3600)/(AW56),""),"")</f>
        <v/>
      </c>
      <c r="AX58" s="283" t="str">
        <f t="shared" ref="AX58" ca="1" si="252">IF(IFERROR((AX$11*(AX50-SUM(AX52:AX55)/AX$11)*AX57*3600)/(AX56),"")&lt;&gt;0,IFERROR((AX$11*(AX50-SUM(AX52:AX55)/AX$11)*AX57*3600)/(AX56),""),"")</f>
        <v/>
      </c>
      <c r="AY58" s="284" t="str">
        <f t="shared" ref="AY58" ca="1" si="253">IF(IFERROR((AY$11*(AY50-SUM(AY52:AY55)/AY$11)*AY57*3600)/(AY56),"")&lt;&gt;0,IFERROR((AY$11*(AY50-SUM(AY52:AY55)/AY$11)*AY57*3600)/(AY56),""),"")</f>
        <v/>
      </c>
      <c r="AZ58" s="283" t="str">
        <f t="shared" ref="AZ58" ca="1" si="254">IF(IFERROR((AZ$11*(AZ50-SUM(AZ52:AZ55)/AZ$11)*AZ57*3600)/(AZ56),"")&lt;&gt;0,IFERROR((AZ$11*(AZ50-SUM(AZ52:AZ55)/AZ$11)*AZ57*3600)/(AZ56),""),"")</f>
        <v/>
      </c>
      <c r="BA58" s="284" t="str">
        <f t="shared" ref="BA58" ca="1" si="255">IF(IFERROR((BA$11*(BA50-SUM(BA52:BA55)/BA$11)*BA57*3600)/(BA56),"")&lt;&gt;0,IFERROR((BA$11*(BA50-SUM(BA52:BA55)/BA$11)*BA57*3600)/(BA56),""),"")</f>
        <v/>
      </c>
      <c r="BB58" s="283" t="str">
        <f t="shared" ref="BB58" ca="1" si="256">IF(IFERROR((BB$11*(BB50-SUM(BB52:BB55)/BB$11)*BB57*3600)/(BB56),"")&lt;&gt;0,IFERROR((BB$11*(BB50-SUM(BB52:BB55)/BB$11)*BB57*3600)/(BB56),""),"")</f>
        <v/>
      </c>
      <c r="BC58" s="284" t="str">
        <f t="shared" ref="BC58" ca="1" si="257">IF(IFERROR((BC$11*(BC50-SUM(BC52:BC55)/BC$11)*BC57*3600)/(BC56),"")&lt;&gt;0,IFERROR((BC$11*(BC50-SUM(BC52:BC55)/BC$11)*BC57*3600)/(BC56),""),"")</f>
        <v/>
      </c>
      <c r="BD58" s="283" t="str">
        <f t="shared" ref="BD58" ca="1" si="258">IF(IFERROR((BD$11*(BD50-SUM(BD52:BD55)/BD$11)*BD57*3600)/(BD56),"")&lt;&gt;0,IFERROR((BD$11*(BD50-SUM(BD52:BD55)/BD$11)*BD57*3600)/(BD56),""),"")</f>
        <v/>
      </c>
      <c r="BE58" s="285" t="str">
        <f t="shared" ref="BE58" ca="1" si="259">IF(IFERROR((BE$11*(BE50-SUM(BE52:BE55)/BE$11)*BE57*3600)/(BE56),"")&lt;&gt;0,IFERROR((BE$11*(BE50-SUM(BE52:BE55)/BE$11)*BE57*3600)/(BE56),""),"")</f>
        <v/>
      </c>
      <c r="BF58" s="285" t="e">
        <f t="shared" ref="BF58:BF59" ca="1" si="260">IF(SUM(AP58,AQ58)&lt;&gt;0,SUM(AP58,AQ58),#N/A)</f>
        <v>#N/A</v>
      </c>
      <c r="BG58" s="285" t="e">
        <f t="shared" ref="BG58:BG59" ca="1" si="261">IF(SUM(AR58,AS58)&lt;&gt;0,SUM(AR58,AS58),#N/A)</f>
        <v>#N/A</v>
      </c>
      <c r="BH58" s="285" t="e">
        <f t="shared" ref="BH58:BH59" ca="1" si="262">IF(SUM(AT58,AU58)&lt;&gt;0,SUM(AT58,AU58),#N/A)</f>
        <v>#N/A</v>
      </c>
      <c r="BI58" s="285" t="e">
        <f t="shared" ref="BI58:BI59" ca="1" si="263">IF(SUM(AV58,AW58)&lt;&gt;0,SUM(AV58,AW58),#N/A)</f>
        <v>#N/A</v>
      </c>
      <c r="BJ58" s="285" t="e">
        <f t="shared" ref="BJ58:BJ59" ca="1" si="264">IF(SUM(AX58,AY58)&lt;&gt;0,SUM(AX58,AY58),#N/A)</f>
        <v>#N/A</v>
      </c>
      <c r="BK58" s="285" t="e">
        <f t="shared" ref="BK58:BK59" ca="1" si="265">IF(SUM(AZ58,BA58)&lt;&gt;0,SUM(AZ58,BA58),#N/A)</f>
        <v>#N/A</v>
      </c>
      <c r="BL58" s="285" t="e">
        <f t="shared" ref="BL58:BL59" ca="1" si="266">IF(SUM(BB58,BC58)&lt;&gt;0,SUM(BB58,BC58),#N/A)</f>
        <v>#N/A</v>
      </c>
      <c r="BM58" s="285" t="e">
        <f t="shared" ref="BM58:BM59" ca="1" si="267">IF(SUM(BD58,BE58)&lt;&gt;0,SUM(BD58,BE58),#N/A)</f>
        <v>#N/A</v>
      </c>
    </row>
    <row r="59" spans="1:65" s="102" customFormat="1" ht="15" customHeight="1" outlineLevel="1" thickBot="1" x14ac:dyDescent="0.25">
      <c r="A59" s="320" t="s">
        <v>226</v>
      </c>
      <c r="B59" s="348"/>
      <c r="C59" s="351"/>
      <c r="D59" s="345"/>
      <c r="E59" s="104" t="s">
        <v>225</v>
      </c>
      <c r="F59" s="36" t="str">
        <f ca="1">IFERROR(F58+((F49*F51*F57*3600)/(F56)),"")</f>
        <v/>
      </c>
      <c r="G59" s="37" t="str">
        <f t="shared" ref="G59:AO59" ca="1" si="268">IFERROR(G58+((G49*G51*G57*3600)/(G56)),"")</f>
        <v/>
      </c>
      <c r="H59" s="37" t="str">
        <f t="shared" ca="1" si="268"/>
        <v/>
      </c>
      <c r="I59" s="37" t="str">
        <f t="shared" ca="1" si="268"/>
        <v/>
      </c>
      <c r="J59" s="37" t="str">
        <f t="shared" ca="1" si="268"/>
        <v/>
      </c>
      <c r="K59" s="37" t="str">
        <f t="shared" ca="1" si="268"/>
        <v/>
      </c>
      <c r="L59" s="37" t="str">
        <f t="shared" ca="1" si="268"/>
        <v/>
      </c>
      <c r="M59" s="37" t="str">
        <f t="shared" ca="1" si="268"/>
        <v/>
      </c>
      <c r="N59" s="37" t="str">
        <f t="shared" ca="1" si="268"/>
        <v/>
      </c>
      <c r="O59" s="37" t="str">
        <f t="shared" ca="1" si="268"/>
        <v/>
      </c>
      <c r="P59" s="37" t="str">
        <f t="shared" ca="1" si="268"/>
        <v/>
      </c>
      <c r="Q59" s="37" t="str">
        <f t="shared" ca="1" si="268"/>
        <v/>
      </c>
      <c r="R59" s="36" t="str">
        <f t="shared" ca="1" si="268"/>
        <v/>
      </c>
      <c r="S59" s="37" t="str">
        <f t="shared" ca="1" si="268"/>
        <v/>
      </c>
      <c r="T59" s="37" t="str">
        <f t="shared" ca="1" si="268"/>
        <v/>
      </c>
      <c r="U59" s="37" t="str">
        <f t="shared" ca="1" si="268"/>
        <v/>
      </c>
      <c r="V59" s="37" t="str">
        <f t="shared" ca="1" si="268"/>
        <v/>
      </c>
      <c r="W59" s="37" t="str">
        <f t="shared" ca="1" si="268"/>
        <v/>
      </c>
      <c r="X59" s="37" t="str">
        <f t="shared" ca="1" si="268"/>
        <v/>
      </c>
      <c r="Y59" s="37" t="str">
        <f t="shared" ca="1" si="268"/>
        <v/>
      </c>
      <c r="Z59" s="37" t="str">
        <f t="shared" ca="1" si="268"/>
        <v/>
      </c>
      <c r="AA59" s="37" t="str">
        <f t="shared" ca="1" si="268"/>
        <v/>
      </c>
      <c r="AB59" s="37" t="str">
        <f t="shared" ca="1" si="268"/>
        <v/>
      </c>
      <c r="AC59" s="37" t="str">
        <f t="shared" ca="1" si="268"/>
        <v/>
      </c>
      <c r="AD59" s="36" t="str">
        <f t="shared" ca="1" si="268"/>
        <v/>
      </c>
      <c r="AE59" s="37" t="str">
        <f t="shared" ca="1" si="268"/>
        <v/>
      </c>
      <c r="AF59" s="37" t="str">
        <f t="shared" ca="1" si="268"/>
        <v/>
      </c>
      <c r="AG59" s="37" t="str">
        <f t="shared" ca="1" si="268"/>
        <v/>
      </c>
      <c r="AH59" s="37" t="str">
        <f t="shared" ca="1" si="268"/>
        <v/>
      </c>
      <c r="AI59" s="37" t="str">
        <f t="shared" ca="1" si="268"/>
        <v/>
      </c>
      <c r="AJ59" s="37" t="str">
        <f t="shared" ca="1" si="268"/>
        <v/>
      </c>
      <c r="AK59" s="37" t="str">
        <f t="shared" ca="1" si="268"/>
        <v/>
      </c>
      <c r="AL59" s="37" t="str">
        <f t="shared" ca="1" si="268"/>
        <v/>
      </c>
      <c r="AM59" s="37" t="str">
        <f t="shared" ca="1" si="268"/>
        <v/>
      </c>
      <c r="AN59" s="37" t="str">
        <f t="shared" ca="1" si="268"/>
        <v/>
      </c>
      <c r="AO59" s="37" t="str">
        <f t="shared" ca="1" si="268"/>
        <v/>
      </c>
      <c r="AP59" s="36" t="e">
        <f t="shared" ca="1" si="245"/>
        <v>#N/A</v>
      </c>
      <c r="AQ59" s="37" t="e">
        <f t="shared" ca="1" si="246"/>
        <v>#N/A</v>
      </c>
      <c r="AR59" s="36" t="e">
        <f t="shared" ca="1" si="247"/>
        <v>#N/A</v>
      </c>
      <c r="AS59" s="37" t="e">
        <f t="shared" ca="1" si="248"/>
        <v>#N/A</v>
      </c>
      <c r="AT59" s="36" t="e">
        <f t="shared" ca="1" si="249"/>
        <v>#N/A</v>
      </c>
      <c r="AU59" s="37" t="e">
        <f t="shared" ca="1" si="250"/>
        <v>#N/A</v>
      </c>
      <c r="AV59" s="36" t="str">
        <f t="shared" ref="AV59:BE59" ca="1" si="269">IFERROR(AV58+((AV49*AV51*AV57*3600)/(AV56)),"")</f>
        <v/>
      </c>
      <c r="AW59" s="37" t="str">
        <f t="shared" ca="1" si="269"/>
        <v/>
      </c>
      <c r="AX59" s="36" t="str">
        <f t="shared" ca="1" si="269"/>
        <v/>
      </c>
      <c r="AY59" s="37" t="str">
        <f t="shared" ca="1" si="269"/>
        <v/>
      </c>
      <c r="AZ59" s="36" t="str">
        <f t="shared" ca="1" si="269"/>
        <v/>
      </c>
      <c r="BA59" s="37" t="str">
        <f t="shared" ca="1" si="269"/>
        <v/>
      </c>
      <c r="BB59" s="36" t="str">
        <f t="shared" ca="1" si="269"/>
        <v/>
      </c>
      <c r="BC59" s="37" t="str">
        <f t="shared" ca="1" si="269"/>
        <v/>
      </c>
      <c r="BD59" s="36" t="str">
        <f t="shared" ca="1" si="269"/>
        <v/>
      </c>
      <c r="BE59" s="43" t="str">
        <f t="shared" ca="1" si="269"/>
        <v/>
      </c>
      <c r="BF59" s="43" t="e">
        <f t="shared" ca="1" si="260"/>
        <v>#N/A</v>
      </c>
      <c r="BG59" s="43" t="e">
        <f t="shared" ca="1" si="261"/>
        <v>#N/A</v>
      </c>
      <c r="BH59" s="43" t="e">
        <f t="shared" ca="1" si="262"/>
        <v>#N/A</v>
      </c>
      <c r="BI59" s="43" t="e">
        <f t="shared" ca="1" si="263"/>
        <v>#N/A</v>
      </c>
      <c r="BJ59" s="43" t="e">
        <f t="shared" ca="1" si="264"/>
        <v>#N/A</v>
      </c>
      <c r="BK59" s="43" t="e">
        <f t="shared" ca="1" si="265"/>
        <v>#N/A</v>
      </c>
      <c r="BL59" s="43" t="e">
        <f t="shared" ca="1" si="266"/>
        <v>#N/A</v>
      </c>
      <c r="BM59" s="43" t="e">
        <f t="shared" ca="1" si="267"/>
        <v>#N/A</v>
      </c>
    </row>
    <row r="60" spans="1:65" s="102" customFormat="1" ht="22.5" outlineLevel="2" x14ac:dyDescent="0.2">
      <c r="A60" s="320" t="s">
        <v>226</v>
      </c>
      <c r="B60" s="346"/>
      <c r="C60" s="349" t="str">
        <f t="shared" ref="C60" si="270">IF(AND($B60&lt;&gt;0,$C$9&lt;&gt;0),$C$9,"")</f>
        <v/>
      </c>
      <c r="D60" s="343"/>
      <c r="E60" s="277" t="s">
        <v>40</v>
      </c>
      <c r="F60" s="33">
        <f ca="1">IF(F$11-(SUM(F64:F67)/24)=0,"",F$11-(SUM(F64:F67)/24))</f>
        <v>27</v>
      </c>
      <c r="G60" s="34">
        <f t="shared" ref="G60:AO60" ca="1" si="271">IF(G$11-(SUM(G64:G67)/24)=0,"",G$11-(SUM(G64:G67)/24))</f>
        <v>24</v>
      </c>
      <c r="H60" s="34">
        <f t="shared" ca="1" si="271"/>
        <v>26</v>
      </c>
      <c r="I60" s="34">
        <f t="shared" ca="1" si="271"/>
        <v>26</v>
      </c>
      <c r="J60" s="34">
        <f t="shared" ca="1" si="271"/>
        <v>27</v>
      </c>
      <c r="K60" s="34">
        <f t="shared" ca="1" si="271"/>
        <v>25</v>
      </c>
      <c r="L60" s="34">
        <f t="shared" ca="1" si="271"/>
        <v>27</v>
      </c>
      <c r="M60" s="34">
        <f t="shared" ca="1" si="271"/>
        <v>26</v>
      </c>
      <c r="N60" s="34">
        <f t="shared" ca="1" si="271"/>
        <v>26</v>
      </c>
      <c r="O60" s="34">
        <f t="shared" ca="1" si="271"/>
        <v>27</v>
      </c>
      <c r="P60" s="34">
        <f t="shared" ca="1" si="271"/>
        <v>25</v>
      </c>
      <c r="Q60" s="34">
        <f t="shared" ca="1" si="271"/>
        <v>27</v>
      </c>
      <c r="R60" s="32">
        <f t="shared" ca="1" si="271"/>
        <v>27</v>
      </c>
      <c r="S60" s="29">
        <f t="shared" ca="1" si="271"/>
        <v>24</v>
      </c>
      <c r="T60" s="29">
        <f t="shared" ca="1" si="271"/>
        <v>26</v>
      </c>
      <c r="U60" s="29">
        <f t="shared" ca="1" si="271"/>
        <v>26</v>
      </c>
      <c r="V60" s="29">
        <f t="shared" ca="1" si="271"/>
        <v>26</v>
      </c>
      <c r="W60" s="29">
        <f t="shared" ca="1" si="271"/>
        <v>26</v>
      </c>
      <c r="X60" s="29">
        <f t="shared" ca="1" si="271"/>
        <v>27</v>
      </c>
      <c r="Y60" s="29">
        <f t="shared" ca="1" si="271"/>
        <v>26</v>
      </c>
      <c r="Z60" s="29">
        <f t="shared" ca="1" si="271"/>
        <v>26</v>
      </c>
      <c r="AA60" s="29">
        <f t="shared" ca="1" si="271"/>
        <v>27</v>
      </c>
      <c r="AB60" s="29">
        <f t="shared" ca="1" si="271"/>
        <v>25</v>
      </c>
      <c r="AC60" s="29">
        <f t="shared" ca="1" si="271"/>
        <v>27</v>
      </c>
      <c r="AD60" s="32">
        <f t="shared" ca="1" si="271"/>
        <v>26</v>
      </c>
      <c r="AE60" s="29">
        <f t="shared" ca="1" si="271"/>
        <v>24</v>
      </c>
      <c r="AF60" s="29">
        <f t="shared" ca="1" si="271"/>
        <v>27</v>
      </c>
      <c r="AG60" s="29">
        <f t="shared" ca="1" si="271"/>
        <v>26</v>
      </c>
      <c r="AH60" s="29">
        <f t="shared" ca="1" si="271"/>
        <v>26</v>
      </c>
      <c r="AI60" s="29">
        <f t="shared" ca="1" si="271"/>
        <v>26</v>
      </c>
      <c r="AJ60" s="29">
        <f t="shared" ca="1" si="271"/>
        <v>27</v>
      </c>
      <c r="AK60" s="29">
        <f t="shared" ca="1" si="271"/>
        <v>26</v>
      </c>
      <c r="AL60" s="29">
        <f t="shared" ca="1" si="271"/>
        <v>26</v>
      </c>
      <c r="AM60" s="29">
        <f t="shared" ca="1" si="271"/>
        <v>26</v>
      </c>
      <c r="AN60" s="29">
        <f t="shared" ca="1" si="271"/>
        <v>26</v>
      </c>
      <c r="AO60" s="29">
        <f t="shared" ca="1" si="271"/>
        <v>27</v>
      </c>
      <c r="AP60" s="32">
        <f ca="1">IF(SUM(F60:K60)&lt;&gt;0,SUM(F60:K60),"")</f>
        <v>155</v>
      </c>
      <c r="AQ60" s="29">
        <f ca="1">IF(SUM(L60:Q60)&lt;&gt;0,SUM(L60:Q60),"")</f>
        <v>158</v>
      </c>
      <c r="AR60" s="32">
        <f ca="1">IF(SUM(R60:W60)&lt;&gt;0,SUM(R60:W60),"")</f>
        <v>155</v>
      </c>
      <c r="AS60" s="29">
        <f ca="1">IF(SUM(X60:AC60)&lt;&gt;0,SUM(X60:AC60),"")</f>
        <v>158</v>
      </c>
      <c r="AT60" s="32">
        <f ca="1">IF(SUM(AD60:AI60)&lt;&gt;0,SUM(AD60:AI60),"")</f>
        <v>155</v>
      </c>
      <c r="AU60" s="296">
        <f ca="1">SUM(AJ60:AO60)</f>
        <v>158</v>
      </c>
      <c r="AV60" s="32">
        <f t="shared" ref="AV60:BE60" ca="1" si="272">IF(AV$11-(SUM(AV64:AV67)/24)=0,"",AV$11-(SUM(AV64:AV67)/24))</f>
        <v>156</v>
      </c>
      <c r="AW60" s="29">
        <f t="shared" ca="1" si="272"/>
        <v>157</v>
      </c>
      <c r="AX60" s="32">
        <f t="shared" ca="1" si="272"/>
        <v>156</v>
      </c>
      <c r="AY60" s="29">
        <f t="shared" ca="1" si="272"/>
        <v>158</v>
      </c>
      <c r="AZ60" s="32">
        <f t="shared" ca="1" si="272"/>
        <v>155</v>
      </c>
      <c r="BA60" s="29">
        <f t="shared" ca="1" si="272"/>
        <v>158</v>
      </c>
      <c r="BB60" s="32">
        <f t="shared" ca="1" si="272"/>
        <v>155</v>
      </c>
      <c r="BC60" s="29">
        <f t="shared" ca="1" si="272"/>
        <v>158</v>
      </c>
      <c r="BD60" s="32">
        <f t="shared" ca="1" si="272"/>
        <v>156</v>
      </c>
      <c r="BE60" s="262">
        <f t="shared" ca="1" si="272"/>
        <v>158</v>
      </c>
      <c r="BF60" s="286">
        <f t="shared" ref="BF60" ca="1" si="273">IF(SUM(AP60,AQ60)&lt;&gt;0,SUM(AP60,AQ60),#N/A)</f>
        <v>313</v>
      </c>
      <c r="BG60" s="286">
        <f t="shared" ref="BG60" ca="1" si="274">IF(SUM(AR60,AS60)&lt;&gt;0,SUM(AR60,AS60),#N/A)</f>
        <v>313</v>
      </c>
      <c r="BH60" s="286">
        <f t="shared" ref="BH60" ca="1" si="275">IF(SUM(AT60,AU60)&lt;&gt;0,SUM(AT60,AU60),#N/A)</f>
        <v>313</v>
      </c>
      <c r="BI60" s="286">
        <f t="shared" ref="BI60" ca="1" si="276">IF(SUM(AV60,AW60)&lt;&gt;0,SUM(AV60,AW60),#N/A)</f>
        <v>313</v>
      </c>
      <c r="BJ60" s="286">
        <f t="shared" ref="BJ60" ca="1" si="277">IF(SUM(AX60,AY60)&lt;&gt;0,SUM(AX60,AY60),#N/A)</f>
        <v>314</v>
      </c>
      <c r="BK60" s="286">
        <f t="shared" ref="BK60" ca="1" si="278">IF(SUM(AZ60,BA60)&lt;&gt;0,SUM(AZ60,BA60),#N/A)</f>
        <v>313</v>
      </c>
      <c r="BL60" s="286">
        <f t="shared" ref="BL60" ca="1" si="279">IF(SUM(BB60,BC60)&lt;&gt;0,SUM(BB60,BC60),#N/A)</f>
        <v>313</v>
      </c>
      <c r="BM60" s="286">
        <f t="shared" ref="BM60" ca="1" si="280">IF(SUM(BD60,BE60)&lt;&gt;0,SUM(BD60,BE60),#N/A)</f>
        <v>314</v>
      </c>
    </row>
    <row r="61" spans="1:65" s="102" customFormat="1" ht="15" customHeight="1" outlineLevel="2" thickBot="1" x14ac:dyDescent="0.25">
      <c r="A61" s="320" t="s">
        <v>226</v>
      </c>
      <c r="B61" s="347"/>
      <c r="C61" s="350"/>
      <c r="D61" s="344"/>
      <c r="E61" s="278" t="s">
        <v>29</v>
      </c>
      <c r="F61" s="47"/>
      <c r="G61" s="48"/>
      <c r="H61" s="48"/>
      <c r="I61" s="48"/>
      <c r="J61" s="48"/>
      <c r="K61" s="48"/>
      <c r="L61" s="48"/>
      <c r="M61" s="48"/>
      <c r="N61" s="48"/>
      <c r="O61" s="48"/>
      <c r="P61" s="48"/>
      <c r="Q61" s="51"/>
      <c r="R61" s="47"/>
      <c r="S61" s="48"/>
      <c r="T61" s="48"/>
      <c r="U61" s="48"/>
      <c r="V61" s="48"/>
      <c r="W61" s="48"/>
      <c r="X61" s="48"/>
      <c r="Y61" s="48"/>
      <c r="Z61" s="48"/>
      <c r="AA61" s="48"/>
      <c r="AB61" s="48"/>
      <c r="AC61" s="51"/>
      <c r="AD61" s="47"/>
      <c r="AE61" s="48"/>
      <c r="AF61" s="48"/>
      <c r="AG61" s="48"/>
      <c r="AH61" s="48"/>
      <c r="AI61" s="48"/>
      <c r="AJ61" s="48"/>
      <c r="AK61" s="48"/>
      <c r="AL61" s="48"/>
      <c r="AM61" s="48"/>
      <c r="AN61" s="48"/>
      <c r="AO61" s="51"/>
      <c r="AP61" s="294" t="str">
        <f>IFERROR(IF(SUM(F61:K61)&lt;&gt;0,SUM(F61:K61),""),"")</f>
        <v/>
      </c>
      <c r="AQ61" s="295" t="str">
        <f>IFERROR(IF(SUM(L61:Q61)&lt;&gt;0,SUM(L61:Q61),""),"")</f>
        <v/>
      </c>
      <c r="AR61" s="294" t="str">
        <f>IFERROR(IF(SUM(R61:W61)&lt;&gt;0,SUM(R61:W61),""),"")</f>
        <v/>
      </c>
      <c r="AS61" s="295" t="str">
        <f>IFERROR(IF(SUM(X61:AC61)&lt;&gt;0,SUM(X61:AC61),""),"")</f>
        <v/>
      </c>
      <c r="AT61" s="294" t="str">
        <f>IFERROR(IF(SUM(AD61:AI61)&lt;&gt;0,SUM(AD61:AI61),""),"")</f>
        <v/>
      </c>
      <c r="AU61" s="295" t="str">
        <f>IFERROR(IF(SUM(AJ61:AO61)&lt;&gt;0,SUM(AJ61:AO61),""),"")</f>
        <v/>
      </c>
      <c r="AV61" s="47"/>
      <c r="AW61" s="51"/>
      <c r="AX61" s="47"/>
      <c r="AY61" s="51"/>
      <c r="AZ61" s="47"/>
      <c r="BA61" s="51"/>
      <c r="BB61" s="47"/>
      <c r="BC61" s="51"/>
      <c r="BD61" s="47"/>
      <c r="BE61" s="263"/>
      <c r="BF61" s="271" t="str">
        <f>IFERROR(IF(AVERAGE(AP61:AQ61)&lt;&gt;0,AVERAGE(AP61:AQ61),""),"")</f>
        <v/>
      </c>
      <c r="BG61" s="271" t="str">
        <f>IFERROR(IF(AVERAGE(AR61:AS61)&lt;&gt;0,AVERAGE(AR61:AS61),""),"")</f>
        <v/>
      </c>
      <c r="BH61" s="271" t="str">
        <f>IFERROR(IF(AVERAGE(AT61:AU61)&lt;&gt;0,AVERAGE(AT61:AU61),""),"")</f>
        <v/>
      </c>
      <c r="BI61" s="271" t="str">
        <f>IFERROR(IF(AVERAGE(AV61:AW61)&lt;&gt;0,AVERAGE(AV61:AW61),""),"")</f>
        <v/>
      </c>
      <c r="BJ61" s="271" t="str">
        <f>IFERROR(IF(AVERAGE(AX61:AY61)&lt;&gt;0,AVERAGE(AX61:AY61),""),"")</f>
        <v/>
      </c>
      <c r="BK61" s="271" t="str">
        <f>IFERROR(IF(AVERAGE(AZ61:BA61)&lt;&gt;0,AVERAGE(AZ61:BA61),""),"")</f>
        <v/>
      </c>
      <c r="BL61" s="271" t="str">
        <f>IFERROR(IF(AVERAGE(BB61:BC61)&lt;&gt;0,AVERAGE(BB61:BC61),""),"")</f>
        <v/>
      </c>
      <c r="BM61" s="271" t="str">
        <f>IFERROR(IF(AVERAGE(BD61:BE61)&lt;&gt;0,AVERAGE(BD61:BE61),""),"")</f>
        <v/>
      </c>
    </row>
    <row r="62" spans="1:65" s="102" customFormat="1" ht="14.25" customHeight="1" outlineLevel="2" x14ac:dyDescent="0.2">
      <c r="A62" s="320" t="s">
        <v>226</v>
      </c>
      <c r="B62" s="347"/>
      <c r="C62" s="350"/>
      <c r="D62" s="344"/>
      <c r="E62" s="279" t="s">
        <v>28</v>
      </c>
      <c r="F62" s="52"/>
      <c r="G62" s="53"/>
      <c r="H62" s="53"/>
      <c r="I62" s="53"/>
      <c r="J62" s="53"/>
      <c r="K62" s="53"/>
      <c r="L62" s="53"/>
      <c r="M62" s="53"/>
      <c r="N62" s="53"/>
      <c r="O62" s="53"/>
      <c r="P62" s="53"/>
      <c r="Q62" s="54"/>
      <c r="R62" s="52"/>
      <c r="S62" s="53"/>
      <c r="T62" s="53"/>
      <c r="U62" s="53"/>
      <c r="V62" s="53"/>
      <c r="W62" s="53"/>
      <c r="X62" s="53"/>
      <c r="Y62" s="53"/>
      <c r="Z62" s="53"/>
      <c r="AA62" s="53"/>
      <c r="AB62" s="53"/>
      <c r="AC62" s="54"/>
      <c r="AD62" s="52"/>
      <c r="AE62" s="53"/>
      <c r="AF62" s="53"/>
      <c r="AG62" s="53"/>
      <c r="AH62" s="53"/>
      <c r="AI62" s="53"/>
      <c r="AJ62" s="53"/>
      <c r="AK62" s="53"/>
      <c r="AL62" s="53"/>
      <c r="AM62" s="53"/>
      <c r="AN62" s="53"/>
      <c r="AO62" s="54"/>
      <c r="AP62" s="225" t="str">
        <f>IFERROR(IF(AVERAGE(F62:K62)&lt;&gt;0,AVERAGE(F62:K62),""),"")</f>
        <v/>
      </c>
      <c r="AQ62" s="226" t="str">
        <f>IFERROR(IF(AVERAGE(L62:Q62)&lt;&gt;0,AVERAGE(L62:Q62),""),"")</f>
        <v/>
      </c>
      <c r="AR62" s="225" t="str">
        <f>IFERROR(IF(AVERAGE(R62:W62)&lt;&gt;0,AVERAGE(R62:W62),""),"")</f>
        <v/>
      </c>
      <c r="AS62" s="226" t="str">
        <f>IFERROR(IF(AVERAGE(X62:AC62)&lt;&gt;0,AVERAGE(X62:AC62),""),"")</f>
        <v/>
      </c>
      <c r="AT62" s="225" t="str">
        <f>IFERROR(IF(AVERAGE(AD62:AI62)&lt;&gt;0,AVERAGE(AD62:AI62),""),"")</f>
        <v/>
      </c>
      <c r="AU62" s="226" t="str">
        <f>IFERROR(IF(AVERAGE(AJ62:AO62)&lt;&gt;0,AVERAGE(AJ62:AO62),""),"")</f>
        <v/>
      </c>
      <c r="AV62" s="70"/>
      <c r="AW62" s="53"/>
      <c r="AX62" s="70"/>
      <c r="AY62" s="53"/>
      <c r="AZ62" s="70"/>
      <c r="BA62" s="53"/>
      <c r="BB62" s="70"/>
      <c r="BC62" s="53"/>
      <c r="BD62" s="70"/>
      <c r="BE62" s="264"/>
      <c r="BF62" s="272" t="str">
        <f>IFERROR(IF(AVERAGE(AP62:AQ62)&lt;&gt;0,AVERAGE(AP62:AQ62),""),"")</f>
        <v/>
      </c>
      <c r="BG62" s="272" t="str">
        <f>IFERROR(IF(AVERAGE(AR62:AS62)&lt;&gt;0,AVERAGE(AR62:AS62),""),"")</f>
        <v/>
      </c>
      <c r="BH62" s="272" t="str">
        <f>IFERROR(IF(AVERAGE(AT62:AU62)&lt;&gt;0,AVERAGE(AT62:AU62),""),"")</f>
        <v/>
      </c>
      <c r="BI62" s="272" t="str">
        <f>IFERROR(IF(AVERAGE(AV62:AW62)&lt;&gt;0,AVERAGE(AV62:AW62),""),"")</f>
        <v/>
      </c>
      <c r="BJ62" s="272" t="str">
        <f>IFERROR(IF(AVERAGE(AX62:AY62)&lt;&gt;0,AVERAGE(AX62:AY62),""),"")</f>
        <v/>
      </c>
      <c r="BK62" s="272" t="str">
        <f>IFERROR(IF(AVERAGE(AZ62:BA62)&lt;&gt;0,AVERAGE(AZ62:BA62),""),"")</f>
        <v/>
      </c>
      <c r="BL62" s="272" t="str">
        <f>IFERROR(IF(AVERAGE(BB62:BC62)&lt;&gt;0,AVERAGE(BB62:BC62),""),"")</f>
        <v/>
      </c>
      <c r="BM62" s="272" t="str">
        <f>IFERROR(IF(AVERAGE(BD62:BE62)&lt;&gt;0,AVERAGE(BD62:BE62),""),"")</f>
        <v/>
      </c>
    </row>
    <row r="63" spans="1:65" s="102" customFormat="1" ht="15" customHeight="1" outlineLevel="2" thickBot="1" x14ac:dyDescent="0.25">
      <c r="A63" s="320" t="s">
        <v>226</v>
      </c>
      <c r="B63" s="347"/>
      <c r="C63" s="350"/>
      <c r="D63" s="344"/>
      <c r="E63" s="278" t="s">
        <v>30</v>
      </c>
      <c r="F63" s="55"/>
      <c r="G63" s="56"/>
      <c r="H63" s="56"/>
      <c r="I63" s="56"/>
      <c r="J63" s="56"/>
      <c r="K63" s="56"/>
      <c r="L63" s="56"/>
      <c r="M63" s="56"/>
      <c r="N63" s="56"/>
      <c r="O63" s="56"/>
      <c r="P63" s="56"/>
      <c r="Q63" s="57"/>
      <c r="R63" s="55"/>
      <c r="S63" s="56"/>
      <c r="T63" s="56"/>
      <c r="U63" s="56"/>
      <c r="V63" s="56"/>
      <c r="W63" s="56"/>
      <c r="X63" s="56"/>
      <c r="Y63" s="56"/>
      <c r="Z63" s="56"/>
      <c r="AA63" s="56"/>
      <c r="AB63" s="56"/>
      <c r="AC63" s="57"/>
      <c r="AD63" s="55"/>
      <c r="AE63" s="56"/>
      <c r="AF63" s="56"/>
      <c r="AG63" s="56"/>
      <c r="AH63" s="56"/>
      <c r="AI63" s="56"/>
      <c r="AJ63" s="56"/>
      <c r="AK63" s="56"/>
      <c r="AL63" s="56"/>
      <c r="AM63" s="56"/>
      <c r="AN63" s="56"/>
      <c r="AO63" s="57"/>
      <c r="AP63" s="227" t="str">
        <f>IFERROR(IF(AVERAGE(F63:K63)&lt;&gt;0,AVERAGE(F63:K63),""),"")</f>
        <v/>
      </c>
      <c r="AQ63" s="228" t="str">
        <f>IFERROR(IF(AVERAGE(L63:Q63)&lt;&gt;0,AVERAGE(L63:Q63),""),"")</f>
        <v/>
      </c>
      <c r="AR63" s="227" t="str">
        <f>IFERROR(IF(AVERAGE(R63:W63)&lt;&gt;0,AVERAGE(R63:W63),""),"")</f>
        <v/>
      </c>
      <c r="AS63" s="228" t="str">
        <f>IFERROR(IF(AVERAGE(X63:AC63)&lt;&gt;0,AVERAGE(X63:AC63),""),"")</f>
        <v/>
      </c>
      <c r="AT63" s="227" t="str">
        <f>IFERROR(IF(AVERAGE(AD63:AI63)&lt;&gt;0,AVERAGE(AD63:AI63),""),"")</f>
        <v/>
      </c>
      <c r="AU63" s="228" t="str">
        <f>IFERROR(IF(AVERAGE(AJ63:AO63)&lt;&gt;0,AVERAGE(AJ63:AO63),""),"")</f>
        <v/>
      </c>
      <c r="AV63" s="71"/>
      <c r="AW63" s="56"/>
      <c r="AX63" s="71"/>
      <c r="AY63" s="56"/>
      <c r="AZ63" s="71"/>
      <c r="BA63" s="56"/>
      <c r="BB63" s="71"/>
      <c r="BC63" s="56"/>
      <c r="BD63" s="71"/>
      <c r="BE63" s="265"/>
      <c r="BF63" s="273" t="str">
        <f>IFERROR(IF(AVERAGE(AP63:AQ63)&lt;&gt;0,AVERAGE(AP63:AQ63),""),"")</f>
        <v/>
      </c>
      <c r="BG63" s="273" t="str">
        <f>IFERROR(IF(AVERAGE(AR63:AS63)&lt;&gt;0,AVERAGE(AR63:AS63),""),"")</f>
        <v/>
      </c>
      <c r="BH63" s="273" t="str">
        <f>IFERROR(IF(AVERAGE(AT63:AU63)&lt;&gt;0,AVERAGE(AT63:AU63),""),"")</f>
        <v/>
      </c>
      <c r="BI63" s="273" t="str">
        <f>IFERROR(IF(AVERAGE(AV63:AW63)&lt;&gt;0,AVERAGE(AV63:AW63),""),"")</f>
        <v/>
      </c>
      <c r="BJ63" s="273" t="str">
        <f>IFERROR(IF(AVERAGE(AX63:AY63)&lt;&gt;0,AVERAGE(AX63:AY63),""),"")</f>
        <v/>
      </c>
      <c r="BK63" s="273" t="str">
        <f>IFERROR(IF(AVERAGE(AZ63:BA63)&lt;&gt;0,AVERAGE(AZ63:BA63),""),"")</f>
        <v/>
      </c>
      <c r="BL63" s="273" t="str">
        <f>IFERROR(IF(AVERAGE(BB63:BC63)&lt;&gt;0,AVERAGE(BB63:BC63),""),"")</f>
        <v/>
      </c>
      <c r="BM63" s="273" t="str">
        <f>IFERROR(IF(AVERAGE(BD63:BE63)&lt;&gt;0,AVERAGE(BD63:BE63),""),"")</f>
        <v/>
      </c>
    </row>
    <row r="64" spans="1:65" s="102" customFormat="1" ht="14.25" customHeight="1" outlineLevel="2" x14ac:dyDescent="0.2">
      <c r="A64" s="320" t="s">
        <v>226</v>
      </c>
      <c r="B64" s="347"/>
      <c r="C64" s="350"/>
      <c r="D64" s="344"/>
      <c r="E64" s="279" t="s">
        <v>25</v>
      </c>
      <c r="F64" s="58"/>
      <c r="G64" s="50"/>
      <c r="H64" s="50"/>
      <c r="I64" s="50"/>
      <c r="J64" s="50"/>
      <c r="K64" s="50"/>
      <c r="L64" s="50"/>
      <c r="M64" s="50"/>
      <c r="N64" s="50"/>
      <c r="O64" s="50"/>
      <c r="P64" s="50"/>
      <c r="Q64" s="59"/>
      <c r="R64" s="58"/>
      <c r="S64" s="50"/>
      <c r="T64" s="50"/>
      <c r="U64" s="50"/>
      <c r="V64" s="50"/>
      <c r="W64" s="50"/>
      <c r="X64" s="50"/>
      <c r="Y64" s="50"/>
      <c r="Z64" s="50"/>
      <c r="AA64" s="50"/>
      <c r="AB64" s="50"/>
      <c r="AC64" s="59"/>
      <c r="AD64" s="58"/>
      <c r="AE64" s="50"/>
      <c r="AF64" s="50"/>
      <c r="AG64" s="50"/>
      <c r="AH64" s="50"/>
      <c r="AI64" s="50"/>
      <c r="AJ64" s="50"/>
      <c r="AK64" s="50"/>
      <c r="AL64" s="50"/>
      <c r="AM64" s="50"/>
      <c r="AN64" s="50"/>
      <c r="AO64" s="59"/>
      <c r="AP64" s="229" t="str">
        <f>IFERROR(IF(SUM(F64:K64)&lt;&gt;0,SUM(F64:K64),""),"")</f>
        <v/>
      </c>
      <c r="AQ64" s="230" t="str">
        <f>IFERROR(IF(SUM(L64:Q64)&lt;&gt;0,SUM(L64:Q64),""),"")</f>
        <v/>
      </c>
      <c r="AR64" s="229" t="str">
        <f>IFERROR(IF(SUM(R64:W64)&lt;&gt;0,SUM(R64:W64),""),"")</f>
        <v/>
      </c>
      <c r="AS64" s="230" t="str">
        <f>IFERROR(IF(SUM(X64:AC64)&lt;&gt;0,SUM(X64:AC64),""),"")</f>
        <v/>
      </c>
      <c r="AT64" s="229" t="str">
        <f>IFERROR(IF(SUM(AD64:AI64)&lt;&gt;0,SUM(AD64:AI64),""),"")</f>
        <v/>
      </c>
      <c r="AU64" s="230" t="str">
        <f>IFERROR(IF(SUM(AJ64:AO64)&lt;&gt;0,SUM(AJ64:AO64),""),"")</f>
        <v/>
      </c>
      <c r="AV64" s="72"/>
      <c r="AW64" s="73"/>
      <c r="AX64" s="72"/>
      <c r="AY64" s="73"/>
      <c r="AZ64" s="72"/>
      <c r="BA64" s="73"/>
      <c r="BB64" s="72"/>
      <c r="BC64" s="73"/>
      <c r="BD64" s="72"/>
      <c r="BE64" s="266"/>
      <c r="BF64" s="286" t="e">
        <f t="shared" ref="BF64:BF67" si="281">IF(SUM(AP64,AQ64)&lt;&gt;0,SUM(AP64,AQ64),#N/A)</f>
        <v>#N/A</v>
      </c>
      <c r="BG64" s="286" t="e">
        <f t="shared" ref="BG64:BG67" si="282">IF(SUM(AR64,AS64)&lt;&gt;0,SUM(AR64,AS64),#N/A)</f>
        <v>#N/A</v>
      </c>
      <c r="BH64" s="286" t="e">
        <f t="shared" ref="BH64:BH67" si="283">IF(SUM(AT64,AU64)&lt;&gt;0,SUM(AT64,AU64),#N/A)</f>
        <v>#N/A</v>
      </c>
      <c r="BI64" s="286" t="e">
        <f t="shared" ref="BI64:BI67" si="284">IF(SUM(AV64,AW64)&lt;&gt;0,SUM(AV64,AW64),#N/A)</f>
        <v>#N/A</v>
      </c>
      <c r="BJ64" s="286" t="e">
        <f t="shared" ref="BJ64:BJ67" si="285">IF(SUM(AX64,AY64)&lt;&gt;0,SUM(AX64,AY64),#N/A)</f>
        <v>#N/A</v>
      </c>
      <c r="BK64" s="286" t="e">
        <f t="shared" ref="BK64:BK67" si="286">IF(SUM(AZ64,BA64)&lt;&gt;0,SUM(AZ64,BA64),#N/A)</f>
        <v>#N/A</v>
      </c>
      <c r="BL64" s="286" t="e">
        <f t="shared" ref="BL64:BL67" si="287">IF(SUM(BB64,BC64)&lt;&gt;0,SUM(BB64,BC64),#N/A)</f>
        <v>#N/A</v>
      </c>
      <c r="BM64" s="286" t="e">
        <f t="shared" ref="BM64:BM67" si="288">IF(SUM(BD64,BE64)&lt;&gt;0,SUM(BD64,BE64),#N/A)</f>
        <v>#N/A</v>
      </c>
    </row>
    <row r="65" spans="1:65" s="102" customFormat="1" ht="14.25" customHeight="1" outlineLevel="2" x14ac:dyDescent="0.2">
      <c r="A65" s="320" t="s">
        <v>226</v>
      </c>
      <c r="B65" s="347"/>
      <c r="C65" s="350"/>
      <c r="D65" s="344"/>
      <c r="E65" s="280" t="s">
        <v>26</v>
      </c>
      <c r="F65" s="60"/>
      <c r="G65" s="61"/>
      <c r="H65" s="61"/>
      <c r="I65" s="61"/>
      <c r="J65" s="61"/>
      <c r="K65" s="61"/>
      <c r="L65" s="61"/>
      <c r="M65" s="61"/>
      <c r="N65" s="61"/>
      <c r="O65" s="61"/>
      <c r="P65" s="61"/>
      <c r="Q65" s="62"/>
      <c r="R65" s="60"/>
      <c r="S65" s="61"/>
      <c r="T65" s="61"/>
      <c r="U65" s="61"/>
      <c r="V65" s="61"/>
      <c r="W65" s="61"/>
      <c r="X65" s="61"/>
      <c r="Y65" s="61"/>
      <c r="Z65" s="61"/>
      <c r="AA65" s="61"/>
      <c r="AB65" s="61"/>
      <c r="AC65" s="62"/>
      <c r="AD65" s="60"/>
      <c r="AE65" s="61"/>
      <c r="AF65" s="61"/>
      <c r="AG65" s="61"/>
      <c r="AH65" s="61"/>
      <c r="AI65" s="61"/>
      <c r="AJ65" s="61"/>
      <c r="AK65" s="61"/>
      <c r="AL65" s="61"/>
      <c r="AM65" s="61"/>
      <c r="AN65" s="61"/>
      <c r="AO65" s="62"/>
      <c r="AP65" s="231" t="str">
        <f>IFERROR(IF(SUM(F65:K65)&lt;&gt;0,SUM(F65:K65),""),"")</f>
        <v/>
      </c>
      <c r="AQ65" s="232" t="str">
        <f>IFERROR(IF(SUM(L65:Q65)&lt;&gt;0,SUM(L65:Q65),""),"")</f>
        <v/>
      </c>
      <c r="AR65" s="231" t="str">
        <f>IFERROR(IF(SUM(R65:W65)&lt;&gt;0,SUM(R65:W65),""),"")</f>
        <v/>
      </c>
      <c r="AS65" s="232" t="str">
        <f>IFERROR(IF(SUM(X65:AC65)&lt;&gt;0,SUM(X65:AC65),""),"")</f>
        <v/>
      </c>
      <c r="AT65" s="231" t="str">
        <f>IFERROR(IF(SUM(AD65:AI65)&lt;&gt;0,SUM(AD65:AI65),""),"")</f>
        <v/>
      </c>
      <c r="AU65" s="232" t="str">
        <f>IFERROR(IF(SUM(AJ65:AO65)&lt;&gt;0,SUM(AJ65:AO65),""),"")</f>
        <v/>
      </c>
      <c r="AV65" s="74"/>
      <c r="AW65" s="61"/>
      <c r="AX65" s="74"/>
      <c r="AY65" s="61"/>
      <c r="AZ65" s="74"/>
      <c r="BA65" s="61"/>
      <c r="BB65" s="74"/>
      <c r="BC65" s="61"/>
      <c r="BD65" s="74"/>
      <c r="BE65" s="267"/>
      <c r="BF65" s="287" t="e">
        <f t="shared" si="281"/>
        <v>#N/A</v>
      </c>
      <c r="BG65" s="287" t="e">
        <f t="shared" si="282"/>
        <v>#N/A</v>
      </c>
      <c r="BH65" s="287" t="e">
        <f t="shared" si="283"/>
        <v>#N/A</v>
      </c>
      <c r="BI65" s="287" t="e">
        <f t="shared" si="284"/>
        <v>#N/A</v>
      </c>
      <c r="BJ65" s="287" t="e">
        <f t="shared" si="285"/>
        <v>#N/A</v>
      </c>
      <c r="BK65" s="287" t="e">
        <f t="shared" si="286"/>
        <v>#N/A</v>
      </c>
      <c r="BL65" s="287" t="e">
        <f t="shared" si="287"/>
        <v>#N/A</v>
      </c>
      <c r="BM65" s="287" t="e">
        <f t="shared" si="288"/>
        <v>#N/A</v>
      </c>
    </row>
    <row r="66" spans="1:65" s="102" customFormat="1" ht="14.25" customHeight="1" outlineLevel="2" x14ac:dyDescent="0.2">
      <c r="A66" s="320" t="s">
        <v>226</v>
      </c>
      <c r="B66" s="347"/>
      <c r="C66" s="350"/>
      <c r="D66" s="344"/>
      <c r="E66" s="280" t="s">
        <v>27</v>
      </c>
      <c r="F66" s="60"/>
      <c r="G66" s="61"/>
      <c r="H66" s="61"/>
      <c r="I66" s="61"/>
      <c r="J66" s="61"/>
      <c r="K66" s="61"/>
      <c r="L66" s="61"/>
      <c r="M66" s="61"/>
      <c r="N66" s="61"/>
      <c r="O66" s="61"/>
      <c r="P66" s="61"/>
      <c r="Q66" s="62"/>
      <c r="R66" s="60"/>
      <c r="S66" s="61"/>
      <c r="T66" s="61"/>
      <c r="U66" s="61"/>
      <c r="V66" s="61"/>
      <c r="W66" s="61"/>
      <c r="X66" s="61"/>
      <c r="Y66" s="61"/>
      <c r="Z66" s="61"/>
      <c r="AA66" s="61"/>
      <c r="AB66" s="61"/>
      <c r="AC66" s="62"/>
      <c r="AD66" s="60"/>
      <c r="AE66" s="61"/>
      <c r="AF66" s="61"/>
      <c r="AG66" s="61"/>
      <c r="AH66" s="61"/>
      <c r="AI66" s="61"/>
      <c r="AJ66" s="61"/>
      <c r="AK66" s="61"/>
      <c r="AL66" s="61"/>
      <c r="AM66" s="61"/>
      <c r="AN66" s="61"/>
      <c r="AO66" s="62"/>
      <c r="AP66" s="231" t="str">
        <f>IFERROR(IF(SUM(F66:K66)&lt;&gt;0,SUM(F66:K66),""),"")</f>
        <v/>
      </c>
      <c r="AQ66" s="232" t="str">
        <f>IFERROR(IF(SUM(L66:Q66)&lt;&gt;0,SUM(L66:Q66),""),"")</f>
        <v/>
      </c>
      <c r="AR66" s="231" t="str">
        <f>IFERROR(IF(SUM(R66:W66)&lt;&gt;0,SUM(R66:W66),""),"")</f>
        <v/>
      </c>
      <c r="AS66" s="232" t="str">
        <f>IFERROR(IF(SUM(X66:AC66)&lt;&gt;0,SUM(X66:AC66),""),"")</f>
        <v/>
      </c>
      <c r="AT66" s="231" t="str">
        <f>IFERROR(IF(SUM(AD66:AI66)&lt;&gt;0,SUM(AD66:AI66),""),"")</f>
        <v/>
      </c>
      <c r="AU66" s="232" t="str">
        <f>IFERROR(IF(SUM(AJ66:AO66)&lt;&gt;0,SUM(AJ66:AO66),""),"")</f>
        <v/>
      </c>
      <c r="AV66" s="74"/>
      <c r="AW66" s="61"/>
      <c r="AX66" s="74"/>
      <c r="AY66" s="61"/>
      <c r="AZ66" s="74"/>
      <c r="BA66" s="61"/>
      <c r="BB66" s="74"/>
      <c r="BC66" s="61"/>
      <c r="BD66" s="74"/>
      <c r="BE66" s="267"/>
      <c r="BF66" s="287" t="e">
        <f t="shared" si="281"/>
        <v>#N/A</v>
      </c>
      <c r="BG66" s="287" t="e">
        <f t="shared" si="282"/>
        <v>#N/A</v>
      </c>
      <c r="BH66" s="287" t="e">
        <f t="shared" si="283"/>
        <v>#N/A</v>
      </c>
      <c r="BI66" s="287" t="e">
        <f t="shared" si="284"/>
        <v>#N/A</v>
      </c>
      <c r="BJ66" s="287" t="e">
        <f t="shared" si="285"/>
        <v>#N/A</v>
      </c>
      <c r="BK66" s="287" t="e">
        <f t="shared" si="286"/>
        <v>#N/A</v>
      </c>
      <c r="BL66" s="287" t="e">
        <f t="shared" si="287"/>
        <v>#N/A</v>
      </c>
      <c r="BM66" s="287" t="e">
        <f t="shared" si="288"/>
        <v>#N/A</v>
      </c>
    </row>
    <row r="67" spans="1:65" s="102" customFormat="1" ht="15" customHeight="1" outlineLevel="2" thickBot="1" x14ac:dyDescent="0.25">
      <c r="A67" s="320" t="s">
        <v>226</v>
      </c>
      <c r="B67" s="347"/>
      <c r="C67" s="350"/>
      <c r="D67" s="344"/>
      <c r="E67" s="281" t="s">
        <v>88</v>
      </c>
      <c r="F67" s="63"/>
      <c r="G67" s="48"/>
      <c r="H67" s="48"/>
      <c r="I67" s="48"/>
      <c r="J67" s="48"/>
      <c r="K67" s="48"/>
      <c r="L67" s="48"/>
      <c r="M67" s="48"/>
      <c r="N67" s="48"/>
      <c r="O67" s="48"/>
      <c r="P67" s="48"/>
      <c r="Q67" s="51"/>
      <c r="R67" s="63"/>
      <c r="S67" s="48"/>
      <c r="T67" s="48"/>
      <c r="U67" s="48"/>
      <c r="V67" s="48"/>
      <c r="W67" s="48"/>
      <c r="X67" s="48"/>
      <c r="Y67" s="48"/>
      <c r="Z67" s="48"/>
      <c r="AA67" s="48"/>
      <c r="AB67" s="48"/>
      <c r="AC67" s="51"/>
      <c r="AD67" s="63"/>
      <c r="AE67" s="48"/>
      <c r="AF67" s="48"/>
      <c r="AG67" s="48"/>
      <c r="AH67" s="48"/>
      <c r="AI67" s="48"/>
      <c r="AJ67" s="48"/>
      <c r="AK67" s="48"/>
      <c r="AL67" s="48"/>
      <c r="AM67" s="48"/>
      <c r="AN67" s="48"/>
      <c r="AO67" s="51"/>
      <c r="AP67" s="233" t="str">
        <f>IFERROR(IF(SUM(F67:K67)&lt;&gt;0,SUM(F67:K67),""),"")</f>
        <v/>
      </c>
      <c r="AQ67" s="234" t="str">
        <f>IFERROR(IF(SUM(L67:Q67)&lt;&gt;0,SUM(L67:Q67),""),"")</f>
        <v/>
      </c>
      <c r="AR67" s="233" t="str">
        <f>IFERROR(IF(SUM(R67:W67)&lt;&gt;0,SUM(R67:W67),""),"")</f>
        <v/>
      </c>
      <c r="AS67" s="234" t="str">
        <f>IFERROR(IF(SUM(X67:AC67)&lt;&gt;0,SUM(X67:AC67),""),"")</f>
        <v/>
      </c>
      <c r="AT67" s="233" t="str">
        <f>IFERROR(IF(SUM(AD67:AI67)&lt;&gt;0,SUM(AD67:AI67),""),"")</f>
        <v/>
      </c>
      <c r="AU67" s="234" t="str">
        <f>IFERROR(IF(SUM(AJ67:AO67)&lt;&gt;0,SUM(AJ67:AO67),""),"")</f>
        <v/>
      </c>
      <c r="AV67" s="75"/>
      <c r="AW67" s="76"/>
      <c r="AX67" s="75"/>
      <c r="AY67" s="76"/>
      <c r="AZ67" s="75"/>
      <c r="BA67" s="76"/>
      <c r="BB67" s="75"/>
      <c r="BC67" s="76"/>
      <c r="BD67" s="75"/>
      <c r="BE67" s="268"/>
      <c r="BF67" s="271" t="e">
        <f t="shared" si="281"/>
        <v>#N/A</v>
      </c>
      <c r="BG67" s="271" t="e">
        <f t="shared" si="282"/>
        <v>#N/A</v>
      </c>
      <c r="BH67" s="271" t="e">
        <f t="shared" si="283"/>
        <v>#N/A</v>
      </c>
      <c r="BI67" s="271" t="e">
        <f t="shared" si="284"/>
        <v>#N/A</v>
      </c>
      <c r="BJ67" s="271" t="e">
        <f t="shared" si="285"/>
        <v>#N/A</v>
      </c>
      <c r="BK67" s="271" t="e">
        <f t="shared" si="286"/>
        <v>#N/A</v>
      </c>
      <c r="BL67" s="271" t="e">
        <f t="shared" si="287"/>
        <v>#N/A</v>
      </c>
      <c r="BM67" s="271" t="e">
        <f t="shared" si="288"/>
        <v>#N/A</v>
      </c>
    </row>
    <row r="68" spans="1:65" s="102" customFormat="1" ht="14.25" customHeight="1" outlineLevel="2" x14ac:dyDescent="0.2">
      <c r="A68" s="320" t="s">
        <v>226</v>
      </c>
      <c r="B68" s="347"/>
      <c r="C68" s="350"/>
      <c r="D68" s="344"/>
      <c r="E68" s="279" t="s">
        <v>32</v>
      </c>
      <c r="F68" s="64"/>
      <c r="G68" s="65"/>
      <c r="H68" s="65"/>
      <c r="I68" s="65"/>
      <c r="J68" s="65"/>
      <c r="K68" s="65"/>
      <c r="L68" s="65"/>
      <c r="M68" s="65"/>
      <c r="N68" s="65"/>
      <c r="O68" s="65"/>
      <c r="P68" s="65"/>
      <c r="Q68" s="66"/>
      <c r="R68" s="64"/>
      <c r="S68" s="65"/>
      <c r="T68" s="65"/>
      <c r="U68" s="65"/>
      <c r="V68" s="65"/>
      <c r="W68" s="65"/>
      <c r="X68" s="65"/>
      <c r="Y68" s="65"/>
      <c r="Z68" s="65"/>
      <c r="AA68" s="65"/>
      <c r="AB68" s="65"/>
      <c r="AC68" s="66"/>
      <c r="AD68" s="64"/>
      <c r="AE68" s="65"/>
      <c r="AF68" s="65"/>
      <c r="AG68" s="65"/>
      <c r="AH68" s="65"/>
      <c r="AI68" s="65"/>
      <c r="AJ68" s="65"/>
      <c r="AK68" s="65"/>
      <c r="AL68" s="65"/>
      <c r="AM68" s="65"/>
      <c r="AN68" s="65"/>
      <c r="AO68" s="66"/>
      <c r="AP68" s="32" t="str">
        <f>IFERROR(IF(AVERAGE(F68:K68)&lt;&gt;0,AVERAGE(F68:K68),""),"")</f>
        <v/>
      </c>
      <c r="AQ68" s="235" t="str">
        <f>IFERROR(IF(AVERAGE(L68:Q68)&lt;&gt;0,AVERAGE(L68:Q68),""),"")</f>
        <v/>
      </c>
      <c r="AR68" s="32" t="str">
        <f>IFERROR(IF(AVERAGE(R68:W68)&lt;&gt;0,AVERAGE(R68:W68),""),"")</f>
        <v/>
      </c>
      <c r="AS68" s="235" t="str">
        <f>IFERROR(IF(AVERAGE(X68:AC68)&lt;&gt;0,AVERAGE(X68:AC68),""),"")</f>
        <v/>
      </c>
      <c r="AT68" s="32" t="str">
        <f>IFERROR(IF(AVERAGE(AD68:AI68)&lt;&gt;0,AVERAGE(AD68:AI68),""),"")</f>
        <v/>
      </c>
      <c r="AU68" s="235" t="str">
        <f>IFERROR(IF(AVERAGE(AJ68:AO68)&lt;&gt;0,AVERAGE(AJ68:AO68),""),"")</f>
        <v/>
      </c>
      <c r="AV68" s="77"/>
      <c r="AW68" s="65"/>
      <c r="AX68" s="77"/>
      <c r="AY68" s="65"/>
      <c r="AZ68" s="77"/>
      <c r="BA68" s="65"/>
      <c r="BB68" s="77"/>
      <c r="BC68" s="65"/>
      <c r="BD68" s="77"/>
      <c r="BE68" s="269"/>
      <c r="BF68" s="272" t="str">
        <f>IFERROR(IF(AVERAGE(AP68:AQ68)&lt;&gt;0,AVERAGE(AP68:AQ68),""),"")</f>
        <v/>
      </c>
      <c r="BG68" s="272" t="str">
        <f>IFERROR(IF(AVERAGE(AR68:AS68)&lt;&gt;0,AVERAGE(AR68:AS68),""),"")</f>
        <v/>
      </c>
      <c r="BH68" s="272" t="str">
        <f>IFERROR(IF(AVERAGE(AT68:AU68)&lt;&gt;0,AVERAGE(AT68:AU68),""),"")</f>
        <v/>
      </c>
      <c r="BI68" s="272" t="str">
        <f>IFERROR(IF(AVERAGE(AV68:AW68)&lt;&gt;0,AVERAGE(AV68:AW68),""),"")</f>
        <v/>
      </c>
      <c r="BJ68" s="272" t="str">
        <f>IFERROR(IF(AVERAGE(AX68:AY68)&lt;&gt;0,AVERAGE(AX68:AY68),""),"")</f>
        <v/>
      </c>
      <c r="BK68" s="272" t="str">
        <f>IFERROR(IF(AVERAGE(AZ68:BA68)&lt;&gt;0,AVERAGE(AZ68:BA68),""),"")</f>
        <v/>
      </c>
      <c r="BL68" s="272" t="str">
        <f>IFERROR(IF(AVERAGE(BB68:BC68)&lt;&gt;0,AVERAGE(BB68:BC68),""),"")</f>
        <v/>
      </c>
      <c r="BM68" s="272" t="str">
        <f>IFERROR(IF(AVERAGE(BD68:BE68)&lt;&gt;0,AVERAGE(BD68:BE68),""),"")</f>
        <v/>
      </c>
    </row>
    <row r="69" spans="1:65" s="102" customFormat="1" ht="15" customHeight="1" outlineLevel="2" thickBot="1" x14ac:dyDescent="0.25">
      <c r="A69" s="320" t="s">
        <v>226</v>
      </c>
      <c r="B69" s="347"/>
      <c r="C69" s="350"/>
      <c r="D69" s="344"/>
      <c r="E69" s="281" t="s">
        <v>2</v>
      </c>
      <c r="F69" s="67"/>
      <c r="G69" s="68"/>
      <c r="H69" s="68"/>
      <c r="I69" s="68"/>
      <c r="J69" s="68"/>
      <c r="K69" s="68"/>
      <c r="L69" s="68"/>
      <c r="M69" s="68"/>
      <c r="N69" s="68"/>
      <c r="O69" s="68"/>
      <c r="P69" s="68"/>
      <c r="Q69" s="69"/>
      <c r="R69" s="67"/>
      <c r="S69" s="68"/>
      <c r="T69" s="68"/>
      <c r="U69" s="68"/>
      <c r="V69" s="68"/>
      <c r="W69" s="68"/>
      <c r="X69" s="68"/>
      <c r="Y69" s="68"/>
      <c r="Z69" s="68"/>
      <c r="AA69" s="68"/>
      <c r="AB69" s="68"/>
      <c r="AC69" s="69"/>
      <c r="AD69" s="67"/>
      <c r="AE69" s="68"/>
      <c r="AF69" s="68"/>
      <c r="AG69" s="68"/>
      <c r="AH69" s="68"/>
      <c r="AI69" s="68"/>
      <c r="AJ69" s="68"/>
      <c r="AK69" s="68"/>
      <c r="AL69" s="68"/>
      <c r="AM69" s="68"/>
      <c r="AN69" s="68"/>
      <c r="AO69" s="69"/>
      <c r="AP69" s="236" t="str">
        <f>IFERROR(IF(AVERAGE(F69:K69)&lt;&gt;0,AVERAGE(F69:K69),""),"")</f>
        <v/>
      </c>
      <c r="AQ69" s="237" t="str">
        <f>IFERROR(IF(AVERAGE(L69:Q69)&lt;&gt;0,AVERAGE(L69:Q69),""),"")</f>
        <v/>
      </c>
      <c r="AR69" s="236" t="str">
        <f>IFERROR(IF(AVERAGE(R69:W69)&lt;&gt;0,AVERAGE(R69:W69),""),"")</f>
        <v/>
      </c>
      <c r="AS69" s="237" t="str">
        <f>IFERROR(IF(AVERAGE(X69:AC69)&lt;&gt;0,AVERAGE(X69:AC69),""),"")</f>
        <v/>
      </c>
      <c r="AT69" s="236" t="str">
        <f>IFERROR(IF(AVERAGE(AD69:AI69)&lt;&gt;0,AVERAGE(AD69:AI69),""),"")</f>
        <v/>
      </c>
      <c r="AU69" s="237" t="str">
        <f>IFERROR(IF(AVERAGE(AJ69:AO69)&lt;&gt;0,AVERAGE(AJ69:AO69),""),"")</f>
        <v/>
      </c>
      <c r="AV69" s="78"/>
      <c r="AW69" s="68"/>
      <c r="AX69" s="78"/>
      <c r="AY69" s="68"/>
      <c r="AZ69" s="78"/>
      <c r="BA69" s="68"/>
      <c r="BB69" s="78"/>
      <c r="BC69" s="68"/>
      <c r="BD69" s="78"/>
      <c r="BE69" s="270"/>
      <c r="BF69" s="288" t="str">
        <f>IFERROR(IF(AVERAGE(AP69:AQ69)&lt;&gt;0,AVERAGE(AP69:AQ69),""),"")</f>
        <v/>
      </c>
      <c r="BG69" s="288" t="str">
        <f>IFERROR(IF(AVERAGE(AR69:AS69)&lt;&gt;0,AVERAGE(AR69:AS69),""),"")</f>
        <v/>
      </c>
      <c r="BH69" s="288" t="str">
        <f>IFERROR(IF(AVERAGE(AT69:AU69)&lt;&gt;0,AVERAGE(AT69:AU69),""),"")</f>
        <v/>
      </c>
      <c r="BI69" s="288" t="str">
        <f>IFERROR(IF(AVERAGE(AV69:AW69)&lt;&gt;0,AVERAGE(AV69:AW69),""),"")</f>
        <v/>
      </c>
      <c r="BJ69" s="288" t="str">
        <f>IFERROR(IF(AVERAGE(AX69:AY69)&lt;&gt;0,AVERAGE(AX69:AY69),""),"")</f>
        <v/>
      </c>
      <c r="BK69" s="288" t="str">
        <f>IFERROR(IF(AVERAGE(AZ69:BA69)&lt;&gt;0,AVERAGE(AZ69:BA69),""),"")</f>
        <v/>
      </c>
      <c r="BL69" s="288" t="str">
        <f>IFERROR(IF(AVERAGE(BB69:BC69)&lt;&gt;0,AVERAGE(BB69:BC69),""),"")</f>
        <v/>
      </c>
      <c r="BM69" s="288" t="str">
        <f>IFERROR(IF(AVERAGE(BD69:BE69)&lt;&gt;0,AVERAGE(BD69:BE69),""),"")</f>
        <v/>
      </c>
    </row>
    <row r="70" spans="1:65" s="102" customFormat="1" ht="14.25" customHeight="1" outlineLevel="1" x14ac:dyDescent="0.2">
      <c r="A70" s="320" t="s">
        <v>226</v>
      </c>
      <c r="B70" s="347"/>
      <c r="C70" s="350"/>
      <c r="D70" s="344"/>
      <c r="E70" s="282" t="s">
        <v>228</v>
      </c>
      <c r="F70" s="283" t="str">
        <f ca="1">IF(IFERROR((F$11*(F62-SUM(F64:F67)/F$11)*F69*3600)/(F68),"")&gt;0,IFERROR((F$11*(F62-SUM(F64:F67)/F$11)*F69*3600)/(F68),""),"")</f>
        <v/>
      </c>
      <c r="G70" s="284" t="str">
        <f t="shared" ref="G70" ca="1" si="289">IF(IFERROR((G$11*(G62-SUM(G64:G67)/G$11)*G69*3600)/(G68),"")&gt;0,IFERROR((G$11*(G62-SUM(G64:G67)/G$11)*G69*3600)/(G68),""),"")</f>
        <v/>
      </c>
      <c r="H70" s="284" t="str">
        <f t="shared" ref="H70" ca="1" si="290">IF(IFERROR((H$11*(H62-SUM(H64:H67)/H$11)*H69*3600)/(H68),"")&gt;0,IFERROR((H$11*(H62-SUM(H64:H67)/H$11)*H69*3600)/(H68),""),"")</f>
        <v/>
      </c>
      <c r="I70" s="284" t="str">
        <f t="shared" ref="I70" ca="1" si="291">IF(IFERROR((I$11*(I62-SUM(I64:I67)/I$11)*I69*3600)/(I68),"")&gt;0,IFERROR((I$11*(I62-SUM(I64:I67)/I$11)*I69*3600)/(I68),""),"")</f>
        <v/>
      </c>
      <c r="J70" s="284" t="str">
        <f t="shared" ref="J70" ca="1" si="292">IF(IFERROR((J$11*(J62-SUM(J64:J67)/J$11)*J69*3600)/(J68),"")&gt;0,IFERROR((J$11*(J62-SUM(J64:J67)/J$11)*J69*3600)/(J68),""),"")</f>
        <v/>
      </c>
      <c r="K70" s="284" t="str">
        <f t="shared" ref="K70" ca="1" si="293">IF(IFERROR((K$11*(K62-SUM(K64:K67)/K$11)*K69*3600)/(K68),"")&gt;0,IFERROR((K$11*(K62-SUM(K64:K67)/K$11)*K69*3600)/(K68),""),"")</f>
        <v/>
      </c>
      <c r="L70" s="284" t="str">
        <f t="shared" ref="L70" ca="1" si="294">IF(IFERROR((L$11*(L62-SUM(L64:L67)/L$11)*L69*3600)/(L68),"")&gt;0,IFERROR((L$11*(L62-SUM(L64:L67)/L$11)*L69*3600)/(L68),""),"")</f>
        <v/>
      </c>
      <c r="M70" s="284" t="str">
        <f t="shared" ref="M70" ca="1" si="295">IF(IFERROR((M$11*(M62-SUM(M64:M67)/M$11)*M69*3600)/(M68),"")&gt;0,IFERROR((M$11*(M62-SUM(M64:M67)/M$11)*M69*3600)/(M68),""),"")</f>
        <v/>
      </c>
      <c r="N70" s="284" t="str">
        <f t="shared" ref="N70" ca="1" si="296">IF(IFERROR((N$11*(N62-SUM(N64:N67)/N$11)*N69*3600)/(N68),"")&gt;0,IFERROR((N$11*(N62-SUM(N64:N67)/N$11)*N69*3600)/(N68),""),"")</f>
        <v/>
      </c>
      <c r="O70" s="284" t="str">
        <f t="shared" ref="O70" ca="1" si="297">IF(IFERROR((O$11*(O62-SUM(O64:O67)/O$11)*O69*3600)/(O68),"")&gt;0,IFERROR((O$11*(O62-SUM(O64:O67)/O$11)*O69*3600)/(O68),""),"")</f>
        <v/>
      </c>
      <c r="P70" s="284" t="str">
        <f t="shared" ref="P70" ca="1" si="298">IF(IFERROR((P$11*(P62-SUM(P64:P67)/P$11)*P69*3600)/(P68),"")&gt;0,IFERROR((P$11*(P62-SUM(P64:P67)/P$11)*P69*3600)/(P68),""),"")</f>
        <v/>
      </c>
      <c r="Q70" s="284" t="str">
        <f t="shared" ref="Q70" ca="1" si="299">IF(IFERROR((Q$11*(Q62-SUM(Q64:Q67)/Q$11)*Q69*3600)/(Q68),"")&gt;0,IFERROR((Q$11*(Q62-SUM(Q64:Q67)/Q$11)*Q69*3600)/(Q68),""),"")</f>
        <v/>
      </c>
      <c r="R70" s="283" t="str">
        <f t="shared" ref="R70" ca="1" si="300">IF(IFERROR((R$11*(R62-SUM(R64:R67)/R$11)*R69*3600)/(R68),"")&gt;0,IFERROR((R$11*(R62-SUM(R64:R67)/R$11)*R69*3600)/(R68),""),"")</f>
        <v/>
      </c>
      <c r="S70" s="284" t="str">
        <f t="shared" ref="S70" ca="1" si="301">IF(IFERROR((S$11*(S62-SUM(S64:S67)/S$11)*S69*3600)/(S68),"")&gt;0,IFERROR((S$11*(S62-SUM(S64:S67)/S$11)*S69*3600)/(S68),""),"")</f>
        <v/>
      </c>
      <c r="T70" s="284" t="str">
        <f t="shared" ref="T70" ca="1" si="302">IF(IFERROR((T$11*(T62-SUM(T64:T67)/T$11)*T69*3600)/(T68),"")&gt;0,IFERROR((T$11*(T62-SUM(T64:T67)/T$11)*T69*3600)/(T68),""),"")</f>
        <v/>
      </c>
      <c r="U70" s="284" t="str">
        <f t="shared" ref="U70" ca="1" si="303">IF(IFERROR((U$11*(U62-SUM(U64:U67)/U$11)*U69*3600)/(U68),"")&gt;0,IFERROR((U$11*(U62-SUM(U64:U67)/U$11)*U69*3600)/(U68),""),"")</f>
        <v/>
      </c>
      <c r="V70" s="284" t="str">
        <f t="shared" ref="V70" ca="1" si="304">IF(IFERROR((V$11*(V62-SUM(V64:V67)/V$11)*V69*3600)/(V68),"")&gt;0,IFERROR((V$11*(V62-SUM(V64:V67)/V$11)*V69*3600)/(V68),""),"")</f>
        <v/>
      </c>
      <c r="W70" s="284" t="str">
        <f t="shared" ref="W70" ca="1" si="305">IF(IFERROR((W$11*(W62-SUM(W64:W67)/W$11)*W69*3600)/(W68),"")&gt;0,IFERROR((W$11*(W62-SUM(W64:W67)/W$11)*W69*3600)/(W68),""),"")</f>
        <v/>
      </c>
      <c r="X70" s="284" t="str">
        <f t="shared" ref="X70" ca="1" si="306">IF(IFERROR((X$11*(X62-SUM(X64:X67)/X$11)*X69*3600)/(X68),"")&gt;0,IFERROR((X$11*(X62-SUM(X64:X67)/X$11)*X69*3600)/(X68),""),"")</f>
        <v/>
      </c>
      <c r="Y70" s="284" t="str">
        <f t="shared" ref="Y70" ca="1" si="307">IF(IFERROR((Y$11*(Y62-SUM(Y64:Y67)/Y$11)*Y69*3600)/(Y68),"")&gt;0,IFERROR((Y$11*(Y62-SUM(Y64:Y67)/Y$11)*Y69*3600)/(Y68),""),"")</f>
        <v/>
      </c>
      <c r="Z70" s="284" t="str">
        <f t="shared" ref="Z70" ca="1" si="308">IF(IFERROR((Z$11*(Z62-SUM(Z64:Z67)/Z$11)*Z69*3600)/(Z68),"")&gt;0,IFERROR((Z$11*(Z62-SUM(Z64:Z67)/Z$11)*Z69*3600)/(Z68),""),"")</f>
        <v/>
      </c>
      <c r="AA70" s="284" t="str">
        <f t="shared" ref="AA70" ca="1" si="309">IF(IFERROR((AA$11*(AA62-SUM(AA64:AA67)/AA$11)*AA69*3600)/(AA68),"")&gt;0,IFERROR((AA$11*(AA62-SUM(AA64:AA67)/AA$11)*AA69*3600)/(AA68),""),"")</f>
        <v/>
      </c>
      <c r="AB70" s="284" t="str">
        <f t="shared" ref="AB70" ca="1" si="310">IF(IFERROR((AB$11*(AB62-SUM(AB64:AB67)/AB$11)*AB69*3600)/(AB68),"")&gt;0,IFERROR((AB$11*(AB62-SUM(AB64:AB67)/AB$11)*AB69*3600)/(AB68),""),"")</f>
        <v/>
      </c>
      <c r="AC70" s="284" t="str">
        <f t="shared" ref="AC70" ca="1" si="311">IF(IFERROR((AC$11*(AC62-SUM(AC64:AC67)/AC$11)*AC69*3600)/(AC68),"")&gt;0,IFERROR((AC$11*(AC62-SUM(AC64:AC67)/AC$11)*AC69*3600)/(AC68),""),"")</f>
        <v/>
      </c>
      <c r="AD70" s="283" t="str">
        <f t="shared" ref="AD70" ca="1" si="312">IF(IFERROR((AD$11*(AD62-SUM(AD64:AD67)/AD$11)*AD69*3600)/(AD68),"")&gt;0,IFERROR((AD$11*(AD62-SUM(AD64:AD67)/AD$11)*AD69*3600)/(AD68),""),"")</f>
        <v/>
      </c>
      <c r="AE70" s="284" t="str">
        <f t="shared" ref="AE70" ca="1" si="313">IF(IFERROR((AE$11*(AE62-SUM(AE64:AE67)/AE$11)*AE69*3600)/(AE68),"")&gt;0,IFERROR((AE$11*(AE62-SUM(AE64:AE67)/AE$11)*AE69*3600)/(AE68),""),"")</f>
        <v/>
      </c>
      <c r="AF70" s="284" t="str">
        <f t="shared" ref="AF70" ca="1" si="314">IF(IFERROR((AF$11*(AF62-SUM(AF64:AF67)/AF$11)*AF69*3600)/(AF68),"")&gt;0,IFERROR((AF$11*(AF62-SUM(AF64:AF67)/AF$11)*AF69*3600)/(AF68),""),"")</f>
        <v/>
      </c>
      <c r="AG70" s="284" t="str">
        <f t="shared" ref="AG70" ca="1" si="315">IF(IFERROR((AG$11*(AG62-SUM(AG64:AG67)/AG$11)*AG69*3600)/(AG68),"")&gt;0,IFERROR((AG$11*(AG62-SUM(AG64:AG67)/AG$11)*AG69*3600)/(AG68),""),"")</f>
        <v/>
      </c>
      <c r="AH70" s="284" t="str">
        <f t="shared" ref="AH70" ca="1" si="316">IF(IFERROR((AH$11*(AH62-SUM(AH64:AH67)/AH$11)*AH69*3600)/(AH68),"")&gt;0,IFERROR((AH$11*(AH62-SUM(AH64:AH67)/AH$11)*AH69*3600)/(AH68),""),"")</f>
        <v/>
      </c>
      <c r="AI70" s="284" t="str">
        <f t="shared" ref="AI70" ca="1" si="317">IF(IFERROR((AI$11*(AI62-SUM(AI64:AI67)/AI$11)*AI69*3600)/(AI68),"")&gt;0,IFERROR((AI$11*(AI62-SUM(AI64:AI67)/AI$11)*AI69*3600)/(AI68),""),"")</f>
        <v/>
      </c>
      <c r="AJ70" s="284" t="str">
        <f t="shared" ref="AJ70" ca="1" si="318">IF(IFERROR((AJ$11*(AJ62-SUM(AJ64:AJ67)/AJ$11)*AJ69*3600)/(AJ68),"")&gt;0,IFERROR((AJ$11*(AJ62-SUM(AJ64:AJ67)/AJ$11)*AJ69*3600)/(AJ68),""),"")</f>
        <v/>
      </c>
      <c r="AK70" s="284" t="str">
        <f t="shared" ref="AK70" ca="1" si="319">IF(IFERROR((AK$11*(AK62-SUM(AK64:AK67)/AK$11)*AK69*3600)/(AK68),"")&gt;0,IFERROR((AK$11*(AK62-SUM(AK64:AK67)/AK$11)*AK69*3600)/(AK68),""),"")</f>
        <v/>
      </c>
      <c r="AL70" s="284" t="str">
        <f t="shared" ref="AL70" ca="1" si="320">IF(IFERROR((AL$11*(AL62-SUM(AL64:AL67)/AL$11)*AL69*3600)/(AL68),"")&gt;0,IFERROR((AL$11*(AL62-SUM(AL64:AL67)/AL$11)*AL69*3600)/(AL68),""),"")</f>
        <v/>
      </c>
      <c r="AM70" s="284" t="str">
        <f t="shared" ref="AM70" ca="1" si="321">IF(IFERROR((AM$11*(AM62-SUM(AM64:AM67)/AM$11)*AM69*3600)/(AM68),"")&gt;0,IFERROR((AM$11*(AM62-SUM(AM64:AM67)/AM$11)*AM69*3600)/(AM68),""),"")</f>
        <v/>
      </c>
      <c r="AN70" s="284" t="str">
        <f t="shared" ref="AN70" ca="1" si="322">IF(IFERROR((AN$11*(AN62-SUM(AN64:AN67)/AN$11)*AN69*3600)/(AN68),"")&gt;0,IFERROR((AN$11*(AN62-SUM(AN64:AN67)/AN$11)*AN69*3600)/(AN68),""),"")</f>
        <v/>
      </c>
      <c r="AO70" s="284" t="str">
        <f t="shared" ref="AO70" ca="1" si="323">IF(IFERROR((AO$11*(AO62-SUM(AO64:AO67)/AO$11)*AO69*3600)/(AO68),"")&gt;0,IFERROR((AO$11*(AO62-SUM(AO64:AO67)/AO$11)*AO69*3600)/(AO68),""),"")</f>
        <v/>
      </c>
      <c r="AP70" s="283" t="e">
        <f t="shared" ref="AP70:AP71" ca="1" si="324">IF(SUM(F70:K70)&lt;&gt;0,SUM(F70:K70),#N/A)</f>
        <v>#N/A</v>
      </c>
      <c r="AQ70" s="284" t="e">
        <f t="shared" ref="AQ70:AQ71" ca="1" si="325">IF(SUM(L70:Q70)&lt;&gt;0,SUM(L70:Q70),#N/A)</f>
        <v>#N/A</v>
      </c>
      <c r="AR70" s="283" t="e">
        <f t="shared" ref="AR70:AR71" ca="1" si="326">IF(SUM(R70:W70)&lt;&gt;0,SUM(R70:W70),#N/A)</f>
        <v>#N/A</v>
      </c>
      <c r="AS70" s="284" t="e">
        <f t="shared" ref="AS70:AS71" ca="1" si="327">IF(SUM(X70:AC70)&lt;&gt;0,SUM(X70:AC70),#N/A)</f>
        <v>#N/A</v>
      </c>
      <c r="AT70" s="283" t="e">
        <f t="shared" ref="AT70:AT71" ca="1" si="328">IF(SUM(AD70:AI70)&lt;&gt;0,SUM(AD70:AI70),#N/A)</f>
        <v>#N/A</v>
      </c>
      <c r="AU70" s="284" t="e">
        <f t="shared" ref="AU70:AU71" ca="1" si="329">IF(SUM(AJ70:AO70)&lt;&gt;0,SUM(AJ70:AO70),#N/A)</f>
        <v>#N/A</v>
      </c>
      <c r="AV70" s="283" t="str">
        <f ca="1">IF(IFERROR((AV$11*(AV62-SUM(AV64:AV67)/AV$11)*AV69*3600)/(AV68),"")&lt;&gt;0,IFERROR((AV$11*(AV62-SUM(AV64:AV67)/AV$11)*AV69*3600)/(AV68),""),"")</f>
        <v/>
      </c>
      <c r="AW70" s="284" t="str">
        <f t="shared" ref="AW70" ca="1" si="330">IF(IFERROR((AW$11*(AW62-SUM(AW64:AW67)/AW$11)*AW69*3600)/(AW68),"")&lt;&gt;0,IFERROR((AW$11*(AW62-SUM(AW64:AW67)/AW$11)*AW69*3600)/(AW68),""),"")</f>
        <v/>
      </c>
      <c r="AX70" s="283" t="str">
        <f t="shared" ref="AX70" ca="1" si="331">IF(IFERROR((AX$11*(AX62-SUM(AX64:AX67)/AX$11)*AX69*3600)/(AX68),"")&lt;&gt;0,IFERROR((AX$11*(AX62-SUM(AX64:AX67)/AX$11)*AX69*3600)/(AX68),""),"")</f>
        <v/>
      </c>
      <c r="AY70" s="284" t="str">
        <f t="shared" ref="AY70" ca="1" si="332">IF(IFERROR((AY$11*(AY62-SUM(AY64:AY67)/AY$11)*AY69*3600)/(AY68),"")&lt;&gt;0,IFERROR((AY$11*(AY62-SUM(AY64:AY67)/AY$11)*AY69*3600)/(AY68),""),"")</f>
        <v/>
      </c>
      <c r="AZ70" s="283" t="str">
        <f t="shared" ref="AZ70" ca="1" si="333">IF(IFERROR((AZ$11*(AZ62-SUM(AZ64:AZ67)/AZ$11)*AZ69*3600)/(AZ68),"")&lt;&gt;0,IFERROR((AZ$11*(AZ62-SUM(AZ64:AZ67)/AZ$11)*AZ69*3600)/(AZ68),""),"")</f>
        <v/>
      </c>
      <c r="BA70" s="284" t="str">
        <f t="shared" ref="BA70" ca="1" si="334">IF(IFERROR((BA$11*(BA62-SUM(BA64:BA67)/BA$11)*BA69*3600)/(BA68),"")&lt;&gt;0,IFERROR((BA$11*(BA62-SUM(BA64:BA67)/BA$11)*BA69*3600)/(BA68),""),"")</f>
        <v/>
      </c>
      <c r="BB70" s="283" t="str">
        <f t="shared" ref="BB70" ca="1" si="335">IF(IFERROR((BB$11*(BB62-SUM(BB64:BB67)/BB$11)*BB69*3600)/(BB68),"")&lt;&gt;0,IFERROR((BB$11*(BB62-SUM(BB64:BB67)/BB$11)*BB69*3600)/(BB68),""),"")</f>
        <v/>
      </c>
      <c r="BC70" s="284" t="str">
        <f t="shared" ref="BC70" ca="1" si="336">IF(IFERROR((BC$11*(BC62-SUM(BC64:BC67)/BC$11)*BC69*3600)/(BC68),"")&lt;&gt;0,IFERROR((BC$11*(BC62-SUM(BC64:BC67)/BC$11)*BC69*3600)/(BC68),""),"")</f>
        <v/>
      </c>
      <c r="BD70" s="283" t="str">
        <f t="shared" ref="BD70" ca="1" si="337">IF(IFERROR((BD$11*(BD62-SUM(BD64:BD67)/BD$11)*BD69*3600)/(BD68),"")&lt;&gt;0,IFERROR((BD$11*(BD62-SUM(BD64:BD67)/BD$11)*BD69*3600)/(BD68),""),"")</f>
        <v/>
      </c>
      <c r="BE70" s="285" t="str">
        <f t="shared" ref="BE70" ca="1" si="338">IF(IFERROR((BE$11*(BE62-SUM(BE64:BE67)/BE$11)*BE69*3600)/(BE68),"")&lt;&gt;0,IFERROR((BE$11*(BE62-SUM(BE64:BE67)/BE$11)*BE69*3600)/(BE68),""),"")</f>
        <v/>
      </c>
      <c r="BF70" s="285" t="e">
        <f t="shared" ref="BF70:BF71" ca="1" si="339">IF(SUM(AP70,AQ70)&lt;&gt;0,SUM(AP70,AQ70),#N/A)</f>
        <v>#N/A</v>
      </c>
      <c r="BG70" s="285" t="e">
        <f t="shared" ref="BG70:BG71" ca="1" si="340">IF(SUM(AR70,AS70)&lt;&gt;0,SUM(AR70,AS70),#N/A)</f>
        <v>#N/A</v>
      </c>
      <c r="BH70" s="285" t="e">
        <f t="shared" ref="BH70:BH71" ca="1" si="341">IF(SUM(AT70,AU70)&lt;&gt;0,SUM(AT70,AU70),#N/A)</f>
        <v>#N/A</v>
      </c>
      <c r="BI70" s="285" t="e">
        <f t="shared" ref="BI70:BI71" ca="1" si="342">IF(SUM(AV70,AW70)&lt;&gt;0,SUM(AV70,AW70),#N/A)</f>
        <v>#N/A</v>
      </c>
      <c r="BJ70" s="285" t="e">
        <f t="shared" ref="BJ70:BJ71" ca="1" si="343">IF(SUM(AX70,AY70)&lt;&gt;0,SUM(AX70,AY70),#N/A)</f>
        <v>#N/A</v>
      </c>
      <c r="BK70" s="285" t="e">
        <f t="shared" ref="BK70:BK71" ca="1" si="344">IF(SUM(AZ70,BA70)&lt;&gt;0,SUM(AZ70,BA70),#N/A)</f>
        <v>#N/A</v>
      </c>
      <c r="BL70" s="285" t="e">
        <f t="shared" ref="BL70:BL71" ca="1" si="345">IF(SUM(BB70,BC70)&lt;&gt;0,SUM(BB70,BC70),#N/A)</f>
        <v>#N/A</v>
      </c>
      <c r="BM70" s="285" t="e">
        <f t="shared" ref="BM70:BM71" ca="1" si="346">IF(SUM(BD70,BE70)&lt;&gt;0,SUM(BD70,BE70),#N/A)</f>
        <v>#N/A</v>
      </c>
    </row>
    <row r="71" spans="1:65" s="102" customFormat="1" ht="15" customHeight="1" outlineLevel="1" thickBot="1" x14ac:dyDescent="0.25">
      <c r="A71" s="320" t="s">
        <v>226</v>
      </c>
      <c r="B71" s="348"/>
      <c r="C71" s="351"/>
      <c r="D71" s="345"/>
      <c r="E71" s="104" t="s">
        <v>225</v>
      </c>
      <c r="F71" s="36" t="str">
        <f ca="1">IFERROR(F70+((F61*F63*F69*3600)/(F68)),"")</f>
        <v/>
      </c>
      <c r="G71" s="37" t="str">
        <f t="shared" ref="G71:AO71" ca="1" si="347">IFERROR(G70+((G61*G63*G69*3600)/(G68)),"")</f>
        <v/>
      </c>
      <c r="H71" s="37" t="str">
        <f t="shared" ca="1" si="347"/>
        <v/>
      </c>
      <c r="I71" s="37" t="str">
        <f t="shared" ca="1" si="347"/>
        <v/>
      </c>
      <c r="J71" s="37" t="str">
        <f t="shared" ca="1" si="347"/>
        <v/>
      </c>
      <c r="K71" s="37" t="str">
        <f t="shared" ca="1" si="347"/>
        <v/>
      </c>
      <c r="L71" s="37" t="str">
        <f t="shared" ca="1" si="347"/>
        <v/>
      </c>
      <c r="M71" s="37" t="str">
        <f t="shared" ca="1" si="347"/>
        <v/>
      </c>
      <c r="N71" s="37" t="str">
        <f t="shared" ca="1" si="347"/>
        <v/>
      </c>
      <c r="O71" s="37" t="str">
        <f t="shared" ca="1" si="347"/>
        <v/>
      </c>
      <c r="P71" s="37" t="str">
        <f t="shared" ca="1" si="347"/>
        <v/>
      </c>
      <c r="Q71" s="37" t="str">
        <f t="shared" ca="1" si="347"/>
        <v/>
      </c>
      <c r="R71" s="36" t="str">
        <f t="shared" ca="1" si="347"/>
        <v/>
      </c>
      <c r="S71" s="37" t="str">
        <f t="shared" ca="1" si="347"/>
        <v/>
      </c>
      <c r="T71" s="37" t="str">
        <f t="shared" ca="1" si="347"/>
        <v/>
      </c>
      <c r="U71" s="37" t="str">
        <f t="shared" ca="1" si="347"/>
        <v/>
      </c>
      <c r="V71" s="37" t="str">
        <f t="shared" ca="1" si="347"/>
        <v/>
      </c>
      <c r="W71" s="37" t="str">
        <f t="shared" ca="1" si="347"/>
        <v/>
      </c>
      <c r="X71" s="37" t="str">
        <f t="shared" ca="1" si="347"/>
        <v/>
      </c>
      <c r="Y71" s="37" t="str">
        <f t="shared" ca="1" si="347"/>
        <v/>
      </c>
      <c r="Z71" s="37" t="str">
        <f t="shared" ca="1" si="347"/>
        <v/>
      </c>
      <c r="AA71" s="37" t="str">
        <f t="shared" ca="1" si="347"/>
        <v/>
      </c>
      <c r="AB71" s="37" t="str">
        <f t="shared" ca="1" si="347"/>
        <v/>
      </c>
      <c r="AC71" s="37" t="str">
        <f t="shared" ca="1" si="347"/>
        <v/>
      </c>
      <c r="AD71" s="36" t="str">
        <f t="shared" ca="1" si="347"/>
        <v/>
      </c>
      <c r="AE71" s="37" t="str">
        <f t="shared" ca="1" si="347"/>
        <v/>
      </c>
      <c r="AF71" s="37" t="str">
        <f t="shared" ca="1" si="347"/>
        <v/>
      </c>
      <c r="AG71" s="37" t="str">
        <f t="shared" ca="1" si="347"/>
        <v/>
      </c>
      <c r="AH71" s="37" t="str">
        <f t="shared" ca="1" si="347"/>
        <v/>
      </c>
      <c r="AI71" s="37" t="str">
        <f t="shared" ca="1" si="347"/>
        <v/>
      </c>
      <c r="AJ71" s="37" t="str">
        <f t="shared" ca="1" si="347"/>
        <v/>
      </c>
      <c r="AK71" s="37" t="str">
        <f t="shared" ca="1" si="347"/>
        <v/>
      </c>
      <c r="AL71" s="37" t="str">
        <f t="shared" ca="1" si="347"/>
        <v/>
      </c>
      <c r="AM71" s="37" t="str">
        <f t="shared" ca="1" si="347"/>
        <v/>
      </c>
      <c r="AN71" s="37" t="str">
        <f t="shared" ca="1" si="347"/>
        <v/>
      </c>
      <c r="AO71" s="37" t="str">
        <f t="shared" ca="1" si="347"/>
        <v/>
      </c>
      <c r="AP71" s="36" t="e">
        <f t="shared" ca="1" si="324"/>
        <v>#N/A</v>
      </c>
      <c r="AQ71" s="37" t="e">
        <f t="shared" ca="1" si="325"/>
        <v>#N/A</v>
      </c>
      <c r="AR71" s="36" t="e">
        <f t="shared" ca="1" si="326"/>
        <v>#N/A</v>
      </c>
      <c r="AS71" s="37" t="e">
        <f t="shared" ca="1" si="327"/>
        <v>#N/A</v>
      </c>
      <c r="AT71" s="36" t="e">
        <f t="shared" ca="1" si="328"/>
        <v>#N/A</v>
      </c>
      <c r="AU71" s="37" t="e">
        <f t="shared" ca="1" si="329"/>
        <v>#N/A</v>
      </c>
      <c r="AV71" s="36" t="str">
        <f t="shared" ref="AV71:BE71" ca="1" si="348">IFERROR(AV70+((AV61*AV63*AV69*3600)/(AV68)),"")</f>
        <v/>
      </c>
      <c r="AW71" s="37" t="str">
        <f t="shared" ca="1" si="348"/>
        <v/>
      </c>
      <c r="AX71" s="36" t="str">
        <f t="shared" ca="1" si="348"/>
        <v/>
      </c>
      <c r="AY71" s="37" t="str">
        <f t="shared" ca="1" si="348"/>
        <v/>
      </c>
      <c r="AZ71" s="36" t="str">
        <f t="shared" ca="1" si="348"/>
        <v/>
      </c>
      <c r="BA71" s="37" t="str">
        <f t="shared" ca="1" si="348"/>
        <v/>
      </c>
      <c r="BB71" s="36" t="str">
        <f t="shared" ca="1" si="348"/>
        <v/>
      </c>
      <c r="BC71" s="37" t="str">
        <f t="shared" ca="1" si="348"/>
        <v/>
      </c>
      <c r="BD71" s="36" t="str">
        <f t="shared" ca="1" si="348"/>
        <v/>
      </c>
      <c r="BE71" s="43" t="str">
        <f t="shared" ca="1" si="348"/>
        <v/>
      </c>
      <c r="BF71" s="43" t="e">
        <f t="shared" ca="1" si="339"/>
        <v>#N/A</v>
      </c>
      <c r="BG71" s="43" t="e">
        <f t="shared" ca="1" si="340"/>
        <v>#N/A</v>
      </c>
      <c r="BH71" s="43" t="e">
        <f t="shared" ca="1" si="341"/>
        <v>#N/A</v>
      </c>
      <c r="BI71" s="43" t="e">
        <f t="shared" ca="1" si="342"/>
        <v>#N/A</v>
      </c>
      <c r="BJ71" s="43" t="e">
        <f t="shared" ca="1" si="343"/>
        <v>#N/A</v>
      </c>
      <c r="BK71" s="43" t="e">
        <f t="shared" ca="1" si="344"/>
        <v>#N/A</v>
      </c>
      <c r="BL71" s="43" t="e">
        <f t="shared" ca="1" si="345"/>
        <v>#N/A</v>
      </c>
      <c r="BM71" s="43" t="e">
        <f t="shared" ca="1" si="346"/>
        <v>#N/A</v>
      </c>
    </row>
    <row r="72" spans="1:65" s="102" customFormat="1" ht="22.5" outlineLevel="2" x14ac:dyDescent="0.2">
      <c r="A72" s="320" t="s">
        <v>226</v>
      </c>
      <c r="B72" s="346"/>
      <c r="C72" s="349" t="str">
        <f t="shared" ref="C72" si="349">IF(AND($B72&lt;&gt;0,$C$9&lt;&gt;0),$C$9,"")</f>
        <v/>
      </c>
      <c r="D72" s="343"/>
      <c r="E72" s="277" t="s">
        <v>40</v>
      </c>
      <c r="F72" s="33">
        <f ca="1">IF(F$11-(SUM(F76:F79)/24)=0,"",F$11-(SUM(F76:F79)/24))</f>
        <v>27</v>
      </c>
      <c r="G72" s="34">
        <f t="shared" ref="G72:AO72" ca="1" si="350">IF(G$11-(SUM(G76:G79)/24)=0,"",G$11-(SUM(G76:G79)/24))</f>
        <v>24</v>
      </c>
      <c r="H72" s="34">
        <f t="shared" ca="1" si="350"/>
        <v>26</v>
      </c>
      <c r="I72" s="34">
        <f t="shared" ca="1" si="350"/>
        <v>26</v>
      </c>
      <c r="J72" s="34">
        <f t="shared" ca="1" si="350"/>
        <v>27</v>
      </c>
      <c r="K72" s="34">
        <f t="shared" ca="1" si="350"/>
        <v>25</v>
      </c>
      <c r="L72" s="34">
        <f t="shared" ca="1" si="350"/>
        <v>27</v>
      </c>
      <c r="M72" s="34">
        <f t="shared" ca="1" si="350"/>
        <v>26</v>
      </c>
      <c r="N72" s="34">
        <f t="shared" ca="1" si="350"/>
        <v>26</v>
      </c>
      <c r="O72" s="34">
        <f t="shared" ca="1" si="350"/>
        <v>27</v>
      </c>
      <c r="P72" s="34">
        <f t="shared" ca="1" si="350"/>
        <v>25</v>
      </c>
      <c r="Q72" s="34">
        <f t="shared" ca="1" si="350"/>
        <v>27</v>
      </c>
      <c r="R72" s="32">
        <f t="shared" ca="1" si="350"/>
        <v>27</v>
      </c>
      <c r="S72" s="29">
        <f t="shared" ca="1" si="350"/>
        <v>24</v>
      </c>
      <c r="T72" s="29">
        <f t="shared" ca="1" si="350"/>
        <v>26</v>
      </c>
      <c r="U72" s="29">
        <f t="shared" ca="1" si="350"/>
        <v>26</v>
      </c>
      <c r="V72" s="29">
        <f t="shared" ca="1" si="350"/>
        <v>26</v>
      </c>
      <c r="W72" s="29">
        <f t="shared" ca="1" si="350"/>
        <v>26</v>
      </c>
      <c r="X72" s="29">
        <f t="shared" ca="1" si="350"/>
        <v>27</v>
      </c>
      <c r="Y72" s="29">
        <f t="shared" ca="1" si="350"/>
        <v>26</v>
      </c>
      <c r="Z72" s="29">
        <f t="shared" ca="1" si="350"/>
        <v>26</v>
      </c>
      <c r="AA72" s="29">
        <f t="shared" ca="1" si="350"/>
        <v>27</v>
      </c>
      <c r="AB72" s="29">
        <f t="shared" ca="1" si="350"/>
        <v>25</v>
      </c>
      <c r="AC72" s="29">
        <f t="shared" ca="1" si="350"/>
        <v>27</v>
      </c>
      <c r="AD72" s="32">
        <f t="shared" ca="1" si="350"/>
        <v>26</v>
      </c>
      <c r="AE72" s="29">
        <f t="shared" ca="1" si="350"/>
        <v>24</v>
      </c>
      <c r="AF72" s="29">
        <f t="shared" ca="1" si="350"/>
        <v>27</v>
      </c>
      <c r="AG72" s="29">
        <f t="shared" ca="1" si="350"/>
        <v>26</v>
      </c>
      <c r="AH72" s="29">
        <f t="shared" ca="1" si="350"/>
        <v>26</v>
      </c>
      <c r="AI72" s="29">
        <f t="shared" ca="1" si="350"/>
        <v>26</v>
      </c>
      <c r="AJ72" s="29">
        <f t="shared" ca="1" si="350"/>
        <v>27</v>
      </c>
      <c r="AK72" s="29">
        <f t="shared" ca="1" si="350"/>
        <v>26</v>
      </c>
      <c r="AL72" s="29">
        <f t="shared" ca="1" si="350"/>
        <v>26</v>
      </c>
      <c r="AM72" s="29">
        <f t="shared" ca="1" si="350"/>
        <v>26</v>
      </c>
      <c r="AN72" s="29">
        <f t="shared" ca="1" si="350"/>
        <v>26</v>
      </c>
      <c r="AO72" s="29">
        <f t="shared" ca="1" si="350"/>
        <v>27</v>
      </c>
      <c r="AP72" s="32">
        <f ca="1">IF(SUM(F72:K72)&lt;&gt;0,SUM(F72:K72),"")</f>
        <v>155</v>
      </c>
      <c r="AQ72" s="29">
        <f ca="1">IF(SUM(L72:Q72)&lt;&gt;0,SUM(L72:Q72),"")</f>
        <v>158</v>
      </c>
      <c r="AR72" s="32">
        <f ca="1">IF(SUM(R72:W72)&lt;&gt;0,SUM(R72:W72),"")</f>
        <v>155</v>
      </c>
      <c r="AS72" s="29">
        <f ca="1">IF(SUM(X72:AC72)&lt;&gt;0,SUM(X72:AC72),"")</f>
        <v>158</v>
      </c>
      <c r="AT72" s="32">
        <f ca="1">IF(SUM(AD72:AI72)&lt;&gt;0,SUM(AD72:AI72),"")</f>
        <v>155</v>
      </c>
      <c r="AU72" s="296">
        <f ca="1">SUM(AJ72:AO72)</f>
        <v>158</v>
      </c>
      <c r="AV72" s="32">
        <f t="shared" ref="AV72:BE72" ca="1" si="351">IF(AV$11-(SUM(AV76:AV79)/24)=0,"",AV$11-(SUM(AV76:AV79)/24))</f>
        <v>156</v>
      </c>
      <c r="AW72" s="29">
        <f t="shared" ca="1" si="351"/>
        <v>157</v>
      </c>
      <c r="AX72" s="32">
        <f t="shared" ca="1" si="351"/>
        <v>156</v>
      </c>
      <c r="AY72" s="29">
        <f t="shared" ca="1" si="351"/>
        <v>158</v>
      </c>
      <c r="AZ72" s="32">
        <f t="shared" ca="1" si="351"/>
        <v>155</v>
      </c>
      <c r="BA72" s="29">
        <f t="shared" ca="1" si="351"/>
        <v>158</v>
      </c>
      <c r="BB72" s="32">
        <f t="shared" ca="1" si="351"/>
        <v>155</v>
      </c>
      <c r="BC72" s="29">
        <f t="shared" ca="1" si="351"/>
        <v>158</v>
      </c>
      <c r="BD72" s="32">
        <f t="shared" ca="1" si="351"/>
        <v>156</v>
      </c>
      <c r="BE72" s="262">
        <f t="shared" ca="1" si="351"/>
        <v>158</v>
      </c>
      <c r="BF72" s="286">
        <f t="shared" ref="BF72" ca="1" si="352">IF(SUM(AP72,AQ72)&lt;&gt;0,SUM(AP72,AQ72),#N/A)</f>
        <v>313</v>
      </c>
      <c r="BG72" s="286">
        <f t="shared" ref="BG72" ca="1" si="353">IF(SUM(AR72,AS72)&lt;&gt;0,SUM(AR72,AS72),#N/A)</f>
        <v>313</v>
      </c>
      <c r="BH72" s="286">
        <f t="shared" ref="BH72" ca="1" si="354">IF(SUM(AT72,AU72)&lt;&gt;0,SUM(AT72,AU72),#N/A)</f>
        <v>313</v>
      </c>
      <c r="BI72" s="286">
        <f t="shared" ref="BI72" ca="1" si="355">IF(SUM(AV72,AW72)&lt;&gt;0,SUM(AV72,AW72),#N/A)</f>
        <v>313</v>
      </c>
      <c r="BJ72" s="286">
        <f t="shared" ref="BJ72" ca="1" si="356">IF(SUM(AX72,AY72)&lt;&gt;0,SUM(AX72,AY72),#N/A)</f>
        <v>314</v>
      </c>
      <c r="BK72" s="286">
        <f t="shared" ref="BK72" ca="1" si="357">IF(SUM(AZ72,BA72)&lt;&gt;0,SUM(AZ72,BA72),#N/A)</f>
        <v>313</v>
      </c>
      <c r="BL72" s="286">
        <f t="shared" ref="BL72" ca="1" si="358">IF(SUM(BB72,BC72)&lt;&gt;0,SUM(BB72,BC72),#N/A)</f>
        <v>313</v>
      </c>
      <c r="BM72" s="286">
        <f t="shared" ref="BM72" ca="1" si="359">IF(SUM(BD72,BE72)&lt;&gt;0,SUM(BD72,BE72),#N/A)</f>
        <v>314</v>
      </c>
    </row>
    <row r="73" spans="1:65" s="102" customFormat="1" ht="15" customHeight="1" outlineLevel="2" thickBot="1" x14ac:dyDescent="0.25">
      <c r="A73" s="320" t="s">
        <v>226</v>
      </c>
      <c r="B73" s="347"/>
      <c r="C73" s="350"/>
      <c r="D73" s="344"/>
      <c r="E73" s="278" t="s">
        <v>29</v>
      </c>
      <c r="F73" s="47"/>
      <c r="G73" s="48"/>
      <c r="H73" s="48"/>
      <c r="I73" s="48"/>
      <c r="J73" s="48"/>
      <c r="K73" s="48"/>
      <c r="L73" s="48"/>
      <c r="M73" s="48"/>
      <c r="N73" s="48"/>
      <c r="O73" s="48"/>
      <c r="P73" s="48"/>
      <c r="Q73" s="51"/>
      <c r="R73" s="47"/>
      <c r="S73" s="48"/>
      <c r="T73" s="48"/>
      <c r="U73" s="48"/>
      <c r="V73" s="48"/>
      <c r="W73" s="48"/>
      <c r="X73" s="48"/>
      <c r="Y73" s="48"/>
      <c r="Z73" s="48"/>
      <c r="AA73" s="48"/>
      <c r="AB73" s="48"/>
      <c r="AC73" s="51"/>
      <c r="AD73" s="47"/>
      <c r="AE73" s="48"/>
      <c r="AF73" s="48"/>
      <c r="AG73" s="48"/>
      <c r="AH73" s="48"/>
      <c r="AI73" s="48"/>
      <c r="AJ73" s="48"/>
      <c r="AK73" s="48"/>
      <c r="AL73" s="48"/>
      <c r="AM73" s="48"/>
      <c r="AN73" s="48"/>
      <c r="AO73" s="51"/>
      <c r="AP73" s="294" t="str">
        <f>IFERROR(IF(SUM(F73:K73)&lt;&gt;0,SUM(F73:K73),""),"")</f>
        <v/>
      </c>
      <c r="AQ73" s="295" t="str">
        <f>IFERROR(IF(SUM(L73:Q73)&lt;&gt;0,SUM(L73:Q73),""),"")</f>
        <v/>
      </c>
      <c r="AR73" s="294" t="str">
        <f>IFERROR(IF(SUM(R73:W73)&lt;&gt;0,SUM(R73:W73),""),"")</f>
        <v/>
      </c>
      <c r="AS73" s="295" t="str">
        <f>IFERROR(IF(SUM(X73:AC73)&lt;&gt;0,SUM(X73:AC73),""),"")</f>
        <v/>
      </c>
      <c r="AT73" s="294" t="str">
        <f>IFERROR(IF(SUM(AD73:AI73)&lt;&gt;0,SUM(AD73:AI73),""),"")</f>
        <v/>
      </c>
      <c r="AU73" s="295" t="str">
        <f>IFERROR(IF(SUM(AJ73:AO73)&lt;&gt;0,SUM(AJ73:AO73),""),"")</f>
        <v/>
      </c>
      <c r="AV73" s="47"/>
      <c r="AW73" s="51"/>
      <c r="AX73" s="47"/>
      <c r="AY73" s="51"/>
      <c r="AZ73" s="47"/>
      <c r="BA73" s="51"/>
      <c r="BB73" s="47"/>
      <c r="BC73" s="51"/>
      <c r="BD73" s="47"/>
      <c r="BE73" s="263"/>
      <c r="BF73" s="271" t="str">
        <f>IFERROR(IF(AVERAGE(AP73:AQ73)&lt;&gt;0,AVERAGE(AP73:AQ73),""),"")</f>
        <v/>
      </c>
      <c r="BG73" s="271" t="str">
        <f>IFERROR(IF(AVERAGE(AR73:AS73)&lt;&gt;0,AVERAGE(AR73:AS73),""),"")</f>
        <v/>
      </c>
      <c r="BH73" s="271" t="str">
        <f>IFERROR(IF(AVERAGE(AT73:AU73)&lt;&gt;0,AVERAGE(AT73:AU73),""),"")</f>
        <v/>
      </c>
      <c r="BI73" s="271" t="str">
        <f>IFERROR(IF(AVERAGE(AV73:AW73)&lt;&gt;0,AVERAGE(AV73:AW73),""),"")</f>
        <v/>
      </c>
      <c r="BJ73" s="271" t="str">
        <f>IFERROR(IF(AVERAGE(AX73:AY73)&lt;&gt;0,AVERAGE(AX73:AY73),""),"")</f>
        <v/>
      </c>
      <c r="BK73" s="271" t="str">
        <f>IFERROR(IF(AVERAGE(AZ73:BA73)&lt;&gt;0,AVERAGE(AZ73:BA73),""),"")</f>
        <v/>
      </c>
      <c r="BL73" s="271" t="str">
        <f>IFERROR(IF(AVERAGE(BB73:BC73)&lt;&gt;0,AVERAGE(BB73:BC73),""),"")</f>
        <v/>
      </c>
      <c r="BM73" s="271" t="str">
        <f>IFERROR(IF(AVERAGE(BD73:BE73)&lt;&gt;0,AVERAGE(BD73:BE73),""),"")</f>
        <v/>
      </c>
    </row>
    <row r="74" spans="1:65" s="102" customFormat="1" ht="14.25" customHeight="1" outlineLevel="2" x14ac:dyDescent="0.2">
      <c r="A74" s="320" t="s">
        <v>226</v>
      </c>
      <c r="B74" s="347"/>
      <c r="C74" s="350"/>
      <c r="D74" s="344"/>
      <c r="E74" s="279" t="s">
        <v>28</v>
      </c>
      <c r="F74" s="52"/>
      <c r="G74" s="53"/>
      <c r="H74" s="53"/>
      <c r="I74" s="53"/>
      <c r="J74" s="53"/>
      <c r="K74" s="53"/>
      <c r="L74" s="53"/>
      <c r="M74" s="53"/>
      <c r="N74" s="53"/>
      <c r="O74" s="53"/>
      <c r="P74" s="53"/>
      <c r="Q74" s="54"/>
      <c r="R74" s="52"/>
      <c r="S74" s="53"/>
      <c r="T74" s="53"/>
      <c r="U74" s="53"/>
      <c r="V74" s="53"/>
      <c r="W74" s="53"/>
      <c r="X74" s="53"/>
      <c r="Y74" s="53"/>
      <c r="Z74" s="53"/>
      <c r="AA74" s="53"/>
      <c r="AB74" s="53"/>
      <c r="AC74" s="54"/>
      <c r="AD74" s="52"/>
      <c r="AE74" s="53"/>
      <c r="AF74" s="53"/>
      <c r="AG74" s="53"/>
      <c r="AH74" s="53"/>
      <c r="AI74" s="53"/>
      <c r="AJ74" s="53"/>
      <c r="AK74" s="53"/>
      <c r="AL74" s="53"/>
      <c r="AM74" s="53"/>
      <c r="AN74" s="53"/>
      <c r="AO74" s="54"/>
      <c r="AP74" s="225" t="str">
        <f>IFERROR(IF(AVERAGE(F74:K74)&lt;&gt;0,AVERAGE(F74:K74),""),"")</f>
        <v/>
      </c>
      <c r="AQ74" s="226" t="str">
        <f>IFERROR(IF(AVERAGE(L74:Q74)&lt;&gt;0,AVERAGE(L74:Q74),""),"")</f>
        <v/>
      </c>
      <c r="AR74" s="225" t="str">
        <f>IFERROR(IF(AVERAGE(R74:W74)&lt;&gt;0,AVERAGE(R74:W74),""),"")</f>
        <v/>
      </c>
      <c r="AS74" s="226" t="str">
        <f>IFERROR(IF(AVERAGE(X74:AC74)&lt;&gt;0,AVERAGE(X74:AC74),""),"")</f>
        <v/>
      </c>
      <c r="AT74" s="225" t="str">
        <f>IFERROR(IF(AVERAGE(AD74:AI74)&lt;&gt;0,AVERAGE(AD74:AI74),""),"")</f>
        <v/>
      </c>
      <c r="AU74" s="226" t="str">
        <f>IFERROR(IF(AVERAGE(AJ74:AO74)&lt;&gt;0,AVERAGE(AJ74:AO74),""),"")</f>
        <v/>
      </c>
      <c r="AV74" s="70"/>
      <c r="AW74" s="53"/>
      <c r="AX74" s="70"/>
      <c r="AY74" s="53"/>
      <c r="AZ74" s="70"/>
      <c r="BA74" s="53"/>
      <c r="BB74" s="70"/>
      <c r="BC74" s="53"/>
      <c r="BD74" s="70"/>
      <c r="BE74" s="264"/>
      <c r="BF74" s="272" t="str">
        <f>IFERROR(IF(AVERAGE(AP74:AQ74)&lt;&gt;0,AVERAGE(AP74:AQ74),""),"")</f>
        <v/>
      </c>
      <c r="BG74" s="272" t="str">
        <f>IFERROR(IF(AVERAGE(AR74:AS74)&lt;&gt;0,AVERAGE(AR74:AS74),""),"")</f>
        <v/>
      </c>
      <c r="BH74" s="272" t="str">
        <f>IFERROR(IF(AVERAGE(AT74:AU74)&lt;&gt;0,AVERAGE(AT74:AU74),""),"")</f>
        <v/>
      </c>
      <c r="BI74" s="272" t="str">
        <f>IFERROR(IF(AVERAGE(AV74:AW74)&lt;&gt;0,AVERAGE(AV74:AW74),""),"")</f>
        <v/>
      </c>
      <c r="BJ74" s="272" t="str">
        <f>IFERROR(IF(AVERAGE(AX74:AY74)&lt;&gt;0,AVERAGE(AX74:AY74),""),"")</f>
        <v/>
      </c>
      <c r="BK74" s="272" t="str">
        <f>IFERROR(IF(AVERAGE(AZ74:BA74)&lt;&gt;0,AVERAGE(AZ74:BA74),""),"")</f>
        <v/>
      </c>
      <c r="BL74" s="272" t="str">
        <f>IFERROR(IF(AVERAGE(BB74:BC74)&lt;&gt;0,AVERAGE(BB74:BC74),""),"")</f>
        <v/>
      </c>
      <c r="BM74" s="272" t="str">
        <f>IFERROR(IF(AVERAGE(BD74:BE74)&lt;&gt;0,AVERAGE(BD74:BE74),""),"")</f>
        <v/>
      </c>
    </row>
    <row r="75" spans="1:65" s="102" customFormat="1" ht="15" customHeight="1" outlineLevel="2" thickBot="1" x14ac:dyDescent="0.25">
      <c r="A75" s="320" t="s">
        <v>226</v>
      </c>
      <c r="B75" s="347"/>
      <c r="C75" s="350"/>
      <c r="D75" s="344"/>
      <c r="E75" s="278" t="s">
        <v>30</v>
      </c>
      <c r="F75" s="55"/>
      <c r="G75" s="56"/>
      <c r="H75" s="56"/>
      <c r="I75" s="56"/>
      <c r="J75" s="56"/>
      <c r="K75" s="56"/>
      <c r="L75" s="56"/>
      <c r="M75" s="56"/>
      <c r="N75" s="56"/>
      <c r="O75" s="56"/>
      <c r="P75" s="56"/>
      <c r="Q75" s="57"/>
      <c r="R75" s="55"/>
      <c r="S75" s="56"/>
      <c r="T75" s="56"/>
      <c r="U75" s="56"/>
      <c r="V75" s="56"/>
      <c r="W75" s="56"/>
      <c r="X75" s="56"/>
      <c r="Y75" s="56"/>
      <c r="Z75" s="56"/>
      <c r="AA75" s="56"/>
      <c r="AB75" s="56"/>
      <c r="AC75" s="57"/>
      <c r="AD75" s="55"/>
      <c r="AE75" s="56"/>
      <c r="AF75" s="56"/>
      <c r="AG75" s="56"/>
      <c r="AH75" s="56"/>
      <c r="AI75" s="56"/>
      <c r="AJ75" s="56"/>
      <c r="AK75" s="56"/>
      <c r="AL75" s="56"/>
      <c r="AM75" s="56"/>
      <c r="AN75" s="56"/>
      <c r="AO75" s="57"/>
      <c r="AP75" s="227" t="str">
        <f>IFERROR(IF(AVERAGE(F75:K75)&lt;&gt;0,AVERAGE(F75:K75),""),"")</f>
        <v/>
      </c>
      <c r="AQ75" s="228" t="str">
        <f>IFERROR(IF(AVERAGE(L75:Q75)&lt;&gt;0,AVERAGE(L75:Q75),""),"")</f>
        <v/>
      </c>
      <c r="AR75" s="227" t="str">
        <f>IFERROR(IF(AVERAGE(R75:W75)&lt;&gt;0,AVERAGE(R75:W75),""),"")</f>
        <v/>
      </c>
      <c r="AS75" s="228" t="str">
        <f>IFERROR(IF(AVERAGE(X75:AC75)&lt;&gt;0,AVERAGE(X75:AC75),""),"")</f>
        <v/>
      </c>
      <c r="AT75" s="227" t="str">
        <f>IFERROR(IF(AVERAGE(AD75:AI75)&lt;&gt;0,AVERAGE(AD75:AI75),""),"")</f>
        <v/>
      </c>
      <c r="AU75" s="228" t="str">
        <f>IFERROR(IF(AVERAGE(AJ75:AO75)&lt;&gt;0,AVERAGE(AJ75:AO75),""),"")</f>
        <v/>
      </c>
      <c r="AV75" s="71"/>
      <c r="AW75" s="56"/>
      <c r="AX75" s="71"/>
      <c r="AY75" s="56"/>
      <c r="AZ75" s="71"/>
      <c r="BA75" s="56"/>
      <c r="BB75" s="71"/>
      <c r="BC75" s="56"/>
      <c r="BD75" s="71"/>
      <c r="BE75" s="265"/>
      <c r="BF75" s="273" t="str">
        <f>IFERROR(IF(AVERAGE(AP75:AQ75)&lt;&gt;0,AVERAGE(AP75:AQ75),""),"")</f>
        <v/>
      </c>
      <c r="BG75" s="273" t="str">
        <f>IFERROR(IF(AVERAGE(AR75:AS75)&lt;&gt;0,AVERAGE(AR75:AS75),""),"")</f>
        <v/>
      </c>
      <c r="BH75" s="273" t="str">
        <f>IFERROR(IF(AVERAGE(AT75:AU75)&lt;&gt;0,AVERAGE(AT75:AU75),""),"")</f>
        <v/>
      </c>
      <c r="BI75" s="273" t="str">
        <f>IFERROR(IF(AVERAGE(AV75:AW75)&lt;&gt;0,AVERAGE(AV75:AW75),""),"")</f>
        <v/>
      </c>
      <c r="BJ75" s="273" t="str">
        <f>IFERROR(IF(AVERAGE(AX75:AY75)&lt;&gt;0,AVERAGE(AX75:AY75),""),"")</f>
        <v/>
      </c>
      <c r="BK75" s="273" t="str">
        <f>IFERROR(IF(AVERAGE(AZ75:BA75)&lt;&gt;0,AVERAGE(AZ75:BA75),""),"")</f>
        <v/>
      </c>
      <c r="BL75" s="273" t="str">
        <f>IFERROR(IF(AVERAGE(BB75:BC75)&lt;&gt;0,AVERAGE(BB75:BC75),""),"")</f>
        <v/>
      </c>
      <c r="BM75" s="273" t="str">
        <f>IFERROR(IF(AVERAGE(BD75:BE75)&lt;&gt;0,AVERAGE(BD75:BE75),""),"")</f>
        <v/>
      </c>
    </row>
    <row r="76" spans="1:65" s="102" customFormat="1" ht="14.25" customHeight="1" outlineLevel="2" x14ac:dyDescent="0.2">
      <c r="A76" s="320" t="s">
        <v>226</v>
      </c>
      <c r="B76" s="347"/>
      <c r="C76" s="350"/>
      <c r="D76" s="344"/>
      <c r="E76" s="279" t="s">
        <v>25</v>
      </c>
      <c r="F76" s="58"/>
      <c r="G76" s="50"/>
      <c r="H76" s="50"/>
      <c r="I76" s="50"/>
      <c r="J76" s="50"/>
      <c r="K76" s="50"/>
      <c r="L76" s="50"/>
      <c r="M76" s="50"/>
      <c r="N76" s="50"/>
      <c r="O76" s="50"/>
      <c r="P76" s="50"/>
      <c r="Q76" s="59"/>
      <c r="R76" s="58"/>
      <c r="S76" s="50"/>
      <c r="T76" s="50"/>
      <c r="U76" s="50"/>
      <c r="V76" s="50"/>
      <c r="W76" s="50"/>
      <c r="X76" s="50"/>
      <c r="Y76" s="50"/>
      <c r="Z76" s="50"/>
      <c r="AA76" s="50"/>
      <c r="AB76" s="50"/>
      <c r="AC76" s="59"/>
      <c r="AD76" s="58"/>
      <c r="AE76" s="50"/>
      <c r="AF76" s="50"/>
      <c r="AG76" s="50"/>
      <c r="AH76" s="50"/>
      <c r="AI76" s="50"/>
      <c r="AJ76" s="50"/>
      <c r="AK76" s="50"/>
      <c r="AL76" s="50"/>
      <c r="AM76" s="50"/>
      <c r="AN76" s="50"/>
      <c r="AO76" s="59"/>
      <c r="AP76" s="229" t="str">
        <f>IFERROR(IF(SUM(F76:K76)&lt;&gt;0,SUM(F76:K76),""),"")</f>
        <v/>
      </c>
      <c r="AQ76" s="230" t="str">
        <f>IFERROR(IF(SUM(L76:Q76)&lt;&gt;0,SUM(L76:Q76),""),"")</f>
        <v/>
      </c>
      <c r="AR76" s="229" t="str">
        <f>IFERROR(IF(SUM(R76:W76)&lt;&gt;0,SUM(R76:W76),""),"")</f>
        <v/>
      </c>
      <c r="AS76" s="230" t="str">
        <f>IFERROR(IF(SUM(X76:AC76)&lt;&gt;0,SUM(X76:AC76),""),"")</f>
        <v/>
      </c>
      <c r="AT76" s="229" t="str">
        <f>IFERROR(IF(SUM(AD76:AI76)&lt;&gt;0,SUM(AD76:AI76),""),"")</f>
        <v/>
      </c>
      <c r="AU76" s="230" t="str">
        <f>IFERROR(IF(SUM(AJ76:AO76)&lt;&gt;0,SUM(AJ76:AO76),""),"")</f>
        <v/>
      </c>
      <c r="AV76" s="72"/>
      <c r="AW76" s="73"/>
      <c r="AX76" s="72"/>
      <c r="AY76" s="73"/>
      <c r="AZ76" s="72"/>
      <c r="BA76" s="73"/>
      <c r="BB76" s="72"/>
      <c r="BC76" s="73"/>
      <c r="BD76" s="72"/>
      <c r="BE76" s="266"/>
      <c r="BF76" s="286" t="e">
        <f t="shared" ref="BF76:BF79" si="360">IF(SUM(AP76,AQ76)&lt;&gt;0,SUM(AP76,AQ76),#N/A)</f>
        <v>#N/A</v>
      </c>
      <c r="BG76" s="286" t="e">
        <f t="shared" ref="BG76:BG79" si="361">IF(SUM(AR76,AS76)&lt;&gt;0,SUM(AR76,AS76),#N/A)</f>
        <v>#N/A</v>
      </c>
      <c r="BH76" s="286" t="e">
        <f t="shared" ref="BH76:BH79" si="362">IF(SUM(AT76,AU76)&lt;&gt;0,SUM(AT76,AU76),#N/A)</f>
        <v>#N/A</v>
      </c>
      <c r="BI76" s="286" t="e">
        <f t="shared" ref="BI76:BI79" si="363">IF(SUM(AV76,AW76)&lt;&gt;0,SUM(AV76,AW76),#N/A)</f>
        <v>#N/A</v>
      </c>
      <c r="BJ76" s="286" t="e">
        <f t="shared" ref="BJ76:BJ79" si="364">IF(SUM(AX76,AY76)&lt;&gt;0,SUM(AX76,AY76),#N/A)</f>
        <v>#N/A</v>
      </c>
      <c r="BK76" s="286" t="e">
        <f t="shared" ref="BK76:BK79" si="365">IF(SUM(AZ76,BA76)&lt;&gt;0,SUM(AZ76,BA76),#N/A)</f>
        <v>#N/A</v>
      </c>
      <c r="BL76" s="286" t="e">
        <f t="shared" ref="BL76:BL79" si="366">IF(SUM(BB76,BC76)&lt;&gt;0,SUM(BB76,BC76),#N/A)</f>
        <v>#N/A</v>
      </c>
      <c r="BM76" s="286" t="e">
        <f t="shared" ref="BM76:BM79" si="367">IF(SUM(BD76,BE76)&lt;&gt;0,SUM(BD76,BE76),#N/A)</f>
        <v>#N/A</v>
      </c>
    </row>
    <row r="77" spans="1:65" s="102" customFormat="1" ht="14.25" customHeight="1" outlineLevel="2" x14ac:dyDescent="0.2">
      <c r="A77" s="320" t="s">
        <v>226</v>
      </c>
      <c r="B77" s="347"/>
      <c r="C77" s="350"/>
      <c r="D77" s="344"/>
      <c r="E77" s="280" t="s">
        <v>26</v>
      </c>
      <c r="F77" s="60"/>
      <c r="G77" s="61"/>
      <c r="H77" s="61"/>
      <c r="I77" s="61"/>
      <c r="J77" s="61"/>
      <c r="K77" s="61"/>
      <c r="L77" s="61"/>
      <c r="M77" s="61"/>
      <c r="N77" s="61"/>
      <c r="O77" s="61"/>
      <c r="P77" s="61"/>
      <c r="Q77" s="62"/>
      <c r="R77" s="60"/>
      <c r="S77" s="61"/>
      <c r="T77" s="61"/>
      <c r="U77" s="61"/>
      <c r="V77" s="61"/>
      <c r="W77" s="61"/>
      <c r="X77" s="61"/>
      <c r="Y77" s="61"/>
      <c r="Z77" s="61"/>
      <c r="AA77" s="61"/>
      <c r="AB77" s="61"/>
      <c r="AC77" s="62"/>
      <c r="AD77" s="60"/>
      <c r="AE77" s="61"/>
      <c r="AF77" s="61"/>
      <c r="AG77" s="61"/>
      <c r="AH77" s="61"/>
      <c r="AI77" s="61"/>
      <c r="AJ77" s="61"/>
      <c r="AK77" s="61"/>
      <c r="AL77" s="61"/>
      <c r="AM77" s="61"/>
      <c r="AN77" s="61"/>
      <c r="AO77" s="62"/>
      <c r="AP77" s="231" t="str">
        <f>IFERROR(IF(SUM(F77:K77)&lt;&gt;0,SUM(F77:K77),""),"")</f>
        <v/>
      </c>
      <c r="AQ77" s="232" t="str">
        <f>IFERROR(IF(SUM(L77:Q77)&lt;&gt;0,SUM(L77:Q77),""),"")</f>
        <v/>
      </c>
      <c r="AR77" s="231" t="str">
        <f>IFERROR(IF(SUM(R77:W77)&lt;&gt;0,SUM(R77:W77),""),"")</f>
        <v/>
      </c>
      <c r="AS77" s="232" t="str">
        <f>IFERROR(IF(SUM(X77:AC77)&lt;&gt;0,SUM(X77:AC77),""),"")</f>
        <v/>
      </c>
      <c r="AT77" s="231" t="str">
        <f>IFERROR(IF(SUM(AD77:AI77)&lt;&gt;0,SUM(AD77:AI77),""),"")</f>
        <v/>
      </c>
      <c r="AU77" s="232" t="str">
        <f>IFERROR(IF(SUM(AJ77:AO77)&lt;&gt;0,SUM(AJ77:AO77),""),"")</f>
        <v/>
      </c>
      <c r="AV77" s="74"/>
      <c r="AW77" s="61"/>
      <c r="AX77" s="74"/>
      <c r="AY77" s="61"/>
      <c r="AZ77" s="74"/>
      <c r="BA77" s="61"/>
      <c r="BB77" s="74"/>
      <c r="BC77" s="61"/>
      <c r="BD77" s="74"/>
      <c r="BE77" s="267"/>
      <c r="BF77" s="287" t="e">
        <f t="shared" si="360"/>
        <v>#N/A</v>
      </c>
      <c r="BG77" s="287" t="e">
        <f t="shared" si="361"/>
        <v>#N/A</v>
      </c>
      <c r="BH77" s="287" t="e">
        <f t="shared" si="362"/>
        <v>#N/A</v>
      </c>
      <c r="BI77" s="287" t="e">
        <f t="shared" si="363"/>
        <v>#N/A</v>
      </c>
      <c r="BJ77" s="287" t="e">
        <f t="shared" si="364"/>
        <v>#N/A</v>
      </c>
      <c r="BK77" s="287" t="e">
        <f t="shared" si="365"/>
        <v>#N/A</v>
      </c>
      <c r="BL77" s="287" t="e">
        <f t="shared" si="366"/>
        <v>#N/A</v>
      </c>
      <c r="BM77" s="287" t="e">
        <f t="shared" si="367"/>
        <v>#N/A</v>
      </c>
    </row>
    <row r="78" spans="1:65" s="102" customFormat="1" ht="14.25" customHeight="1" outlineLevel="2" x14ac:dyDescent="0.2">
      <c r="A78" s="320" t="s">
        <v>226</v>
      </c>
      <c r="B78" s="347"/>
      <c r="C78" s="350"/>
      <c r="D78" s="344"/>
      <c r="E78" s="280" t="s">
        <v>27</v>
      </c>
      <c r="F78" s="60"/>
      <c r="G78" s="61"/>
      <c r="H78" s="61"/>
      <c r="I78" s="61"/>
      <c r="J78" s="61"/>
      <c r="K78" s="61"/>
      <c r="L78" s="61"/>
      <c r="M78" s="61"/>
      <c r="N78" s="61"/>
      <c r="O78" s="61"/>
      <c r="P78" s="61"/>
      <c r="Q78" s="62"/>
      <c r="R78" s="60"/>
      <c r="S78" s="61"/>
      <c r="T78" s="61"/>
      <c r="U78" s="61"/>
      <c r="V78" s="61"/>
      <c r="W78" s="61"/>
      <c r="X78" s="61"/>
      <c r="Y78" s="61"/>
      <c r="Z78" s="61"/>
      <c r="AA78" s="61"/>
      <c r="AB78" s="61"/>
      <c r="AC78" s="62"/>
      <c r="AD78" s="60"/>
      <c r="AE78" s="61"/>
      <c r="AF78" s="61"/>
      <c r="AG78" s="61"/>
      <c r="AH78" s="61"/>
      <c r="AI78" s="61"/>
      <c r="AJ78" s="61"/>
      <c r="AK78" s="61"/>
      <c r="AL78" s="61"/>
      <c r="AM78" s="61"/>
      <c r="AN78" s="61"/>
      <c r="AO78" s="62"/>
      <c r="AP78" s="231" t="str">
        <f>IFERROR(IF(SUM(F78:K78)&lt;&gt;0,SUM(F78:K78),""),"")</f>
        <v/>
      </c>
      <c r="AQ78" s="232" t="str">
        <f>IFERROR(IF(SUM(L78:Q78)&lt;&gt;0,SUM(L78:Q78),""),"")</f>
        <v/>
      </c>
      <c r="AR78" s="231" t="str">
        <f>IFERROR(IF(SUM(R78:W78)&lt;&gt;0,SUM(R78:W78),""),"")</f>
        <v/>
      </c>
      <c r="AS78" s="232" t="str">
        <f>IFERROR(IF(SUM(X78:AC78)&lt;&gt;0,SUM(X78:AC78),""),"")</f>
        <v/>
      </c>
      <c r="AT78" s="231" t="str">
        <f>IFERROR(IF(SUM(AD78:AI78)&lt;&gt;0,SUM(AD78:AI78),""),"")</f>
        <v/>
      </c>
      <c r="AU78" s="232" t="str">
        <f>IFERROR(IF(SUM(AJ78:AO78)&lt;&gt;0,SUM(AJ78:AO78),""),"")</f>
        <v/>
      </c>
      <c r="AV78" s="74"/>
      <c r="AW78" s="61"/>
      <c r="AX78" s="74"/>
      <c r="AY78" s="61"/>
      <c r="AZ78" s="74"/>
      <c r="BA78" s="61"/>
      <c r="BB78" s="74"/>
      <c r="BC78" s="61"/>
      <c r="BD78" s="74"/>
      <c r="BE78" s="267"/>
      <c r="BF78" s="287" t="e">
        <f t="shared" si="360"/>
        <v>#N/A</v>
      </c>
      <c r="BG78" s="287" t="e">
        <f t="shared" si="361"/>
        <v>#N/A</v>
      </c>
      <c r="BH78" s="287" t="e">
        <f t="shared" si="362"/>
        <v>#N/A</v>
      </c>
      <c r="BI78" s="287" t="e">
        <f t="shared" si="363"/>
        <v>#N/A</v>
      </c>
      <c r="BJ78" s="287" t="e">
        <f t="shared" si="364"/>
        <v>#N/A</v>
      </c>
      <c r="BK78" s="287" t="e">
        <f t="shared" si="365"/>
        <v>#N/A</v>
      </c>
      <c r="BL78" s="287" t="e">
        <f t="shared" si="366"/>
        <v>#N/A</v>
      </c>
      <c r="BM78" s="287" t="e">
        <f t="shared" si="367"/>
        <v>#N/A</v>
      </c>
    </row>
    <row r="79" spans="1:65" s="102" customFormat="1" ht="15" customHeight="1" outlineLevel="2" thickBot="1" x14ac:dyDescent="0.25">
      <c r="A79" s="320" t="s">
        <v>226</v>
      </c>
      <c r="B79" s="347"/>
      <c r="C79" s="350"/>
      <c r="D79" s="344"/>
      <c r="E79" s="281" t="s">
        <v>88</v>
      </c>
      <c r="F79" s="63"/>
      <c r="G79" s="48"/>
      <c r="H79" s="48"/>
      <c r="I79" s="48"/>
      <c r="J79" s="48"/>
      <c r="K79" s="48"/>
      <c r="L79" s="48"/>
      <c r="M79" s="48"/>
      <c r="N79" s="48"/>
      <c r="O79" s="48"/>
      <c r="P79" s="48"/>
      <c r="Q79" s="51"/>
      <c r="R79" s="63"/>
      <c r="S79" s="48"/>
      <c r="T79" s="48"/>
      <c r="U79" s="48"/>
      <c r="V79" s="48"/>
      <c r="W79" s="48"/>
      <c r="X79" s="48"/>
      <c r="Y79" s="48"/>
      <c r="Z79" s="48"/>
      <c r="AA79" s="48"/>
      <c r="AB79" s="48"/>
      <c r="AC79" s="51"/>
      <c r="AD79" s="63"/>
      <c r="AE79" s="48"/>
      <c r="AF79" s="48"/>
      <c r="AG79" s="48"/>
      <c r="AH79" s="48"/>
      <c r="AI79" s="48"/>
      <c r="AJ79" s="48"/>
      <c r="AK79" s="48"/>
      <c r="AL79" s="48"/>
      <c r="AM79" s="48"/>
      <c r="AN79" s="48"/>
      <c r="AO79" s="51"/>
      <c r="AP79" s="233" t="str">
        <f>IFERROR(IF(SUM(F79:K79)&lt;&gt;0,SUM(F79:K79),""),"")</f>
        <v/>
      </c>
      <c r="AQ79" s="234" t="str">
        <f>IFERROR(IF(SUM(L79:Q79)&lt;&gt;0,SUM(L79:Q79),""),"")</f>
        <v/>
      </c>
      <c r="AR79" s="233" t="str">
        <f>IFERROR(IF(SUM(R79:W79)&lt;&gt;0,SUM(R79:W79),""),"")</f>
        <v/>
      </c>
      <c r="AS79" s="234" t="str">
        <f>IFERROR(IF(SUM(X79:AC79)&lt;&gt;0,SUM(X79:AC79),""),"")</f>
        <v/>
      </c>
      <c r="AT79" s="233" t="str">
        <f>IFERROR(IF(SUM(AD79:AI79)&lt;&gt;0,SUM(AD79:AI79),""),"")</f>
        <v/>
      </c>
      <c r="AU79" s="234" t="str">
        <f>IFERROR(IF(SUM(AJ79:AO79)&lt;&gt;0,SUM(AJ79:AO79),""),"")</f>
        <v/>
      </c>
      <c r="AV79" s="75"/>
      <c r="AW79" s="76"/>
      <c r="AX79" s="75"/>
      <c r="AY79" s="76"/>
      <c r="AZ79" s="75"/>
      <c r="BA79" s="76"/>
      <c r="BB79" s="75"/>
      <c r="BC79" s="76"/>
      <c r="BD79" s="75"/>
      <c r="BE79" s="268"/>
      <c r="BF79" s="271" t="e">
        <f t="shared" si="360"/>
        <v>#N/A</v>
      </c>
      <c r="BG79" s="271" t="e">
        <f t="shared" si="361"/>
        <v>#N/A</v>
      </c>
      <c r="BH79" s="271" t="e">
        <f t="shared" si="362"/>
        <v>#N/A</v>
      </c>
      <c r="BI79" s="271" t="e">
        <f t="shared" si="363"/>
        <v>#N/A</v>
      </c>
      <c r="BJ79" s="271" t="e">
        <f t="shared" si="364"/>
        <v>#N/A</v>
      </c>
      <c r="BK79" s="271" t="e">
        <f t="shared" si="365"/>
        <v>#N/A</v>
      </c>
      <c r="BL79" s="271" t="e">
        <f t="shared" si="366"/>
        <v>#N/A</v>
      </c>
      <c r="BM79" s="271" t="e">
        <f t="shared" si="367"/>
        <v>#N/A</v>
      </c>
    </row>
    <row r="80" spans="1:65" s="102" customFormat="1" ht="14.25" customHeight="1" outlineLevel="2" x14ac:dyDescent="0.2">
      <c r="A80" s="320" t="s">
        <v>226</v>
      </c>
      <c r="B80" s="347"/>
      <c r="C80" s="350"/>
      <c r="D80" s="344"/>
      <c r="E80" s="279" t="s">
        <v>32</v>
      </c>
      <c r="F80" s="64"/>
      <c r="G80" s="65"/>
      <c r="H80" s="65"/>
      <c r="I80" s="65"/>
      <c r="J80" s="65"/>
      <c r="K80" s="65"/>
      <c r="L80" s="65"/>
      <c r="M80" s="65"/>
      <c r="N80" s="65"/>
      <c r="O80" s="65"/>
      <c r="P80" s="65"/>
      <c r="Q80" s="66"/>
      <c r="R80" s="64"/>
      <c r="S80" s="65"/>
      <c r="T80" s="65"/>
      <c r="U80" s="65"/>
      <c r="V80" s="65"/>
      <c r="W80" s="65"/>
      <c r="X80" s="65"/>
      <c r="Y80" s="65"/>
      <c r="Z80" s="65"/>
      <c r="AA80" s="65"/>
      <c r="AB80" s="65"/>
      <c r="AC80" s="66"/>
      <c r="AD80" s="64"/>
      <c r="AE80" s="65"/>
      <c r="AF80" s="65"/>
      <c r="AG80" s="65"/>
      <c r="AH80" s="65"/>
      <c r="AI80" s="65"/>
      <c r="AJ80" s="65"/>
      <c r="AK80" s="65"/>
      <c r="AL80" s="65"/>
      <c r="AM80" s="65"/>
      <c r="AN80" s="65"/>
      <c r="AO80" s="66"/>
      <c r="AP80" s="32" t="str">
        <f>IFERROR(IF(AVERAGE(F80:K80)&lt;&gt;0,AVERAGE(F80:K80),""),"")</f>
        <v/>
      </c>
      <c r="AQ80" s="235" t="str">
        <f>IFERROR(IF(AVERAGE(L80:Q80)&lt;&gt;0,AVERAGE(L80:Q80),""),"")</f>
        <v/>
      </c>
      <c r="AR80" s="32" t="str">
        <f>IFERROR(IF(AVERAGE(R80:W80)&lt;&gt;0,AVERAGE(R80:W80),""),"")</f>
        <v/>
      </c>
      <c r="AS80" s="235" t="str">
        <f>IFERROR(IF(AVERAGE(X80:AC80)&lt;&gt;0,AVERAGE(X80:AC80),""),"")</f>
        <v/>
      </c>
      <c r="AT80" s="32" t="str">
        <f>IFERROR(IF(AVERAGE(AD80:AI80)&lt;&gt;0,AVERAGE(AD80:AI80),""),"")</f>
        <v/>
      </c>
      <c r="AU80" s="235" t="str">
        <f>IFERROR(IF(AVERAGE(AJ80:AO80)&lt;&gt;0,AVERAGE(AJ80:AO80),""),"")</f>
        <v/>
      </c>
      <c r="AV80" s="77"/>
      <c r="AW80" s="65"/>
      <c r="AX80" s="77"/>
      <c r="AY80" s="65"/>
      <c r="AZ80" s="77"/>
      <c r="BA80" s="65"/>
      <c r="BB80" s="77"/>
      <c r="BC80" s="65"/>
      <c r="BD80" s="77"/>
      <c r="BE80" s="269"/>
      <c r="BF80" s="272" t="str">
        <f>IFERROR(IF(AVERAGE(AP80:AQ80)&lt;&gt;0,AVERAGE(AP80:AQ80),""),"")</f>
        <v/>
      </c>
      <c r="BG80" s="272" t="str">
        <f>IFERROR(IF(AVERAGE(AR80:AS80)&lt;&gt;0,AVERAGE(AR80:AS80),""),"")</f>
        <v/>
      </c>
      <c r="BH80" s="272" t="str">
        <f>IFERROR(IF(AVERAGE(AT80:AU80)&lt;&gt;0,AVERAGE(AT80:AU80),""),"")</f>
        <v/>
      </c>
      <c r="BI80" s="272" t="str">
        <f>IFERROR(IF(AVERAGE(AV80:AW80)&lt;&gt;0,AVERAGE(AV80:AW80),""),"")</f>
        <v/>
      </c>
      <c r="BJ80" s="272" t="str">
        <f>IFERROR(IF(AVERAGE(AX80:AY80)&lt;&gt;0,AVERAGE(AX80:AY80),""),"")</f>
        <v/>
      </c>
      <c r="BK80" s="272" t="str">
        <f>IFERROR(IF(AVERAGE(AZ80:BA80)&lt;&gt;0,AVERAGE(AZ80:BA80),""),"")</f>
        <v/>
      </c>
      <c r="BL80" s="272" t="str">
        <f>IFERROR(IF(AVERAGE(BB80:BC80)&lt;&gt;0,AVERAGE(BB80:BC80),""),"")</f>
        <v/>
      </c>
      <c r="BM80" s="272" t="str">
        <f>IFERROR(IF(AVERAGE(BD80:BE80)&lt;&gt;0,AVERAGE(BD80:BE80),""),"")</f>
        <v/>
      </c>
    </row>
    <row r="81" spans="1:65" s="102" customFormat="1" ht="15" customHeight="1" outlineLevel="2" thickBot="1" x14ac:dyDescent="0.25">
      <c r="A81" s="320" t="s">
        <v>226</v>
      </c>
      <c r="B81" s="347"/>
      <c r="C81" s="350"/>
      <c r="D81" s="344"/>
      <c r="E81" s="281" t="s">
        <v>2</v>
      </c>
      <c r="F81" s="67"/>
      <c r="G81" s="68"/>
      <c r="H81" s="68"/>
      <c r="I81" s="68"/>
      <c r="J81" s="68"/>
      <c r="K81" s="68"/>
      <c r="L81" s="68"/>
      <c r="M81" s="68"/>
      <c r="N81" s="68"/>
      <c r="O81" s="68"/>
      <c r="P81" s="68"/>
      <c r="Q81" s="69"/>
      <c r="R81" s="67"/>
      <c r="S81" s="68"/>
      <c r="T81" s="68"/>
      <c r="U81" s="68"/>
      <c r="V81" s="68"/>
      <c r="W81" s="68"/>
      <c r="X81" s="68"/>
      <c r="Y81" s="68"/>
      <c r="Z81" s="68"/>
      <c r="AA81" s="68"/>
      <c r="AB81" s="68"/>
      <c r="AC81" s="69"/>
      <c r="AD81" s="67"/>
      <c r="AE81" s="68"/>
      <c r="AF81" s="68"/>
      <c r="AG81" s="68"/>
      <c r="AH81" s="68"/>
      <c r="AI81" s="68"/>
      <c r="AJ81" s="68"/>
      <c r="AK81" s="68"/>
      <c r="AL81" s="68"/>
      <c r="AM81" s="68"/>
      <c r="AN81" s="68"/>
      <c r="AO81" s="69"/>
      <c r="AP81" s="236" t="str">
        <f>IFERROR(IF(AVERAGE(F81:K81)&lt;&gt;0,AVERAGE(F81:K81),""),"")</f>
        <v/>
      </c>
      <c r="AQ81" s="237" t="str">
        <f>IFERROR(IF(AVERAGE(L81:Q81)&lt;&gt;0,AVERAGE(L81:Q81),""),"")</f>
        <v/>
      </c>
      <c r="AR81" s="236" t="str">
        <f>IFERROR(IF(AVERAGE(R81:W81)&lt;&gt;0,AVERAGE(R81:W81),""),"")</f>
        <v/>
      </c>
      <c r="AS81" s="237" t="str">
        <f>IFERROR(IF(AVERAGE(X81:AC81)&lt;&gt;0,AVERAGE(X81:AC81),""),"")</f>
        <v/>
      </c>
      <c r="AT81" s="236" t="str">
        <f>IFERROR(IF(AVERAGE(AD81:AI81)&lt;&gt;0,AVERAGE(AD81:AI81),""),"")</f>
        <v/>
      </c>
      <c r="AU81" s="237" t="str">
        <f>IFERROR(IF(AVERAGE(AJ81:AO81)&lt;&gt;0,AVERAGE(AJ81:AO81),""),"")</f>
        <v/>
      </c>
      <c r="AV81" s="78"/>
      <c r="AW81" s="68"/>
      <c r="AX81" s="78"/>
      <c r="AY81" s="68"/>
      <c r="AZ81" s="78"/>
      <c r="BA81" s="68"/>
      <c r="BB81" s="78"/>
      <c r="BC81" s="68"/>
      <c r="BD81" s="78"/>
      <c r="BE81" s="270"/>
      <c r="BF81" s="288" t="str">
        <f>IFERROR(IF(AVERAGE(AP81:AQ81)&lt;&gt;0,AVERAGE(AP81:AQ81),""),"")</f>
        <v/>
      </c>
      <c r="BG81" s="288" t="str">
        <f>IFERROR(IF(AVERAGE(AR81:AS81)&lt;&gt;0,AVERAGE(AR81:AS81),""),"")</f>
        <v/>
      </c>
      <c r="BH81" s="288" t="str">
        <f>IFERROR(IF(AVERAGE(AT81:AU81)&lt;&gt;0,AVERAGE(AT81:AU81),""),"")</f>
        <v/>
      </c>
      <c r="BI81" s="288" t="str">
        <f>IFERROR(IF(AVERAGE(AV81:AW81)&lt;&gt;0,AVERAGE(AV81:AW81),""),"")</f>
        <v/>
      </c>
      <c r="BJ81" s="288" t="str">
        <f>IFERROR(IF(AVERAGE(AX81:AY81)&lt;&gt;0,AVERAGE(AX81:AY81),""),"")</f>
        <v/>
      </c>
      <c r="BK81" s="288" t="str">
        <f>IFERROR(IF(AVERAGE(AZ81:BA81)&lt;&gt;0,AVERAGE(AZ81:BA81),""),"")</f>
        <v/>
      </c>
      <c r="BL81" s="288" t="str">
        <f>IFERROR(IF(AVERAGE(BB81:BC81)&lt;&gt;0,AVERAGE(BB81:BC81),""),"")</f>
        <v/>
      </c>
      <c r="BM81" s="288" t="str">
        <f>IFERROR(IF(AVERAGE(BD81:BE81)&lt;&gt;0,AVERAGE(BD81:BE81),""),"")</f>
        <v/>
      </c>
    </row>
    <row r="82" spans="1:65" s="102" customFormat="1" ht="14.25" customHeight="1" outlineLevel="1" x14ac:dyDescent="0.2">
      <c r="A82" s="320" t="s">
        <v>226</v>
      </c>
      <c r="B82" s="347"/>
      <c r="C82" s="350"/>
      <c r="D82" s="344"/>
      <c r="E82" s="282" t="s">
        <v>228</v>
      </c>
      <c r="F82" s="283" t="str">
        <f ca="1">IF(IFERROR((F$11*(F74-SUM(F76:F79)/F$11)*F81*3600)/(F80),"")&gt;0,IFERROR((F$11*(F74-SUM(F76:F79)/F$11)*F81*3600)/(F80),""),"")</f>
        <v/>
      </c>
      <c r="G82" s="284" t="str">
        <f t="shared" ref="G82" ca="1" si="368">IF(IFERROR((G$11*(G74-SUM(G76:G79)/G$11)*G81*3600)/(G80),"")&gt;0,IFERROR((G$11*(G74-SUM(G76:G79)/G$11)*G81*3600)/(G80),""),"")</f>
        <v/>
      </c>
      <c r="H82" s="284" t="str">
        <f t="shared" ref="H82" ca="1" si="369">IF(IFERROR((H$11*(H74-SUM(H76:H79)/H$11)*H81*3600)/(H80),"")&gt;0,IFERROR((H$11*(H74-SUM(H76:H79)/H$11)*H81*3600)/(H80),""),"")</f>
        <v/>
      </c>
      <c r="I82" s="284" t="str">
        <f t="shared" ref="I82" ca="1" si="370">IF(IFERROR((I$11*(I74-SUM(I76:I79)/I$11)*I81*3600)/(I80),"")&gt;0,IFERROR((I$11*(I74-SUM(I76:I79)/I$11)*I81*3600)/(I80),""),"")</f>
        <v/>
      </c>
      <c r="J82" s="284" t="str">
        <f t="shared" ref="J82" ca="1" si="371">IF(IFERROR((J$11*(J74-SUM(J76:J79)/J$11)*J81*3600)/(J80),"")&gt;0,IFERROR((J$11*(J74-SUM(J76:J79)/J$11)*J81*3600)/(J80),""),"")</f>
        <v/>
      </c>
      <c r="K82" s="284" t="str">
        <f t="shared" ref="K82" ca="1" si="372">IF(IFERROR((K$11*(K74-SUM(K76:K79)/K$11)*K81*3600)/(K80),"")&gt;0,IFERROR((K$11*(K74-SUM(K76:K79)/K$11)*K81*3600)/(K80),""),"")</f>
        <v/>
      </c>
      <c r="L82" s="284" t="str">
        <f t="shared" ref="L82" ca="1" si="373">IF(IFERROR((L$11*(L74-SUM(L76:L79)/L$11)*L81*3600)/(L80),"")&gt;0,IFERROR((L$11*(L74-SUM(L76:L79)/L$11)*L81*3600)/(L80),""),"")</f>
        <v/>
      </c>
      <c r="M82" s="284" t="str">
        <f t="shared" ref="M82" ca="1" si="374">IF(IFERROR((M$11*(M74-SUM(M76:M79)/M$11)*M81*3600)/(M80),"")&gt;0,IFERROR((M$11*(M74-SUM(M76:M79)/M$11)*M81*3600)/(M80),""),"")</f>
        <v/>
      </c>
      <c r="N82" s="284" t="str">
        <f t="shared" ref="N82" ca="1" si="375">IF(IFERROR((N$11*(N74-SUM(N76:N79)/N$11)*N81*3600)/(N80),"")&gt;0,IFERROR((N$11*(N74-SUM(N76:N79)/N$11)*N81*3600)/(N80),""),"")</f>
        <v/>
      </c>
      <c r="O82" s="284" t="str">
        <f t="shared" ref="O82" ca="1" si="376">IF(IFERROR((O$11*(O74-SUM(O76:O79)/O$11)*O81*3600)/(O80),"")&gt;0,IFERROR((O$11*(O74-SUM(O76:O79)/O$11)*O81*3600)/(O80),""),"")</f>
        <v/>
      </c>
      <c r="P82" s="284" t="str">
        <f t="shared" ref="P82" ca="1" si="377">IF(IFERROR((P$11*(P74-SUM(P76:P79)/P$11)*P81*3600)/(P80),"")&gt;0,IFERROR((P$11*(P74-SUM(P76:P79)/P$11)*P81*3600)/(P80),""),"")</f>
        <v/>
      </c>
      <c r="Q82" s="284" t="str">
        <f t="shared" ref="Q82" ca="1" si="378">IF(IFERROR((Q$11*(Q74-SUM(Q76:Q79)/Q$11)*Q81*3600)/(Q80),"")&gt;0,IFERROR((Q$11*(Q74-SUM(Q76:Q79)/Q$11)*Q81*3600)/(Q80),""),"")</f>
        <v/>
      </c>
      <c r="R82" s="283" t="str">
        <f t="shared" ref="R82" ca="1" si="379">IF(IFERROR((R$11*(R74-SUM(R76:R79)/R$11)*R81*3600)/(R80),"")&gt;0,IFERROR((R$11*(R74-SUM(R76:R79)/R$11)*R81*3600)/(R80),""),"")</f>
        <v/>
      </c>
      <c r="S82" s="284" t="str">
        <f t="shared" ref="S82" ca="1" si="380">IF(IFERROR((S$11*(S74-SUM(S76:S79)/S$11)*S81*3600)/(S80),"")&gt;0,IFERROR((S$11*(S74-SUM(S76:S79)/S$11)*S81*3600)/(S80),""),"")</f>
        <v/>
      </c>
      <c r="T82" s="284" t="str">
        <f t="shared" ref="T82" ca="1" si="381">IF(IFERROR((T$11*(T74-SUM(T76:T79)/T$11)*T81*3600)/(T80),"")&gt;0,IFERROR((T$11*(T74-SUM(T76:T79)/T$11)*T81*3600)/(T80),""),"")</f>
        <v/>
      </c>
      <c r="U82" s="284" t="str">
        <f t="shared" ref="U82" ca="1" si="382">IF(IFERROR((U$11*(U74-SUM(U76:U79)/U$11)*U81*3600)/(U80),"")&gt;0,IFERROR((U$11*(U74-SUM(U76:U79)/U$11)*U81*3600)/(U80),""),"")</f>
        <v/>
      </c>
      <c r="V82" s="284" t="str">
        <f t="shared" ref="V82" ca="1" si="383">IF(IFERROR((V$11*(V74-SUM(V76:V79)/V$11)*V81*3600)/(V80),"")&gt;0,IFERROR((V$11*(V74-SUM(V76:V79)/V$11)*V81*3600)/(V80),""),"")</f>
        <v/>
      </c>
      <c r="W82" s="284" t="str">
        <f t="shared" ref="W82" ca="1" si="384">IF(IFERROR((W$11*(W74-SUM(W76:W79)/W$11)*W81*3600)/(W80),"")&gt;0,IFERROR((W$11*(W74-SUM(W76:W79)/W$11)*W81*3600)/(W80),""),"")</f>
        <v/>
      </c>
      <c r="X82" s="284" t="str">
        <f t="shared" ref="X82" ca="1" si="385">IF(IFERROR((X$11*(X74-SUM(X76:X79)/X$11)*X81*3600)/(X80),"")&gt;0,IFERROR((X$11*(X74-SUM(X76:X79)/X$11)*X81*3600)/(X80),""),"")</f>
        <v/>
      </c>
      <c r="Y82" s="284" t="str">
        <f t="shared" ref="Y82" ca="1" si="386">IF(IFERROR((Y$11*(Y74-SUM(Y76:Y79)/Y$11)*Y81*3600)/(Y80),"")&gt;0,IFERROR((Y$11*(Y74-SUM(Y76:Y79)/Y$11)*Y81*3600)/(Y80),""),"")</f>
        <v/>
      </c>
      <c r="Z82" s="284" t="str">
        <f t="shared" ref="Z82" ca="1" si="387">IF(IFERROR((Z$11*(Z74-SUM(Z76:Z79)/Z$11)*Z81*3600)/(Z80),"")&gt;0,IFERROR((Z$11*(Z74-SUM(Z76:Z79)/Z$11)*Z81*3600)/(Z80),""),"")</f>
        <v/>
      </c>
      <c r="AA82" s="284" t="str">
        <f t="shared" ref="AA82" ca="1" si="388">IF(IFERROR((AA$11*(AA74-SUM(AA76:AA79)/AA$11)*AA81*3600)/(AA80),"")&gt;0,IFERROR((AA$11*(AA74-SUM(AA76:AA79)/AA$11)*AA81*3600)/(AA80),""),"")</f>
        <v/>
      </c>
      <c r="AB82" s="284" t="str">
        <f t="shared" ref="AB82" ca="1" si="389">IF(IFERROR((AB$11*(AB74-SUM(AB76:AB79)/AB$11)*AB81*3600)/(AB80),"")&gt;0,IFERROR((AB$11*(AB74-SUM(AB76:AB79)/AB$11)*AB81*3600)/(AB80),""),"")</f>
        <v/>
      </c>
      <c r="AC82" s="284" t="str">
        <f t="shared" ref="AC82" ca="1" si="390">IF(IFERROR((AC$11*(AC74-SUM(AC76:AC79)/AC$11)*AC81*3600)/(AC80),"")&gt;0,IFERROR((AC$11*(AC74-SUM(AC76:AC79)/AC$11)*AC81*3600)/(AC80),""),"")</f>
        <v/>
      </c>
      <c r="AD82" s="283" t="str">
        <f t="shared" ref="AD82" ca="1" si="391">IF(IFERROR((AD$11*(AD74-SUM(AD76:AD79)/AD$11)*AD81*3600)/(AD80),"")&gt;0,IFERROR((AD$11*(AD74-SUM(AD76:AD79)/AD$11)*AD81*3600)/(AD80),""),"")</f>
        <v/>
      </c>
      <c r="AE82" s="284" t="str">
        <f t="shared" ref="AE82" ca="1" si="392">IF(IFERROR((AE$11*(AE74-SUM(AE76:AE79)/AE$11)*AE81*3600)/(AE80),"")&gt;0,IFERROR((AE$11*(AE74-SUM(AE76:AE79)/AE$11)*AE81*3600)/(AE80),""),"")</f>
        <v/>
      </c>
      <c r="AF82" s="284" t="str">
        <f t="shared" ref="AF82" ca="1" si="393">IF(IFERROR((AF$11*(AF74-SUM(AF76:AF79)/AF$11)*AF81*3600)/(AF80),"")&gt;0,IFERROR((AF$11*(AF74-SUM(AF76:AF79)/AF$11)*AF81*3600)/(AF80),""),"")</f>
        <v/>
      </c>
      <c r="AG82" s="284" t="str">
        <f t="shared" ref="AG82" ca="1" si="394">IF(IFERROR((AG$11*(AG74-SUM(AG76:AG79)/AG$11)*AG81*3600)/(AG80),"")&gt;0,IFERROR((AG$11*(AG74-SUM(AG76:AG79)/AG$11)*AG81*3600)/(AG80),""),"")</f>
        <v/>
      </c>
      <c r="AH82" s="284" t="str">
        <f t="shared" ref="AH82" ca="1" si="395">IF(IFERROR((AH$11*(AH74-SUM(AH76:AH79)/AH$11)*AH81*3600)/(AH80),"")&gt;0,IFERROR((AH$11*(AH74-SUM(AH76:AH79)/AH$11)*AH81*3600)/(AH80),""),"")</f>
        <v/>
      </c>
      <c r="AI82" s="284" t="str">
        <f t="shared" ref="AI82" ca="1" si="396">IF(IFERROR((AI$11*(AI74-SUM(AI76:AI79)/AI$11)*AI81*3600)/(AI80),"")&gt;0,IFERROR((AI$11*(AI74-SUM(AI76:AI79)/AI$11)*AI81*3600)/(AI80),""),"")</f>
        <v/>
      </c>
      <c r="AJ82" s="284" t="str">
        <f t="shared" ref="AJ82" ca="1" si="397">IF(IFERROR((AJ$11*(AJ74-SUM(AJ76:AJ79)/AJ$11)*AJ81*3600)/(AJ80),"")&gt;0,IFERROR((AJ$11*(AJ74-SUM(AJ76:AJ79)/AJ$11)*AJ81*3600)/(AJ80),""),"")</f>
        <v/>
      </c>
      <c r="AK82" s="284" t="str">
        <f t="shared" ref="AK82" ca="1" si="398">IF(IFERROR((AK$11*(AK74-SUM(AK76:AK79)/AK$11)*AK81*3600)/(AK80),"")&gt;0,IFERROR((AK$11*(AK74-SUM(AK76:AK79)/AK$11)*AK81*3600)/(AK80),""),"")</f>
        <v/>
      </c>
      <c r="AL82" s="284" t="str">
        <f t="shared" ref="AL82" ca="1" si="399">IF(IFERROR((AL$11*(AL74-SUM(AL76:AL79)/AL$11)*AL81*3600)/(AL80),"")&gt;0,IFERROR((AL$11*(AL74-SUM(AL76:AL79)/AL$11)*AL81*3600)/(AL80),""),"")</f>
        <v/>
      </c>
      <c r="AM82" s="284" t="str">
        <f t="shared" ref="AM82" ca="1" si="400">IF(IFERROR((AM$11*(AM74-SUM(AM76:AM79)/AM$11)*AM81*3600)/(AM80),"")&gt;0,IFERROR((AM$11*(AM74-SUM(AM76:AM79)/AM$11)*AM81*3600)/(AM80),""),"")</f>
        <v/>
      </c>
      <c r="AN82" s="284" t="str">
        <f t="shared" ref="AN82" ca="1" si="401">IF(IFERROR((AN$11*(AN74-SUM(AN76:AN79)/AN$11)*AN81*3600)/(AN80),"")&gt;0,IFERROR((AN$11*(AN74-SUM(AN76:AN79)/AN$11)*AN81*3600)/(AN80),""),"")</f>
        <v/>
      </c>
      <c r="AO82" s="284" t="str">
        <f t="shared" ref="AO82" ca="1" si="402">IF(IFERROR((AO$11*(AO74-SUM(AO76:AO79)/AO$11)*AO81*3600)/(AO80),"")&gt;0,IFERROR((AO$11*(AO74-SUM(AO76:AO79)/AO$11)*AO81*3600)/(AO80),""),"")</f>
        <v/>
      </c>
      <c r="AP82" s="283" t="e">
        <f t="shared" ref="AP82:AP83" ca="1" si="403">IF(SUM(F82:K82)&lt;&gt;0,SUM(F82:K82),#N/A)</f>
        <v>#N/A</v>
      </c>
      <c r="AQ82" s="284" t="e">
        <f t="shared" ref="AQ82:AQ83" ca="1" si="404">IF(SUM(L82:Q82)&lt;&gt;0,SUM(L82:Q82),#N/A)</f>
        <v>#N/A</v>
      </c>
      <c r="AR82" s="283" t="e">
        <f t="shared" ref="AR82:AR83" ca="1" si="405">IF(SUM(R82:W82)&lt;&gt;0,SUM(R82:W82),#N/A)</f>
        <v>#N/A</v>
      </c>
      <c r="AS82" s="284" t="e">
        <f t="shared" ref="AS82:AS83" ca="1" si="406">IF(SUM(X82:AC82)&lt;&gt;0,SUM(X82:AC82),#N/A)</f>
        <v>#N/A</v>
      </c>
      <c r="AT82" s="283" t="e">
        <f t="shared" ref="AT82:AT83" ca="1" si="407">IF(SUM(AD82:AI82)&lt;&gt;0,SUM(AD82:AI82),#N/A)</f>
        <v>#N/A</v>
      </c>
      <c r="AU82" s="284" t="e">
        <f t="shared" ref="AU82:AU83" ca="1" si="408">IF(SUM(AJ82:AO82)&lt;&gt;0,SUM(AJ82:AO82),#N/A)</f>
        <v>#N/A</v>
      </c>
      <c r="AV82" s="283" t="str">
        <f ca="1">IF(IFERROR((AV$11*(AV74-SUM(AV76:AV79)/AV$11)*AV81*3600)/(AV80),"")&lt;&gt;0,IFERROR((AV$11*(AV74-SUM(AV76:AV79)/AV$11)*AV81*3600)/(AV80),""),"")</f>
        <v/>
      </c>
      <c r="AW82" s="284" t="str">
        <f t="shared" ref="AW82" ca="1" si="409">IF(IFERROR((AW$11*(AW74-SUM(AW76:AW79)/AW$11)*AW81*3600)/(AW80),"")&lt;&gt;0,IFERROR((AW$11*(AW74-SUM(AW76:AW79)/AW$11)*AW81*3600)/(AW80),""),"")</f>
        <v/>
      </c>
      <c r="AX82" s="283" t="str">
        <f t="shared" ref="AX82" ca="1" si="410">IF(IFERROR((AX$11*(AX74-SUM(AX76:AX79)/AX$11)*AX81*3600)/(AX80),"")&lt;&gt;0,IFERROR((AX$11*(AX74-SUM(AX76:AX79)/AX$11)*AX81*3600)/(AX80),""),"")</f>
        <v/>
      </c>
      <c r="AY82" s="284" t="str">
        <f t="shared" ref="AY82" ca="1" si="411">IF(IFERROR((AY$11*(AY74-SUM(AY76:AY79)/AY$11)*AY81*3600)/(AY80),"")&lt;&gt;0,IFERROR((AY$11*(AY74-SUM(AY76:AY79)/AY$11)*AY81*3600)/(AY80),""),"")</f>
        <v/>
      </c>
      <c r="AZ82" s="283" t="str">
        <f t="shared" ref="AZ82" ca="1" si="412">IF(IFERROR((AZ$11*(AZ74-SUM(AZ76:AZ79)/AZ$11)*AZ81*3600)/(AZ80),"")&lt;&gt;0,IFERROR((AZ$11*(AZ74-SUM(AZ76:AZ79)/AZ$11)*AZ81*3600)/(AZ80),""),"")</f>
        <v/>
      </c>
      <c r="BA82" s="284" t="str">
        <f t="shared" ref="BA82" ca="1" si="413">IF(IFERROR((BA$11*(BA74-SUM(BA76:BA79)/BA$11)*BA81*3600)/(BA80),"")&lt;&gt;0,IFERROR((BA$11*(BA74-SUM(BA76:BA79)/BA$11)*BA81*3600)/(BA80),""),"")</f>
        <v/>
      </c>
      <c r="BB82" s="283" t="str">
        <f t="shared" ref="BB82" ca="1" si="414">IF(IFERROR((BB$11*(BB74-SUM(BB76:BB79)/BB$11)*BB81*3600)/(BB80),"")&lt;&gt;0,IFERROR((BB$11*(BB74-SUM(BB76:BB79)/BB$11)*BB81*3600)/(BB80),""),"")</f>
        <v/>
      </c>
      <c r="BC82" s="284" t="str">
        <f t="shared" ref="BC82" ca="1" si="415">IF(IFERROR((BC$11*(BC74-SUM(BC76:BC79)/BC$11)*BC81*3600)/(BC80),"")&lt;&gt;0,IFERROR((BC$11*(BC74-SUM(BC76:BC79)/BC$11)*BC81*3600)/(BC80),""),"")</f>
        <v/>
      </c>
      <c r="BD82" s="283" t="str">
        <f t="shared" ref="BD82" ca="1" si="416">IF(IFERROR((BD$11*(BD74-SUM(BD76:BD79)/BD$11)*BD81*3600)/(BD80),"")&lt;&gt;0,IFERROR((BD$11*(BD74-SUM(BD76:BD79)/BD$11)*BD81*3600)/(BD80),""),"")</f>
        <v/>
      </c>
      <c r="BE82" s="285" t="str">
        <f t="shared" ref="BE82" ca="1" si="417">IF(IFERROR((BE$11*(BE74-SUM(BE76:BE79)/BE$11)*BE81*3600)/(BE80),"")&lt;&gt;0,IFERROR((BE$11*(BE74-SUM(BE76:BE79)/BE$11)*BE81*3600)/(BE80),""),"")</f>
        <v/>
      </c>
      <c r="BF82" s="285" t="e">
        <f t="shared" ref="BF82:BF83" ca="1" si="418">IF(SUM(AP82,AQ82)&lt;&gt;0,SUM(AP82,AQ82),#N/A)</f>
        <v>#N/A</v>
      </c>
      <c r="BG82" s="285" t="e">
        <f t="shared" ref="BG82:BG83" ca="1" si="419">IF(SUM(AR82,AS82)&lt;&gt;0,SUM(AR82,AS82),#N/A)</f>
        <v>#N/A</v>
      </c>
      <c r="BH82" s="285" t="e">
        <f t="shared" ref="BH82:BH83" ca="1" si="420">IF(SUM(AT82,AU82)&lt;&gt;0,SUM(AT82,AU82),#N/A)</f>
        <v>#N/A</v>
      </c>
      <c r="BI82" s="285" t="e">
        <f t="shared" ref="BI82:BI83" ca="1" si="421">IF(SUM(AV82,AW82)&lt;&gt;0,SUM(AV82,AW82),#N/A)</f>
        <v>#N/A</v>
      </c>
      <c r="BJ82" s="285" t="e">
        <f t="shared" ref="BJ82:BJ83" ca="1" si="422">IF(SUM(AX82,AY82)&lt;&gt;0,SUM(AX82,AY82),#N/A)</f>
        <v>#N/A</v>
      </c>
      <c r="BK82" s="285" t="e">
        <f t="shared" ref="BK82:BK83" ca="1" si="423">IF(SUM(AZ82,BA82)&lt;&gt;0,SUM(AZ82,BA82),#N/A)</f>
        <v>#N/A</v>
      </c>
      <c r="BL82" s="285" t="e">
        <f t="shared" ref="BL82:BL83" ca="1" si="424">IF(SUM(BB82,BC82)&lt;&gt;0,SUM(BB82,BC82),#N/A)</f>
        <v>#N/A</v>
      </c>
      <c r="BM82" s="285" t="e">
        <f t="shared" ref="BM82:BM83" ca="1" si="425">IF(SUM(BD82,BE82)&lt;&gt;0,SUM(BD82,BE82),#N/A)</f>
        <v>#N/A</v>
      </c>
    </row>
    <row r="83" spans="1:65" s="102" customFormat="1" ht="15" customHeight="1" outlineLevel="1" thickBot="1" x14ac:dyDescent="0.25">
      <c r="A83" s="320" t="s">
        <v>226</v>
      </c>
      <c r="B83" s="348"/>
      <c r="C83" s="351"/>
      <c r="D83" s="345"/>
      <c r="E83" s="104" t="s">
        <v>225</v>
      </c>
      <c r="F83" s="36" t="str">
        <f ca="1">IFERROR(F82+((F73*F75*F81*3600)/(F80)),"")</f>
        <v/>
      </c>
      <c r="G83" s="37" t="str">
        <f t="shared" ref="G83:AO83" ca="1" si="426">IFERROR(G82+((G73*G75*G81*3600)/(G80)),"")</f>
        <v/>
      </c>
      <c r="H83" s="37" t="str">
        <f t="shared" ca="1" si="426"/>
        <v/>
      </c>
      <c r="I83" s="37" t="str">
        <f t="shared" ca="1" si="426"/>
        <v/>
      </c>
      <c r="J83" s="37" t="str">
        <f t="shared" ca="1" si="426"/>
        <v/>
      </c>
      <c r="K83" s="37" t="str">
        <f t="shared" ca="1" si="426"/>
        <v/>
      </c>
      <c r="L83" s="37" t="str">
        <f t="shared" ca="1" si="426"/>
        <v/>
      </c>
      <c r="M83" s="37" t="str">
        <f t="shared" ca="1" si="426"/>
        <v/>
      </c>
      <c r="N83" s="37" t="str">
        <f t="shared" ca="1" si="426"/>
        <v/>
      </c>
      <c r="O83" s="37" t="str">
        <f t="shared" ca="1" si="426"/>
        <v/>
      </c>
      <c r="P83" s="37" t="str">
        <f t="shared" ca="1" si="426"/>
        <v/>
      </c>
      <c r="Q83" s="37" t="str">
        <f t="shared" ca="1" si="426"/>
        <v/>
      </c>
      <c r="R83" s="36" t="str">
        <f t="shared" ca="1" si="426"/>
        <v/>
      </c>
      <c r="S83" s="37" t="str">
        <f t="shared" ca="1" si="426"/>
        <v/>
      </c>
      <c r="T83" s="37" t="str">
        <f t="shared" ca="1" si="426"/>
        <v/>
      </c>
      <c r="U83" s="37" t="str">
        <f t="shared" ca="1" si="426"/>
        <v/>
      </c>
      <c r="V83" s="37" t="str">
        <f t="shared" ca="1" si="426"/>
        <v/>
      </c>
      <c r="W83" s="37" t="str">
        <f t="shared" ca="1" si="426"/>
        <v/>
      </c>
      <c r="X83" s="37" t="str">
        <f t="shared" ca="1" si="426"/>
        <v/>
      </c>
      <c r="Y83" s="37" t="str">
        <f t="shared" ca="1" si="426"/>
        <v/>
      </c>
      <c r="Z83" s="37" t="str">
        <f t="shared" ca="1" si="426"/>
        <v/>
      </c>
      <c r="AA83" s="37" t="str">
        <f t="shared" ca="1" si="426"/>
        <v/>
      </c>
      <c r="AB83" s="37" t="str">
        <f t="shared" ca="1" si="426"/>
        <v/>
      </c>
      <c r="AC83" s="37" t="str">
        <f t="shared" ca="1" si="426"/>
        <v/>
      </c>
      <c r="AD83" s="36" t="str">
        <f t="shared" ca="1" si="426"/>
        <v/>
      </c>
      <c r="AE83" s="37" t="str">
        <f t="shared" ca="1" si="426"/>
        <v/>
      </c>
      <c r="AF83" s="37" t="str">
        <f t="shared" ca="1" si="426"/>
        <v/>
      </c>
      <c r="AG83" s="37" t="str">
        <f t="shared" ca="1" si="426"/>
        <v/>
      </c>
      <c r="AH83" s="37" t="str">
        <f t="shared" ca="1" si="426"/>
        <v/>
      </c>
      <c r="AI83" s="37" t="str">
        <f t="shared" ca="1" si="426"/>
        <v/>
      </c>
      <c r="AJ83" s="37" t="str">
        <f t="shared" ca="1" si="426"/>
        <v/>
      </c>
      <c r="AK83" s="37" t="str">
        <f t="shared" ca="1" si="426"/>
        <v/>
      </c>
      <c r="AL83" s="37" t="str">
        <f t="shared" ca="1" si="426"/>
        <v/>
      </c>
      <c r="AM83" s="37" t="str">
        <f t="shared" ca="1" si="426"/>
        <v/>
      </c>
      <c r="AN83" s="37" t="str">
        <f t="shared" ca="1" si="426"/>
        <v/>
      </c>
      <c r="AO83" s="37" t="str">
        <f t="shared" ca="1" si="426"/>
        <v/>
      </c>
      <c r="AP83" s="36" t="e">
        <f t="shared" ca="1" si="403"/>
        <v>#N/A</v>
      </c>
      <c r="AQ83" s="37" t="e">
        <f t="shared" ca="1" si="404"/>
        <v>#N/A</v>
      </c>
      <c r="AR83" s="36" t="e">
        <f t="shared" ca="1" si="405"/>
        <v>#N/A</v>
      </c>
      <c r="AS83" s="37" t="e">
        <f t="shared" ca="1" si="406"/>
        <v>#N/A</v>
      </c>
      <c r="AT83" s="36" t="e">
        <f t="shared" ca="1" si="407"/>
        <v>#N/A</v>
      </c>
      <c r="AU83" s="37" t="e">
        <f t="shared" ca="1" si="408"/>
        <v>#N/A</v>
      </c>
      <c r="AV83" s="36" t="str">
        <f t="shared" ref="AV83:BE83" ca="1" si="427">IFERROR(AV82+((AV73*AV75*AV81*3600)/(AV80)),"")</f>
        <v/>
      </c>
      <c r="AW83" s="37" t="str">
        <f t="shared" ca="1" si="427"/>
        <v/>
      </c>
      <c r="AX83" s="36" t="str">
        <f t="shared" ca="1" si="427"/>
        <v/>
      </c>
      <c r="AY83" s="37" t="str">
        <f t="shared" ca="1" si="427"/>
        <v/>
      </c>
      <c r="AZ83" s="36" t="str">
        <f t="shared" ca="1" si="427"/>
        <v/>
      </c>
      <c r="BA83" s="37" t="str">
        <f t="shared" ca="1" si="427"/>
        <v/>
      </c>
      <c r="BB83" s="36" t="str">
        <f t="shared" ca="1" si="427"/>
        <v/>
      </c>
      <c r="BC83" s="37" t="str">
        <f t="shared" ca="1" si="427"/>
        <v/>
      </c>
      <c r="BD83" s="36" t="str">
        <f t="shared" ca="1" si="427"/>
        <v/>
      </c>
      <c r="BE83" s="43" t="str">
        <f t="shared" ca="1" si="427"/>
        <v/>
      </c>
      <c r="BF83" s="43" t="e">
        <f t="shared" ca="1" si="418"/>
        <v>#N/A</v>
      </c>
      <c r="BG83" s="43" t="e">
        <f t="shared" ca="1" si="419"/>
        <v>#N/A</v>
      </c>
      <c r="BH83" s="43" t="e">
        <f t="shared" ca="1" si="420"/>
        <v>#N/A</v>
      </c>
      <c r="BI83" s="43" t="e">
        <f t="shared" ca="1" si="421"/>
        <v>#N/A</v>
      </c>
      <c r="BJ83" s="43" t="e">
        <f t="shared" ca="1" si="422"/>
        <v>#N/A</v>
      </c>
      <c r="BK83" s="43" t="e">
        <f t="shared" ca="1" si="423"/>
        <v>#N/A</v>
      </c>
      <c r="BL83" s="43" t="e">
        <f t="shared" ca="1" si="424"/>
        <v>#N/A</v>
      </c>
      <c r="BM83" s="43" t="e">
        <f t="shared" ca="1" si="425"/>
        <v>#N/A</v>
      </c>
    </row>
    <row r="84" spans="1:65" s="102" customFormat="1" ht="22.5" outlineLevel="2" x14ac:dyDescent="0.2">
      <c r="A84" s="320" t="s">
        <v>226</v>
      </c>
      <c r="B84" s="346"/>
      <c r="C84" s="349" t="str">
        <f t="shared" ref="C84" si="428">IF(AND($B84&lt;&gt;0,$C$9&lt;&gt;0),$C$9,"")</f>
        <v/>
      </c>
      <c r="D84" s="343"/>
      <c r="E84" s="277" t="s">
        <v>40</v>
      </c>
      <c r="F84" s="33">
        <f ca="1">IF(F$11-(SUM(F88:F91)/24)=0,"",F$11-(SUM(F88:F91)/24))</f>
        <v>27</v>
      </c>
      <c r="G84" s="34">
        <f t="shared" ref="G84:AO84" ca="1" si="429">IF(G$11-(SUM(G88:G91)/24)=0,"",G$11-(SUM(G88:G91)/24))</f>
        <v>24</v>
      </c>
      <c r="H84" s="34">
        <f t="shared" ca="1" si="429"/>
        <v>26</v>
      </c>
      <c r="I84" s="34">
        <f t="shared" ca="1" si="429"/>
        <v>26</v>
      </c>
      <c r="J84" s="34">
        <f t="shared" ca="1" si="429"/>
        <v>27</v>
      </c>
      <c r="K84" s="34">
        <f t="shared" ca="1" si="429"/>
        <v>25</v>
      </c>
      <c r="L84" s="34">
        <f t="shared" ca="1" si="429"/>
        <v>27</v>
      </c>
      <c r="M84" s="34">
        <f t="shared" ca="1" si="429"/>
        <v>26</v>
      </c>
      <c r="N84" s="34">
        <f t="shared" ca="1" si="429"/>
        <v>26</v>
      </c>
      <c r="O84" s="34">
        <f t="shared" ca="1" si="429"/>
        <v>27</v>
      </c>
      <c r="P84" s="34">
        <f t="shared" ca="1" si="429"/>
        <v>25</v>
      </c>
      <c r="Q84" s="34">
        <f t="shared" ca="1" si="429"/>
        <v>27</v>
      </c>
      <c r="R84" s="32">
        <f t="shared" ca="1" si="429"/>
        <v>27</v>
      </c>
      <c r="S84" s="29">
        <f t="shared" ca="1" si="429"/>
        <v>24</v>
      </c>
      <c r="T84" s="29">
        <f t="shared" ca="1" si="429"/>
        <v>26</v>
      </c>
      <c r="U84" s="29">
        <f t="shared" ca="1" si="429"/>
        <v>26</v>
      </c>
      <c r="V84" s="29">
        <f t="shared" ca="1" si="429"/>
        <v>26</v>
      </c>
      <c r="W84" s="29">
        <f t="shared" ca="1" si="429"/>
        <v>26</v>
      </c>
      <c r="X84" s="29">
        <f t="shared" ca="1" si="429"/>
        <v>27</v>
      </c>
      <c r="Y84" s="29">
        <f t="shared" ca="1" si="429"/>
        <v>26</v>
      </c>
      <c r="Z84" s="29">
        <f t="shared" ca="1" si="429"/>
        <v>26</v>
      </c>
      <c r="AA84" s="29">
        <f t="shared" ca="1" si="429"/>
        <v>27</v>
      </c>
      <c r="AB84" s="29">
        <f t="shared" ca="1" si="429"/>
        <v>25</v>
      </c>
      <c r="AC84" s="29">
        <f t="shared" ca="1" si="429"/>
        <v>27</v>
      </c>
      <c r="AD84" s="32">
        <f t="shared" ca="1" si="429"/>
        <v>26</v>
      </c>
      <c r="AE84" s="29">
        <f t="shared" ca="1" si="429"/>
        <v>24</v>
      </c>
      <c r="AF84" s="29">
        <f t="shared" ca="1" si="429"/>
        <v>27</v>
      </c>
      <c r="AG84" s="29">
        <f t="shared" ca="1" si="429"/>
        <v>26</v>
      </c>
      <c r="AH84" s="29">
        <f t="shared" ca="1" si="429"/>
        <v>26</v>
      </c>
      <c r="AI84" s="29">
        <f t="shared" ca="1" si="429"/>
        <v>26</v>
      </c>
      <c r="AJ84" s="29">
        <f t="shared" ca="1" si="429"/>
        <v>27</v>
      </c>
      <c r="AK84" s="29">
        <f t="shared" ca="1" si="429"/>
        <v>26</v>
      </c>
      <c r="AL84" s="29">
        <f t="shared" ca="1" si="429"/>
        <v>26</v>
      </c>
      <c r="AM84" s="29">
        <f t="shared" ca="1" si="429"/>
        <v>26</v>
      </c>
      <c r="AN84" s="29">
        <f t="shared" ca="1" si="429"/>
        <v>26</v>
      </c>
      <c r="AO84" s="29">
        <f t="shared" ca="1" si="429"/>
        <v>27</v>
      </c>
      <c r="AP84" s="32">
        <f ca="1">IF(SUM(F84:K84)&lt;&gt;0,SUM(F84:K84),"")</f>
        <v>155</v>
      </c>
      <c r="AQ84" s="29">
        <f ca="1">IF(SUM(L84:Q84)&lt;&gt;0,SUM(L84:Q84),"")</f>
        <v>158</v>
      </c>
      <c r="AR84" s="32">
        <f ca="1">IF(SUM(R84:W84)&lt;&gt;0,SUM(R84:W84),"")</f>
        <v>155</v>
      </c>
      <c r="AS84" s="29">
        <f ca="1">IF(SUM(X84:AC84)&lt;&gt;0,SUM(X84:AC84),"")</f>
        <v>158</v>
      </c>
      <c r="AT84" s="32">
        <f ca="1">IF(SUM(AD84:AI84)&lt;&gt;0,SUM(AD84:AI84),"")</f>
        <v>155</v>
      </c>
      <c r="AU84" s="296">
        <f ca="1">SUM(AJ84:AO84)</f>
        <v>158</v>
      </c>
      <c r="AV84" s="32">
        <f t="shared" ref="AV84:BE84" ca="1" si="430">IF(AV$11-(SUM(AV88:AV91)/24)=0,"",AV$11-(SUM(AV88:AV91)/24))</f>
        <v>156</v>
      </c>
      <c r="AW84" s="29">
        <f t="shared" ca="1" si="430"/>
        <v>157</v>
      </c>
      <c r="AX84" s="32">
        <f t="shared" ca="1" si="430"/>
        <v>156</v>
      </c>
      <c r="AY84" s="29">
        <f t="shared" ca="1" si="430"/>
        <v>158</v>
      </c>
      <c r="AZ84" s="32">
        <f t="shared" ca="1" si="430"/>
        <v>155</v>
      </c>
      <c r="BA84" s="29">
        <f t="shared" ca="1" si="430"/>
        <v>158</v>
      </c>
      <c r="BB84" s="32">
        <f t="shared" ca="1" si="430"/>
        <v>155</v>
      </c>
      <c r="BC84" s="29">
        <f t="shared" ca="1" si="430"/>
        <v>158</v>
      </c>
      <c r="BD84" s="32">
        <f t="shared" ca="1" si="430"/>
        <v>156</v>
      </c>
      <c r="BE84" s="262">
        <f t="shared" ca="1" si="430"/>
        <v>158</v>
      </c>
      <c r="BF84" s="286">
        <f t="shared" ref="BF84" ca="1" si="431">IF(SUM(AP84,AQ84)&lt;&gt;0,SUM(AP84,AQ84),#N/A)</f>
        <v>313</v>
      </c>
      <c r="BG84" s="286">
        <f t="shared" ref="BG84" ca="1" si="432">IF(SUM(AR84,AS84)&lt;&gt;0,SUM(AR84,AS84),#N/A)</f>
        <v>313</v>
      </c>
      <c r="BH84" s="286">
        <f t="shared" ref="BH84" ca="1" si="433">IF(SUM(AT84,AU84)&lt;&gt;0,SUM(AT84,AU84),#N/A)</f>
        <v>313</v>
      </c>
      <c r="BI84" s="286">
        <f t="shared" ref="BI84" ca="1" si="434">IF(SUM(AV84,AW84)&lt;&gt;0,SUM(AV84,AW84),#N/A)</f>
        <v>313</v>
      </c>
      <c r="BJ84" s="286">
        <f t="shared" ref="BJ84" ca="1" si="435">IF(SUM(AX84,AY84)&lt;&gt;0,SUM(AX84,AY84),#N/A)</f>
        <v>314</v>
      </c>
      <c r="BK84" s="286">
        <f t="shared" ref="BK84" ca="1" si="436">IF(SUM(AZ84,BA84)&lt;&gt;0,SUM(AZ84,BA84),#N/A)</f>
        <v>313</v>
      </c>
      <c r="BL84" s="286">
        <f t="shared" ref="BL84" ca="1" si="437">IF(SUM(BB84,BC84)&lt;&gt;0,SUM(BB84,BC84),#N/A)</f>
        <v>313</v>
      </c>
      <c r="BM84" s="286">
        <f t="shared" ref="BM84" ca="1" si="438">IF(SUM(BD84,BE84)&lt;&gt;0,SUM(BD84,BE84),#N/A)</f>
        <v>314</v>
      </c>
    </row>
    <row r="85" spans="1:65" s="102" customFormat="1" ht="15" customHeight="1" outlineLevel="2" thickBot="1" x14ac:dyDescent="0.25">
      <c r="A85" s="320" t="s">
        <v>226</v>
      </c>
      <c r="B85" s="347"/>
      <c r="C85" s="350"/>
      <c r="D85" s="344"/>
      <c r="E85" s="278" t="s">
        <v>29</v>
      </c>
      <c r="F85" s="47"/>
      <c r="G85" s="48"/>
      <c r="H85" s="48"/>
      <c r="I85" s="48"/>
      <c r="J85" s="48"/>
      <c r="K85" s="48"/>
      <c r="L85" s="48"/>
      <c r="M85" s="48"/>
      <c r="N85" s="48"/>
      <c r="O85" s="48"/>
      <c r="P85" s="48"/>
      <c r="Q85" s="51"/>
      <c r="R85" s="47"/>
      <c r="S85" s="48"/>
      <c r="T85" s="48"/>
      <c r="U85" s="48"/>
      <c r="V85" s="48"/>
      <c r="W85" s="48"/>
      <c r="X85" s="48"/>
      <c r="Y85" s="48"/>
      <c r="Z85" s="48"/>
      <c r="AA85" s="48"/>
      <c r="AB85" s="48"/>
      <c r="AC85" s="51"/>
      <c r="AD85" s="47"/>
      <c r="AE85" s="48"/>
      <c r="AF85" s="48"/>
      <c r="AG85" s="48"/>
      <c r="AH85" s="48"/>
      <c r="AI85" s="48"/>
      <c r="AJ85" s="48"/>
      <c r="AK85" s="48"/>
      <c r="AL85" s="48"/>
      <c r="AM85" s="48"/>
      <c r="AN85" s="48"/>
      <c r="AO85" s="51"/>
      <c r="AP85" s="294" t="str">
        <f>IFERROR(IF(SUM(F85:K85)&lt;&gt;0,SUM(F85:K85),""),"")</f>
        <v/>
      </c>
      <c r="AQ85" s="295" t="str">
        <f>IFERROR(IF(SUM(L85:Q85)&lt;&gt;0,SUM(L85:Q85),""),"")</f>
        <v/>
      </c>
      <c r="AR85" s="294" t="str">
        <f>IFERROR(IF(SUM(R85:W85)&lt;&gt;0,SUM(R85:W85),""),"")</f>
        <v/>
      </c>
      <c r="AS85" s="295" t="str">
        <f>IFERROR(IF(SUM(X85:AC85)&lt;&gt;0,SUM(X85:AC85),""),"")</f>
        <v/>
      </c>
      <c r="AT85" s="294" t="str">
        <f>IFERROR(IF(SUM(AD85:AI85)&lt;&gt;0,SUM(AD85:AI85),""),"")</f>
        <v/>
      </c>
      <c r="AU85" s="295" t="str">
        <f>IFERROR(IF(SUM(AJ85:AO85)&lt;&gt;0,SUM(AJ85:AO85),""),"")</f>
        <v/>
      </c>
      <c r="AV85" s="47"/>
      <c r="AW85" s="51"/>
      <c r="AX85" s="47"/>
      <c r="AY85" s="51"/>
      <c r="AZ85" s="47"/>
      <c r="BA85" s="51"/>
      <c r="BB85" s="47"/>
      <c r="BC85" s="51"/>
      <c r="BD85" s="47"/>
      <c r="BE85" s="263"/>
      <c r="BF85" s="271" t="str">
        <f>IFERROR(IF(AVERAGE(AP85:AQ85)&lt;&gt;0,AVERAGE(AP85:AQ85),""),"")</f>
        <v/>
      </c>
      <c r="BG85" s="271" t="str">
        <f>IFERROR(IF(AVERAGE(AR85:AS85)&lt;&gt;0,AVERAGE(AR85:AS85),""),"")</f>
        <v/>
      </c>
      <c r="BH85" s="271" t="str">
        <f>IFERROR(IF(AVERAGE(AT85:AU85)&lt;&gt;0,AVERAGE(AT85:AU85),""),"")</f>
        <v/>
      </c>
      <c r="BI85" s="271" t="str">
        <f>IFERROR(IF(AVERAGE(AV85:AW85)&lt;&gt;0,AVERAGE(AV85:AW85),""),"")</f>
        <v/>
      </c>
      <c r="BJ85" s="271" t="str">
        <f>IFERROR(IF(AVERAGE(AX85:AY85)&lt;&gt;0,AVERAGE(AX85:AY85),""),"")</f>
        <v/>
      </c>
      <c r="BK85" s="271" t="str">
        <f>IFERROR(IF(AVERAGE(AZ85:BA85)&lt;&gt;0,AVERAGE(AZ85:BA85),""),"")</f>
        <v/>
      </c>
      <c r="BL85" s="271" t="str">
        <f>IFERROR(IF(AVERAGE(BB85:BC85)&lt;&gt;0,AVERAGE(BB85:BC85),""),"")</f>
        <v/>
      </c>
      <c r="BM85" s="271" t="str">
        <f>IFERROR(IF(AVERAGE(BD85:BE85)&lt;&gt;0,AVERAGE(BD85:BE85),""),"")</f>
        <v/>
      </c>
    </row>
    <row r="86" spans="1:65" s="102" customFormat="1" ht="14.25" customHeight="1" outlineLevel="2" x14ac:dyDescent="0.2">
      <c r="A86" s="320" t="s">
        <v>226</v>
      </c>
      <c r="B86" s="347"/>
      <c r="C86" s="350"/>
      <c r="D86" s="344"/>
      <c r="E86" s="279" t="s">
        <v>28</v>
      </c>
      <c r="F86" s="52"/>
      <c r="G86" s="53"/>
      <c r="H86" s="53"/>
      <c r="I86" s="53"/>
      <c r="J86" s="53"/>
      <c r="K86" s="53"/>
      <c r="L86" s="53"/>
      <c r="M86" s="53"/>
      <c r="N86" s="53"/>
      <c r="O86" s="53"/>
      <c r="P86" s="53"/>
      <c r="Q86" s="54"/>
      <c r="R86" s="52"/>
      <c r="S86" s="53"/>
      <c r="T86" s="53"/>
      <c r="U86" s="53"/>
      <c r="V86" s="53"/>
      <c r="W86" s="53"/>
      <c r="X86" s="53"/>
      <c r="Y86" s="53"/>
      <c r="Z86" s="53"/>
      <c r="AA86" s="53"/>
      <c r="AB86" s="53"/>
      <c r="AC86" s="54"/>
      <c r="AD86" s="52"/>
      <c r="AE86" s="53"/>
      <c r="AF86" s="53"/>
      <c r="AG86" s="53"/>
      <c r="AH86" s="53"/>
      <c r="AI86" s="53"/>
      <c r="AJ86" s="53"/>
      <c r="AK86" s="53"/>
      <c r="AL86" s="53"/>
      <c r="AM86" s="53"/>
      <c r="AN86" s="53"/>
      <c r="AO86" s="54"/>
      <c r="AP86" s="225" t="str">
        <f>IFERROR(IF(AVERAGE(F86:K86)&lt;&gt;0,AVERAGE(F86:K86),""),"")</f>
        <v/>
      </c>
      <c r="AQ86" s="226" t="str">
        <f>IFERROR(IF(AVERAGE(L86:Q86)&lt;&gt;0,AVERAGE(L86:Q86),""),"")</f>
        <v/>
      </c>
      <c r="AR86" s="225" t="str">
        <f>IFERROR(IF(AVERAGE(R86:W86)&lt;&gt;0,AVERAGE(R86:W86),""),"")</f>
        <v/>
      </c>
      <c r="AS86" s="226" t="str">
        <f>IFERROR(IF(AVERAGE(X86:AC86)&lt;&gt;0,AVERAGE(X86:AC86),""),"")</f>
        <v/>
      </c>
      <c r="AT86" s="225" t="str">
        <f>IFERROR(IF(AVERAGE(AD86:AI86)&lt;&gt;0,AVERAGE(AD86:AI86),""),"")</f>
        <v/>
      </c>
      <c r="AU86" s="226" t="str">
        <f>IFERROR(IF(AVERAGE(AJ86:AO86)&lt;&gt;0,AVERAGE(AJ86:AO86),""),"")</f>
        <v/>
      </c>
      <c r="AV86" s="70"/>
      <c r="AW86" s="53"/>
      <c r="AX86" s="70"/>
      <c r="AY86" s="53"/>
      <c r="AZ86" s="70"/>
      <c r="BA86" s="53"/>
      <c r="BB86" s="70"/>
      <c r="BC86" s="53"/>
      <c r="BD86" s="70"/>
      <c r="BE86" s="264"/>
      <c r="BF86" s="272" t="str">
        <f>IFERROR(IF(AVERAGE(AP86:AQ86)&lt;&gt;0,AVERAGE(AP86:AQ86),""),"")</f>
        <v/>
      </c>
      <c r="BG86" s="272" t="str">
        <f>IFERROR(IF(AVERAGE(AR86:AS86)&lt;&gt;0,AVERAGE(AR86:AS86),""),"")</f>
        <v/>
      </c>
      <c r="BH86" s="272" t="str">
        <f>IFERROR(IF(AVERAGE(AT86:AU86)&lt;&gt;0,AVERAGE(AT86:AU86),""),"")</f>
        <v/>
      </c>
      <c r="BI86" s="272" t="str">
        <f>IFERROR(IF(AVERAGE(AV86:AW86)&lt;&gt;0,AVERAGE(AV86:AW86),""),"")</f>
        <v/>
      </c>
      <c r="BJ86" s="272" t="str">
        <f>IFERROR(IF(AVERAGE(AX86:AY86)&lt;&gt;0,AVERAGE(AX86:AY86),""),"")</f>
        <v/>
      </c>
      <c r="BK86" s="272" t="str">
        <f>IFERROR(IF(AVERAGE(AZ86:BA86)&lt;&gt;0,AVERAGE(AZ86:BA86),""),"")</f>
        <v/>
      </c>
      <c r="BL86" s="272" t="str">
        <f>IFERROR(IF(AVERAGE(BB86:BC86)&lt;&gt;0,AVERAGE(BB86:BC86),""),"")</f>
        <v/>
      </c>
      <c r="BM86" s="272" t="str">
        <f>IFERROR(IF(AVERAGE(BD86:BE86)&lt;&gt;0,AVERAGE(BD86:BE86),""),"")</f>
        <v/>
      </c>
    </row>
    <row r="87" spans="1:65" s="102" customFormat="1" ht="15" customHeight="1" outlineLevel="2" thickBot="1" x14ac:dyDescent="0.25">
      <c r="A87" s="320" t="s">
        <v>226</v>
      </c>
      <c r="B87" s="347"/>
      <c r="C87" s="350"/>
      <c r="D87" s="344"/>
      <c r="E87" s="278" t="s">
        <v>30</v>
      </c>
      <c r="F87" s="55"/>
      <c r="G87" s="56"/>
      <c r="H87" s="56"/>
      <c r="I87" s="56"/>
      <c r="J87" s="56"/>
      <c r="K87" s="56"/>
      <c r="L87" s="56"/>
      <c r="M87" s="56"/>
      <c r="N87" s="56"/>
      <c r="O87" s="56"/>
      <c r="P87" s="56"/>
      <c r="Q87" s="57"/>
      <c r="R87" s="55"/>
      <c r="S87" s="56"/>
      <c r="T87" s="56"/>
      <c r="U87" s="56"/>
      <c r="V87" s="56"/>
      <c r="W87" s="56"/>
      <c r="X87" s="56"/>
      <c r="Y87" s="56"/>
      <c r="Z87" s="56"/>
      <c r="AA87" s="56"/>
      <c r="AB87" s="56"/>
      <c r="AC87" s="57"/>
      <c r="AD87" s="55"/>
      <c r="AE87" s="56"/>
      <c r="AF87" s="56"/>
      <c r="AG87" s="56"/>
      <c r="AH87" s="56"/>
      <c r="AI87" s="56"/>
      <c r="AJ87" s="56"/>
      <c r="AK87" s="56"/>
      <c r="AL87" s="56"/>
      <c r="AM87" s="56"/>
      <c r="AN87" s="56"/>
      <c r="AO87" s="57"/>
      <c r="AP87" s="227" t="str">
        <f>IFERROR(IF(AVERAGE(F87:K87)&lt;&gt;0,AVERAGE(F87:K87),""),"")</f>
        <v/>
      </c>
      <c r="AQ87" s="228" t="str">
        <f>IFERROR(IF(AVERAGE(L87:Q87)&lt;&gt;0,AVERAGE(L87:Q87),""),"")</f>
        <v/>
      </c>
      <c r="AR87" s="227" t="str">
        <f>IFERROR(IF(AVERAGE(R87:W87)&lt;&gt;0,AVERAGE(R87:W87),""),"")</f>
        <v/>
      </c>
      <c r="AS87" s="228" t="str">
        <f>IFERROR(IF(AVERAGE(X87:AC87)&lt;&gt;0,AVERAGE(X87:AC87),""),"")</f>
        <v/>
      </c>
      <c r="AT87" s="227" t="str">
        <f>IFERROR(IF(AVERAGE(AD87:AI87)&lt;&gt;0,AVERAGE(AD87:AI87),""),"")</f>
        <v/>
      </c>
      <c r="AU87" s="228" t="str">
        <f>IFERROR(IF(AVERAGE(AJ87:AO87)&lt;&gt;0,AVERAGE(AJ87:AO87),""),"")</f>
        <v/>
      </c>
      <c r="AV87" s="71"/>
      <c r="AW87" s="56"/>
      <c r="AX87" s="71"/>
      <c r="AY87" s="56"/>
      <c r="AZ87" s="71"/>
      <c r="BA87" s="56"/>
      <c r="BB87" s="71"/>
      <c r="BC87" s="56"/>
      <c r="BD87" s="71"/>
      <c r="BE87" s="265"/>
      <c r="BF87" s="273" t="str">
        <f>IFERROR(IF(AVERAGE(AP87:AQ87)&lt;&gt;0,AVERAGE(AP87:AQ87),""),"")</f>
        <v/>
      </c>
      <c r="BG87" s="273" t="str">
        <f>IFERROR(IF(AVERAGE(AR87:AS87)&lt;&gt;0,AVERAGE(AR87:AS87),""),"")</f>
        <v/>
      </c>
      <c r="BH87" s="273" t="str">
        <f>IFERROR(IF(AVERAGE(AT87:AU87)&lt;&gt;0,AVERAGE(AT87:AU87),""),"")</f>
        <v/>
      </c>
      <c r="BI87" s="273" t="str">
        <f>IFERROR(IF(AVERAGE(AV87:AW87)&lt;&gt;0,AVERAGE(AV87:AW87),""),"")</f>
        <v/>
      </c>
      <c r="BJ87" s="273" t="str">
        <f>IFERROR(IF(AVERAGE(AX87:AY87)&lt;&gt;0,AVERAGE(AX87:AY87),""),"")</f>
        <v/>
      </c>
      <c r="BK87" s="273" t="str">
        <f>IFERROR(IF(AVERAGE(AZ87:BA87)&lt;&gt;0,AVERAGE(AZ87:BA87),""),"")</f>
        <v/>
      </c>
      <c r="BL87" s="273" t="str">
        <f>IFERROR(IF(AVERAGE(BB87:BC87)&lt;&gt;0,AVERAGE(BB87:BC87),""),"")</f>
        <v/>
      </c>
      <c r="BM87" s="273" t="str">
        <f>IFERROR(IF(AVERAGE(BD87:BE87)&lt;&gt;0,AVERAGE(BD87:BE87),""),"")</f>
        <v/>
      </c>
    </row>
    <row r="88" spans="1:65" s="102" customFormat="1" ht="14.25" customHeight="1" outlineLevel="2" x14ac:dyDescent="0.2">
      <c r="A88" s="320" t="s">
        <v>226</v>
      </c>
      <c r="B88" s="347"/>
      <c r="C88" s="350"/>
      <c r="D88" s="344"/>
      <c r="E88" s="279" t="s">
        <v>25</v>
      </c>
      <c r="F88" s="58"/>
      <c r="G88" s="50"/>
      <c r="H88" s="50"/>
      <c r="I88" s="50"/>
      <c r="J88" s="50"/>
      <c r="K88" s="50"/>
      <c r="L88" s="50"/>
      <c r="M88" s="50"/>
      <c r="N88" s="50"/>
      <c r="O88" s="50"/>
      <c r="P88" s="50"/>
      <c r="Q88" s="59"/>
      <c r="R88" s="58"/>
      <c r="S88" s="50"/>
      <c r="T88" s="50"/>
      <c r="U88" s="50"/>
      <c r="V88" s="50"/>
      <c r="W88" s="50"/>
      <c r="X88" s="50"/>
      <c r="Y88" s="50"/>
      <c r="Z88" s="50"/>
      <c r="AA88" s="50"/>
      <c r="AB88" s="50"/>
      <c r="AC88" s="59"/>
      <c r="AD88" s="58"/>
      <c r="AE88" s="50"/>
      <c r="AF88" s="50"/>
      <c r="AG88" s="50"/>
      <c r="AH88" s="50"/>
      <c r="AI88" s="50"/>
      <c r="AJ88" s="50"/>
      <c r="AK88" s="50"/>
      <c r="AL88" s="50"/>
      <c r="AM88" s="50"/>
      <c r="AN88" s="50"/>
      <c r="AO88" s="59"/>
      <c r="AP88" s="229" t="str">
        <f>IFERROR(IF(SUM(F88:K88)&lt;&gt;0,SUM(F88:K88),""),"")</f>
        <v/>
      </c>
      <c r="AQ88" s="230" t="str">
        <f>IFERROR(IF(SUM(L88:Q88)&lt;&gt;0,SUM(L88:Q88),""),"")</f>
        <v/>
      </c>
      <c r="AR88" s="229" t="str">
        <f>IFERROR(IF(SUM(R88:W88)&lt;&gt;0,SUM(R88:W88),""),"")</f>
        <v/>
      </c>
      <c r="AS88" s="230" t="str">
        <f>IFERROR(IF(SUM(X88:AC88)&lt;&gt;0,SUM(X88:AC88),""),"")</f>
        <v/>
      </c>
      <c r="AT88" s="229" t="str">
        <f>IFERROR(IF(SUM(AD88:AI88)&lt;&gt;0,SUM(AD88:AI88),""),"")</f>
        <v/>
      </c>
      <c r="AU88" s="230" t="str">
        <f>IFERROR(IF(SUM(AJ88:AO88)&lt;&gt;0,SUM(AJ88:AO88),""),"")</f>
        <v/>
      </c>
      <c r="AV88" s="72"/>
      <c r="AW88" s="73"/>
      <c r="AX88" s="72"/>
      <c r="AY88" s="73"/>
      <c r="AZ88" s="72"/>
      <c r="BA88" s="73"/>
      <c r="BB88" s="72"/>
      <c r="BC88" s="73"/>
      <c r="BD88" s="72"/>
      <c r="BE88" s="266"/>
      <c r="BF88" s="286" t="e">
        <f t="shared" ref="BF88:BF91" si="439">IF(SUM(AP88,AQ88)&lt;&gt;0,SUM(AP88,AQ88),#N/A)</f>
        <v>#N/A</v>
      </c>
      <c r="BG88" s="286" t="e">
        <f t="shared" ref="BG88:BG91" si="440">IF(SUM(AR88,AS88)&lt;&gt;0,SUM(AR88,AS88),#N/A)</f>
        <v>#N/A</v>
      </c>
      <c r="BH88" s="286" t="e">
        <f t="shared" ref="BH88:BH91" si="441">IF(SUM(AT88,AU88)&lt;&gt;0,SUM(AT88,AU88),#N/A)</f>
        <v>#N/A</v>
      </c>
      <c r="BI88" s="286" t="e">
        <f t="shared" ref="BI88:BI91" si="442">IF(SUM(AV88,AW88)&lt;&gt;0,SUM(AV88,AW88),#N/A)</f>
        <v>#N/A</v>
      </c>
      <c r="BJ88" s="286" t="e">
        <f t="shared" ref="BJ88:BJ91" si="443">IF(SUM(AX88,AY88)&lt;&gt;0,SUM(AX88,AY88),#N/A)</f>
        <v>#N/A</v>
      </c>
      <c r="BK88" s="286" t="e">
        <f t="shared" ref="BK88:BK91" si="444">IF(SUM(AZ88,BA88)&lt;&gt;0,SUM(AZ88,BA88),#N/A)</f>
        <v>#N/A</v>
      </c>
      <c r="BL88" s="286" t="e">
        <f t="shared" ref="BL88:BL91" si="445">IF(SUM(BB88,BC88)&lt;&gt;0,SUM(BB88,BC88),#N/A)</f>
        <v>#N/A</v>
      </c>
      <c r="BM88" s="286" t="e">
        <f t="shared" ref="BM88:BM91" si="446">IF(SUM(BD88,BE88)&lt;&gt;0,SUM(BD88,BE88),#N/A)</f>
        <v>#N/A</v>
      </c>
    </row>
    <row r="89" spans="1:65" s="102" customFormat="1" ht="14.25" customHeight="1" outlineLevel="2" x14ac:dyDescent="0.2">
      <c r="A89" s="320" t="s">
        <v>226</v>
      </c>
      <c r="B89" s="347"/>
      <c r="C89" s="350"/>
      <c r="D89" s="344"/>
      <c r="E89" s="280" t="s">
        <v>26</v>
      </c>
      <c r="F89" s="60"/>
      <c r="G89" s="61"/>
      <c r="H89" s="61"/>
      <c r="I89" s="61"/>
      <c r="J89" s="61"/>
      <c r="K89" s="61"/>
      <c r="L89" s="61"/>
      <c r="M89" s="61"/>
      <c r="N89" s="61"/>
      <c r="O89" s="61"/>
      <c r="P89" s="61"/>
      <c r="Q89" s="62"/>
      <c r="R89" s="60"/>
      <c r="S89" s="61"/>
      <c r="T89" s="61"/>
      <c r="U89" s="61"/>
      <c r="V89" s="61"/>
      <c r="W89" s="61"/>
      <c r="X89" s="61"/>
      <c r="Y89" s="61"/>
      <c r="Z89" s="61"/>
      <c r="AA89" s="61"/>
      <c r="AB89" s="61"/>
      <c r="AC89" s="62"/>
      <c r="AD89" s="60"/>
      <c r="AE89" s="61"/>
      <c r="AF89" s="61"/>
      <c r="AG89" s="61"/>
      <c r="AH89" s="61"/>
      <c r="AI89" s="61"/>
      <c r="AJ89" s="61"/>
      <c r="AK89" s="61"/>
      <c r="AL89" s="61"/>
      <c r="AM89" s="61"/>
      <c r="AN89" s="61"/>
      <c r="AO89" s="62"/>
      <c r="AP89" s="231" t="str">
        <f>IFERROR(IF(SUM(F89:K89)&lt;&gt;0,SUM(F89:K89),""),"")</f>
        <v/>
      </c>
      <c r="AQ89" s="232" t="str">
        <f>IFERROR(IF(SUM(L89:Q89)&lt;&gt;0,SUM(L89:Q89),""),"")</f>
        <v/>
      </c>
      <c r="AR89" s="231" t="str">
        <f>IFERROR(IF(SUM(R89:W89)&lt;&gt;0,SUM(R89:W89),""),"")</f>
        <v/>
      </c>
      <c r="AS89" s="232" t="str">
        <f>IFERROR(IF(SUM(X89:AC89)&lt;&gt;0,SUM(X89:AC89),""),"")</f>
        <v/>
      </c>
      <c r="AT89" s="231" t="str">
        <f>IFERROR(IF(SUM(AD89:AI89)&lt;&gt;0,SUM(AD89:AI89),""),"")</f>
        <v/>
      </c>
      <c r="AU89" s="232" t="str">
        <f>IFERROR(IF(SUM(AJ89:AO89)&lt;&gt;0,SUM(AJ89:AO89),""),"")</f>
        <v/>
      </c>
      <c r="AV89" s="74"/>
      <c r="AW89" s="61"/>
      <c r="AX89" s="74"/>
      <c r="AY89" s="61"/>
      <c r="AZ89" s="74"/>
      <c r="BA89" s="61"/>
      <c r="BB89" s="74"/>
      <c r="BC89" s="61"/>
      <c r="BD89" s="74"/>
      <c r="BE89" s="267"/>
      <c r="BF89" s="287" t="e">
        <f t="shared" si="439"/>
        <v>#N/A</v>
      </c>
      <c r="BG89" s="287" t="e">
        <f t="shared" si="440"/>
        <v>#N/A</v>
      </c>
      <c r="BH89" s="287" t="e">
        <f t="shared" si="441"/>
        <v>#N/A</v>
      </c>
      <c r="BI89" s="287" t="e">
        <f t="shared" si="442"/>
        <v>#N/A</v>
      </c>
      <c r="BJ89" s="287" t="e">
        <f t="shared" si="443"/>
        <v>#N/A</v>
      </c>
      <c r="BK89" s="287" t="e">
        <f t="shared" si="444"/>
        <v>#N/A</v>
      </c>
      <c r="BL89" s="287" t="e">
        <f t="shared" si="445"/>
        <v>#N/A</v>
      </c>
      <c r="BM89" s="287" t="e">
        <f t="shared" si="446"/>
        <v>#N/A</v>
      </c>
    </row>
    <row r="90" spans="1:65" s="102" customFormat="1" ht="14.25" customHeight="1" outlineLevel="2" x14ac:dyDescent="0.2">
      <c r="A90" s="320" t="s">
        <v>226</v>
      </c>
      <c r="B90" s="347"/>
      <c r="C90" s="350"/>
      <c r="D90" s="344"/>
      <c r="E90" s="280" t="s">
        <v>27</v>
      </c>
      <c r="F90" s="60"/>
      <c r="G90" s="61"/>
      <c r="H90" s="61"/>
      <c r="I90" s="61"/>
      <c r="J90" s="61"/>
      <c r="K90" s="61"/>
      <c r="L90" s="61"/>
      <c r="M90" s="61"/>
      <c r="N90" s="61"/>
      <c r="O90" s="61"/>
      <c r="P90" s="61"/>
      <c r="Q90" s="62"/>
      <c r="R90" s="60"/>
      <c r="S90" s="61"/>
      <c r="T90" s="61"/>
      <c r="U90" s="61"/>
      <c r="V90" s="61"/>
      <c r="W90" s="61"/>
      <c r="X90" s="61"/>
      <c r="Y90" s="61"/>
      <c r="Z90" s="61"/>
      <c r="AA90" s="61"/>
      <c r="AB90" s="61"/>
      <c r="AC90" s="62"/>
      <c r="AD90" s="60"/>
      <c r="AE90" s="61"/>
      <c r="AF90" s="61"/>
      <c r="AG90" s="61"/>
      <c r="AH90" s="61"/>
      <c r="AI90" s="61"/>
      <c r="AJ90" s="61"/>
      <c r="AK90" s="61"/>
      <c r="AL90" s="61"/>
      <c r="AM90" s="61"/>
      <c r="AN90" s="61"/>
      <c r="AO90" s="62"/>
      <c r="AP90" s="231" t="str">
        <f>IFERROR(IF(SUM(F90:K90)&lt;&gt;0,SUM(F90:K90),""),"")</f>
        <v/>
      </c>
      <c r="AQ90" s="232" t="str">
        <f>IFERROR(IF(SUM(L90:Q90)&lt;&gt;0,SUM(L90:Q90),""),"")</f>
        <v/>
      </c>
      <c r="AR90" s="231" t="str">
        <f>IFERROR(IF(SUM(R90:W90)&lt;&gt;0,SUM(R90:W90),""),"")</f>
        <v/>
      </c>
      <c r="AS90" s="232" t="str">
        <f>IFERROR(IF(SUM(X90:AC90)&lt;&gt;0,SUM(X90:AC90),""),"")</f>
        <v/>
      </c>
      <c r="AT90" s="231" t="str">
        <f>IFERROR(IF(SUM(AD90:AI90)&lt;&gt;0,SUM(AD90:AI90),""),"")</f>
        <v/>
      </c>
      <c r="AU90" s="232" t="str">
        <f>IFERROR(IF(SUM(AJ90:AO90)&lt;&gt;0,SUM(AJ90:AO90),""),"")</f>
        <v/>
      </c>
      <c r="AV90" s="74"/>
      <c r="AW90" s="61"/>
      <c r="AX90" s="74"/>
      <c r="AY90" s="61"/>
      <c r="AZ90" s="74"/>
      <c r="BA90" s="61"/>
      <c r="BB90" s="74"/>
      <c r="BC90" s="61"/>
      <c r="BD90" s="74"/>
      <c r="BE90" s="267"/>
      <c r="BF90" s="287" t="e">
        <f t="shared" si="439"/>
        <v>#N/A</v>
      </c>
      <c r="BG90" s="287" t="e">
        <f t="shared" si="440"/>
        <v>#N/A</v>
      </c>
      <c r="BH90" s="287" t="e">
        <f t="shared" si="441"/>
        <v>#N/A</v>
      </c>
      <c r="BI90" s="287" t="e">
        <f t="shared" si="442"/>
        <v>#N/A</v>
      </c>
      <c r="BJ90" s="287" t="e">
        <f t="shared" si="443"/>
        <v>#N/A</v>
      </c>
      <c r="BK90" s="287" t="e">
        <f t="shared" si="444"/>
        <v>#N/A</v>
      </c>
      <c r="BL90" s="287" t="e">
        <f t="shared" si="445"/>
        <v>#N/A</v>
      </c>
      <c r="BM90" s="287" t="e">
        <f t="shared" si="446"/>
        <v>#N/A</v>
      </c>
    </row>
    <row r="91" spans="1:65" s="102" customFormat="1" ht="15" customHeight="1" outlineLevel="2" thickBot="1" x14ac:dyDescent="0.25">
      <c r="A91" s="320" t="s">
        <v>226</v>
      </c>
      <c r="B91" s="347"/>
      <c r="C91" s="350"/>
      <c r="D91" s="344"/>
      <c r="E91" s="281" t="s">
        <v>88</v>
      </c>
      <c r="F91" s="63"/>
      <c r="G91" s="48"/>
      <c r="H91" s="48"/>
      <c r="I91" s="48"/>
      <c r="J91" s="48"/>
      <c r="K91" s="48"/>
      <c r="L91" s="48"/>
      <c r="M91" s="48"/>
      <c r="N91" s="48"/>
      <c r="O91" s="48"/>
      <c r="P91" s="48"/>
      <c r="Q91" s="51"/>
      <c r="R91" s="63"/>
      <c r="S91" s="48"/>
      <c r="T91" s="48"/>
      <c r="U91" s="48"/>
      <c r="V91" s="48"/>
      <c r="W91" s="48"/>
      <c r="X91" s="48"/>
      <c r="Y91" s="48"/>
      <c r="Z91" s="48"/>
      <c r="AA91" s="48"/>
      <c r="AB91" s="48"/>
      <c r="AC91" s="51"/>
      <c r="AD91" s="63"/>
      <c r="AE91" s="48"/>
      <c r="AF91" s="48"/>
      <c r="AG91" s="48"/>
      <c r="AH91" s="48"/>
      <c r="AI91" s="48"/>
      <c r="AJ91" s="48"/>
      <c r="AK91" s="48"/>
      <c r="AL91" s="48"/>
      <c r="AM91" s="48"/>
      <c r="AN91" s="48"/>
      <c r="AO91" s="51"/>
      <c r="AP91" s="233" t="str">
        <f>IFERROR(IF(SUM(F91:K91)&lt;&gt;0,SUM(F91:K91),""),"")</f>
        <v/>
      </c>
      <c r="AQ91" s="234" t="str">
        <f>IFERROR(IF(SUM(L91:Q91)&lt;&gt;0,SUM(L91:Q91),""),"")</f>
        <v/>
      </c>
      <c r="AR91" s="233" t="str">
        <f>IFERROR(IF(SUM(R91:W91)&lt;&gt;0,SUM(R91:W91),""),"")</f>
        <v/>
      </c>
      <c r="AS91" s="234" t="str">
        <f>IFERROR(IF(SUM(X91:AC91)&lt;&gt;0,SUM(X91:AC91),""),"")</f>
        <v/>
      </c>
      <c r="AT91" s="233" t="str">
        <f>IFERROR(IF(SUM(AD91:AI91)&lt;&gt;0,SUM(AD91:AI91),""),"")</f>
        <v/>
      </c>
      <c r="AU91" s="234" t="str">
        <f>IFERROR(IF(SUM(AJ91:AO91)&lt;&gt;0,SUM(AJ91:AO91),""),"")</f>
        <v/>
      </c>
      <c r="AV91" s="75"/>
      <c r="AW91" s="76"/>
      <c r="AX91" s="75"/>
      <c r="AY91" s="76"/>
      <c r="AZ91" s="75"/>
      <c r="BA91" s="76"/>
      <c r="BB91" s="75"/>
      <c r="BC91" s="76"/>
      <c r="BD91" s="75"/>
      <c r="BE91" s="268"/>
      <c r="BF91" s="271" t="e">
        <f t="shared" si="439"/>
        <v>#N/A</v>
      </c>
      <c r="BG91" s="271" t="e">
        <f t="shared" si="440"/>
        <v>#N/A</v>
      </c>
      <c r="BH91" s="271" t="e">
        <f t="shared" si="441"/>
        <v>#N/A</v>
      </c>
      <c r="BI91" s="271" t="e">
        <f t="shared" si="442"/>
        <v>#N/A</v>
      </c>
      <c r="BJ91" s="271" t="e">
        <f t="shared" si="443"/>
        <v>#N/A</v>
      </c>
      <c r="BK91" s="271" t="e">
        <f t="shared" si="444"/>
        <v>#N/A</v>
      </c>
      <c r="BL91" s="271" t="e">
        <f t="shared" si="445"/>
        <v>#N/A</v>
      </c>
      <c r="BM91" s="271" t="e">
        <f t="shared" si="446"/>
        <v>#N/A</v>
      </c>
    </row>
    <row r="92" spans="1:65" s="102" customFormat="1" ht="14.25" customHeight="1" outlineLevel="2" x14ac:dyDescent="0.2">
      <c r="A92" s="320" t="s">
        <v>226</v>
      </c>
      <c r="B92" s="347"/>
      <c r="C92" s="350"/>
      <c r="D92" s="344"/>
      <c r="E92" s="279" t="s">
        <v>32</v>
      </c>
      <c r="F92" s="64"/>
      <c r="G92" s="65"/>
      <c r="H92" s="65"/>
      <c r="I92" s="65"/>
      <c r="J92" s="65"/>
      <c r="K92" s="65"/>
      <c r="L92" s="65"/>
      <c r="M92" s="65"/>
      <c r="N92" s="65"/>
      <c r="O92" s="65"/>
      <c r="P92" s="65"/>
      <c r="Q92" s="66"/>
      <c r="R92" s="64"/>
      <c r="S92" s="65"/>
      <c r="T92" s="65"/>
      <c r="U92" s="65"/>
      <c r="V92" s="65"/>
      <c r="W92" s="65"/>
      <c r="X92" s="65"/>
      <c r="Y92" s="65"/>
      <c r="Z92" s="65"/>
      <c r="AA92" s="65"/>
      <c r="AB92" s="65"/>
      <c r="AC92" s="66"/>
      <c r="AD92" s="64"/>
      <c r="AE92" s="65"/>
      <c r="AF92" s="65"/>
      <c r="AG92" s="65"/>
      <c r="AH92" s="65"/>
      <c r="AI92" s="65"/>
      <c r="AJ92" s="65"/>
      <c r="AK92" s="65"/>
      <c r="AL92" s="65"/>
      <c r="AM92" s="65"/>
      <c r="AN92" s="65"/>
      <c r="AO92" s="66"/>
      <c r="AP92" s="32" t="str">
        <f>IFERROR(IF(AVERAGE(F92:K92)&lt;&gt;0,AVERAGE(F92:K92),""),"")</f>
        <v/>
      </c>
      <c r="AQ92" s="235" t="str">
        <f>IFERROR(IF(AVERAGE(L92:Q92)&lt;&gt;0,AVERAGE(L92:Q92),""),"")</f>
        <v/>
      </c>
      <c r="AR92" s="32" t="str">
        <f>IFERROR(IF(AVERAGE(R92:W92)&lt;&gt;0,AVERAGE(R92:W92),""),"")</f>
        <v/>
      </c>
      <c r="AS92" s="235" t="str">
        <f>IFERROR(IF(AVERAGE(X92:AC92)&lt;&gt;0,AVERAGE(X92:AC92),""),"")</f>
        <v/>
      </c>
      <c r="AT92" s="32" t="str">
        <f>IFERROR(IF(AVERAGE(AD92:AI92)&lt;&gt;0,AVERAGE(AD92:AI92),""),"")</f>
        <v/>
      </c>
      <c r="AU92" s="235" t="str">
        <f>IFERROR(IF(AVERAGE(AJ92:AO92)&lt;&gt;0,AVERAGE(AJ92:AO92),""),"")</f>
        <v/>
      </c>
      <c r="AV92" s="77"/>
      <c r="AW92" s="65"/>
      <c r="AX92" s="77"/>
      <c r="AY92" s="65"/>
      <c r="AZ92" s="77"/>
      <c r="BA92" s="65"/>
      <c r="BB92" s="77"/>
      <c r="BC92" s="65"/>
      <c r="BD92" s="77"/>
      <c r="BE92" s="269"/>
      <c r="BF92" s="272" t="str">
        <f>IFERROR(IF(AVERAGE(AP92:AQ92)&lt;&gt;0,AVERAGE(AP92:AQ92),""),"")</f>
        <v/>
      </c>
      <c r="BG92" s="272" t="str">
        <f>IFERROR(IF(AVERAGE(AR92:AS92)&lt;&gt;0,AVERAGE(AR92:AS92),""),"")</f>
        <v/>
      </c>
      <c r="BH92" s="272" t="str">
        <f>IFERROR(IF(AVERAGE(AT92:AU92)&lt;&gt;0,AVERAGE(AT92:AU92),""),"")</f>
        <v/>
      </c>
      <c r="BI92" s="272" t="str">
        <f>IFERROR(IF(AVERAGE(AV92:AW92)&lt;&gt;0,AVERAGE(AV92:AW92),""),"")</f>
        <v/>
      </c>
      <c r="BJ92" s="272" t="str">
        <f>IFERROR(IF(AVERAGE(AX92:AY92)&lt;&gt;0,AVERAGE(AX92:AY92),""),"")</f>
        <v/>
      </c>
      <c r="BK92" s="272" t="str">
        <f>IFERROR(IF(AVERAGE(AZ92:BA92)&lt;&gt;0,AVERAGE(AZ92:BA92),""),"")</f>
        <v/>
      </c>
      <c r="BL92" s="272" t="str">
        <f>IFERROR(IF(AVERAGE(BB92:BC92)&lt;&gt;0,AVERAGE(BB92:BC92),""),"")</f>
        <v/>
      </c>
      <c r="BM92" s="272" t="str">
        <f>IFERROR(IF(AVERAGE(BD92:BE92)&lt;&gt;0,AVERAGE(BD92:BE92),""),"")</f>
        <v/>
      </c>
    </row>
    <row r="93" spans="1:65" s="102" customFormat="1" ht="15" customHeight="1" outlineLevel="2" thickBot="1" x14ac:dyDescent="0.25">
      <c r="A93" s="320" t="s">
        <v>226</v>
      </c>
      <c r="B93" s="347"/>
      <c r="C93" s="350"/>
      <c r="D93" s="344"/>
      <c r="E93" s="281" t="s">
        <v>2</v>
      </c>
      <c r="F93" s="67"/>
      <c r="G93" s="68"/>
      <c r="H93" s="68"/>
      <c r="I93" s="68"/>
      <c r="J93" s="68"/>
      <c r="K93" s="68"/>
      <c r="L93" s="68"/>
      <c r="M93" s="68"/>
      <c r="N93" s="68"/>
      <c r="O93" s="68"/>
      <c r="P93" s="68"/>
      <c r="Q93" s="69"/>
      <c r="R93" s="67"/>
      <c r="S93" s="68"/>
      <c r="T93" s="68"/>
      <c r="U93" s="68"/>
      <c r="V93" s="68"/>
      <c r="W93" s="68"/>
      <c r="X93" s="68"/>
      <c r="Y93" s="68"/>
      <c r="Z93" s="68"/>
      <c r="AA93" s="68"/>
      <c r="AB93" s="68"/>
      <c r="AC93" s="69"/>
      <c r="AD93" s="67"/>
      <c r="AE93" s="68"/>
      <c r="AF93" s="68"/>
      <c r="AG93" s="68"/>
      <c r="AH93" s="68"/>
      <c r="AI93" s="68"/>
      <c r="AJ93" s="68"/>
      <c r="AK93" s="68"/>
      <c r="AL93" s="68"/>
      <c r="AM93" s="68"/>
      <c r="AN93" s="68"/>
      <c r="AO93" s="69"/>
      <c r="AP93" s="236" t="str">
        <f>IFERROR(IF(AVERAGE(F93:K93)&lt;&gt;0,AVERAGE(F93:K93),""),"")</f>
        <v/>
      </c>
      <c r="AQ93" s="237" t="str">
        <f>IFERROR(IF(AVERAGE(L93:Q93)&lt;&gt;0,AVERAGE(L93:Q93),""),"")</f>
        <v/>
      </c>
      <c r="AR93" s="236" t="str">
        <f>IFERROR(IF(AVERAGE(R93:W93)&lt;&gt;0,AVERAGE(R93:W93),""),"")</f>
        <v/>
      </c>
      <c r="AS93" s="237" t="str">
        <f>IFERROR(IF(AVERAGE(X93:AC93)&lt;&gt;0,AVERAGE(X93:AC93),""),"")</f>
        <v/>
      </c>
      <c r="AT93" s="236" t="str">
        <f>IFERROR(IF(AVERAGE(AD93:AI93)&lt;&gt;0,AVERAGE(AD93:AI93),""),"")</f>
        <v/>
      </c>
      <c r="AU93" s="237" t="str">
        <f>IFERROR(IF(AVERAGE(AJ93:AO93)&lt;&gt;0,AVERAGE(AJ93:AO93),""),"")</f>
        <v/>
      </c>
      <c r="AV93" s="78"/>
      <c r="AW93" s="68"/>
      <c r="AX93" s="78"/>
      <c r="AY93" s="68"/>
      <c r="AZ93" s="78"/>
      <c r="BA93" s="68"/>
      <c r="BB93" s="78"/>
      <c r="BC93" s="68"/>
      <c r="BD93" s="78"/>
      <c r="BE93" s="270"/>
      <c r="BF93" s="288" t="str">
        <f>IFERROR(IF(AVERAGE(AP93:AQ93)&lt;&gt;0,AVERAGE(AP93:AQ93),""),"")</f>
        <v/>
      </c>
      <c r="BG93" s="288" t="str">
        <f>IFERROR(IF(AVERAGE(AR93:AS93)&lt;&gt;0,AVERAGE(AR93:AS93),""),"")</f>
        <v/>
      </c>
      <c r="BH93" s="288" t="str">
        <f>IFERROR(IF(AVERAGE(AT93:AU93)&lt;&gt;0,AVERAGE(AT93:AU93),""),"")</f>
        <v/>
      </c>
      <c r="BI93" s="288" t="str">
        <f>IFERROR(IF(AVERAGE(AV93:AW93)&lt;&gt;0,AVERAGE(AV93:AW93),""),"")</f>
        <v/>
      </c>
      <c r="BJ93" s="288" t="str">
        <f>IFERROR(IF(AVERAGE(AX93:AY93)&lt;&gt;0,AVERAGE(AX93:AY93),""),"")</f>
        <v/>
      </c>
      <c r="BK93" s="288" t="str">
        <f>IFERROR(IF(AVERAGE(AZ93:BA93)&lt;&gt;0,AVERAGE(AZ93:BA93),""),"")</f>
        <v/>
      </c>
      <c r="BL93" s="288" t="str">
        <f>IFERROR(IF(AVERAGE(BB93:BC93)&lt;&gt;0,AVERAGE(BB93:BC93),""),"")</f>
        <v/>
      </c>
      <c r="BM93" s="288" t="str">
        <f>IFERROR(IF(AVERAGE(BD93:BE93)&lt;&gt;0,AVERAGE(BD93:BE93),""),"")</f>
        <v/>
      </c>
    </row>
    <row r="94" spans="1:65" s="102" customFormat="1" ht="14.25" customHeight="1" outlineLevel="1" x14ac:dyDescent="0.2">
      <c r="A94" s="320" t="s">
        <v>226</v>
      </c>
      <c r="B94" s="347"/>
      <c r="C94" s="350"/>
      <c r="D94" s="344"/>
      <c r="E94" s="282" t="s">
        <v>228</v>
      </c>
      <c r="F94" s="283" t="str">
        <f ca="1">IF(IFERROR((F$11*(F86-SUM(F88:F91)/F$11)*F93*3600)/(F92),"")&gt;0,IFERROR((F$11*(F86-SUM(F88:F91)/F$11)*F93*3600)/(F92),""),"")</f>
        <v/>
      </c>
      <c r="G94" s="284" t="str">
        <f t="shared" ref="G94" ca="1" si="447">IF(IFERROR((G$11*(G86-SUM(G88:G91)/G$11)*G93*3600)/(G92),"")&gt;0,IFERROR((G$11*(G86-SUM(G88:G91)/G$11)*G93*3600)/(G92),""),"")</f>
        <v/>
      </c>
      <c r="H94" s="284" t="str">
        <f t="shared" ref="H94" ca="1" si="448">IF(IFERROR((H$11*(H86-SUM(H88:H91)/H$11)*H93*3600)/(H92),"")&gt;0,IFERROR((H$11*(H86-SUM(H88:H91)/H$11)*H93*3600)/(H92),""),"")</f>
        <v/>
      </c>
      <c r="I94" s="284" t="str">
        <f t="shared" ref="I94" ca="1" si="449">IF(IFERROR((I$11*(I86-SUM(I88:I91)/I$11)*I93*3600)/(I92),"")&gt;0,IFERROR((I$11*(I86-SUM(I88:I91)/I$11)*I93*3600)/(I92),""),"")</f>
        <v/>
      </c>
      <c r="J94" s="284" t="str">
        <f t="shared" ref="J94" ca="1" si="450">IF(IFERROR((J$11*(J86-SUM(J88:J91)/J$11)*J93*3600)/(J92),"")&gt;0,IFERROR((J$11*(J86-SUM(J88:J91)/J$11)*J93*3600)/(J92),""),"")</f>
        <v/>
      </c>
      <c r="K94" s="284" t="str">
        <f t="shared" ref="K94" ca="1" si="451">IF(IFERROR((K$11*(K86-SUM(K88:K91)/K$11)*K93*3600)/(K92),"")&gt;0,IFERROR((K$11*(K86-SUM(K88:K91)/K$11)*K93*3600)/(K92),""),"")</f>
        <v/>
      </c>
      <c r="L94" s="284" t="str">
        <f t="shared" ref="L94" ca="1" si="452">IF(IFERROR((L$11*(L86-SUM(L88:L91)/L$11)*L93*3600)/(L92),"")&gt;0,IFERROR((L$11*(L86-SUM(L88:L91)/L$11)*L93*3600)/(L92),""),"")</f>
        <v/>
      </c>
      <c r="M94" s="284" t="str">
        <f t="shared" ref="M94" ca="1" si="453">IF(IFERROR((M$11*(M86-SUM(M88:M91)/M$11)*M93*3600)/(M92),"")&gt;0,IFERROR((M$11*(M86-SUM(M88:M91)/M$11)*M93*3600)/(M92),""),"")</f>
        <v/>
      </c>
      <c r="N94" s="284" t="str">
        <f t="shared" ref="N94" ca="1" si="454">IF(IFERROR((N$11*(N86-SUM(N88:N91)/N$11)*N93*3600)/(N92),"")&gt;0,IFERROR((N$11*(N86-SUM(N88:N91)/N$11)*N93*3600)/(N92),""),"")</f>
        <v/>
      </c>
      <c r="O94" s="284" t="str">
        <f t="shared" ref="O94" ca="1" si="455">IF(IFERROR((O$11*(O86-SUM(O88:O91)/O$11)*O93*3600)/(O92),"")&gt;0,IFERROR((O$11*(O86-SUM(O88:O91)/O$11)*O93*3600)/(O92),""),"")</f>
        <v/>
      </c>
      <c r="P94" s="284" t="str">
        <f t="shared" ref="P94" ca="1" si="456">IF(IFERROR((P$11*(P86-SUM(P88:P91)/P$11)*P93*3600)/(P92),"")&gt;0,IFERROR((P$11*(P86-SUM(P88:P91)/P$11)*P93*3600)/(P92),""),"")</f>
        <v/>
      </c>
      <c r="Q94" s="284" t="str">
        <f t="shared" ref="Q94" ca="1" si="457">IF(IFERROR((Q$11*(Q86-SUM(Q88:Q91)/Q$11)*Q93*3600)/(Q92),"")&gt;0,IFERROR((Q$11*(Q86-SUM(Q88:Q91)/Q$11)*Q93*3600)/(Q92),""),"")</f>
        <v/>
      </c>
      <c r="R94" s="283" t="str">
        <f t="shared" ref="R94" ca="1" si="458">IF(IFERROR((R$11*(R86-SUM(R88:R91)/R$11)*R93*3600)/(R92),"")&gt;0,IFERROR((R$11*(R86-SUM(R88:R91)/R$11)*R93*3600)/(R92),""),"")</f>
        <v/>
      </c>
      <c r="S94" s="284" t="str">
        <f t="shared" ref="S94" ca="1" si="459">IF(IFERROR((S$11*(S86-SUM(S88:S91)/S$11)*S93*3600)/(S92),"")&gt;0,IFERROR((S$11*(S86-SUM(S88:S91)/S$11)*S93*3600)/(S92),""),"")</f>
        <v/>
      </c>
      <c r="T94" s="284" t="str">
        <f t="shared" ref="T94" ca="1" si="460">IF(IFERROR((T$11*(T86-SUM(T88:T91)/T$11)*T93*3600)/(T92),"")&gt;0,IFERROR((T$11*(T86-SUM(T88:T91)/T$11)*T93*3600)/(T92),""),"")</f>
        <v/>
      </c>
      <c r="U94" s="284" t="str">
        <f t="shared" ref="U94" ca="1" si="461">IF(IFERROR((U$11*(U86-SUM(U88:U91)/U$11)*U93*3600)/(U92),"")&gt;0,IFERROR((U$11*(U86-SUM(U88:U91)/U$11)*U93*3600)/(U92),""),"")</f>
        <v/>
      </c>
      <c r="V94" s="284" t="str">
        <f t="shared" ref="V94" ca="1" si="462">IF(IFERROR((V$11*(V86-SUM(V88:V91)/V$11)*V93*3600)/(V92),"")&gt;0,IFERROR((V$11*(V86-SUM(V88:V91)/V$11)*V93*3600)/(V92),""),"")</f>
        <v/>
      </c>
      <c r="W94" s="284" t="str">
        <f t="shared" ref="W94" ca="1" si="463">IF(IFERROR((W$11*(W86-SUM(W88:W91)/W$11)*W93*3600)/(W92),"")&gt;0,IFERROR((W$11*(W86-SUM(W88:W91)/W$11)*W93*3600)/(W92),""),"")</f>
        <v/>
      </c>
      <c r="X94" s="284" t="str">
        <f t="shared" ref="X94" ca="1" si="464">IF(IFERROR((X$11*(X86-SUM(X88:X91)/X$11)*X93*3600)/(X92),"")&gt;0,IFERROR((X$11*(X86-SUM(X88:X91)/X$11)*X93*3600)/(X92),""),"")</f>
        <v/>
      </c>
      <c r="Y94" s="284" t="str">
        <f t="shared" ref="Y94" ca="1" si="465">IF(IFERROR((Y$11*(Y86-SUM(Y88:Y91)/Y$11)*Y93*3600)/(Y92),"")&gt;0,IFERROR((Y$11*(Y86-SUM(Y88:Y91)/Y$11)*Y93*3600)/(Y92),""),"")</f>
        <v/>
      </c>
      <c r="Z94" s="284" t="str">
        <f t="shared" ref="Z94" ca="1" si="466">IF(IFERROR((Z$11*(Z86-SUM(Z88:Z91)/Z$11)*Z93*3600)/(Z92),"")&gt;0,IFERROR((Z$11*(Z86-SUM(Z88:Z91)/Z$11)*Z93*3600)/(Z92),""),"")</f>
        <v/>
      </c>
      <c r="AA94" s="284" t="str">
        <f t="shared" ref="AA94" ca="1" si="467">IF(IFERROR((AA$11*(AA86-SUM(AA88:AA91)/AA$11)*AA93*3600)/(AA92),"")&gt;0,IFERROR((AA$11*(AA86-SUM(AA88:AA91)/AA$11)*AA93*3600)/(AA92),""),"")</f>
        <v/>
      </c>
      <c r="AB94" s="284" t="str">
        <f t="shared" ref="AB94" ca="1" si="468">IF(IFERROR((AB$11*(AB86-SUM(AB88:AB91)/AB$11)*AB93*3600)/(AB92),"")&gt;0,IFERROR((AB$11*(AB86-SUM(AB88:AB91)/AB$11)*AB93*3600)/(AB92),""),"")</f>
        <v/>
      </c>
      <c r="AC94" s="284" t="str">
        <f t="shared" ref="AC94" ca="1" si="469">IF(IFERROR((AC$11*(AC86-SUM(AC88:AC91)/AC$11)*AC93*3600)/(AC92),"")&gt;0,IFERROR((AC$11*(AC86-SUM(AC88:AC91)/AC$11)*AC93*3600)/(AC92),""),"")</f>
        <v/>
      </c>
      <c r="AD94" s="283" t="str">
        <f t="shared" ref="AD94" ca="1" si="470">IF(IFERROR((AD$11*(AD86-SUM(AD88:AD91)/AD$11)*AD93*3600)/(AD92),"")&gt;0,IFERROR((AD$11*(AD86-SUM(AD88:AD91)/AD$11)*AD93*3600)/(AD92),""),"")</f>
        <v/>
      </c>
      <c r="AE94" s="284" t="str">
        <f t="shared" ref="AE94" ca="1" si="471">IF(IFERROR((AE$11*(AE86-SUM(AE88:AE91)/AE$11)*AE93*3600)/(AE92),"")&gt;0,IFERROR((AE$11*(AE86-SUM(AE88:AE91)/AE$11)*AE93*3600)/(AE92),""),"")</f>
        <v/>
      </c>
      <c r="AF94" s="284" t="str">
        <f t="shared" ref="AF94" ca="1" si="472">IF(IFERROR((AF$11*(AF86-SUM(AF88:AF91)/AF$11)*AF93*3600)/(AF92),"")&gt;0,IFERROR((AF$11*(AF86-SUM(AF88:AF91)/AF$11)*AF93*3600)/(AF92),""),"")</f>
        <v/>
      </c>
      <c r="AG94" s="284" t="str">
        <f t="shared" ref="AG94" ca="1" si="473">IF(IFERROR((AG$11*(AG86-SUM(AG88:AG91)/AG$11)*AG93*3600)/(AG92),"")&gt;0,IFERROR((AG$11*(AG86-SUM(AG88:AG91)/AG$11)*AG93*3600)/(AG92),""),"")</f>
        <v/>
      </c>
      <c r="AH94" s="284" t="str">
        <f t="shared" ref="AH94" ca="1" si="474">IF(IFERROR((AH$11*(AH86-SUM(AH88:AH91)/AH$11)*AH93*3600)/(AH92),"")&gt;0,IFERROR((AH$11*(AH86-SUM(AH88:AH91)/AH$11)*AH93*3600)/(AH92),""),"")</f>
        <v/>
      </c>
      <c r="AI94" s="284" t="str">
        <f t="shared" ref="AI94" ca="1" si="475">IF(IFERROR((AI$11*(AI86-SUM(AI88:AI91)/AI$11)*AI93*3600)/(AI92),"")&gt;0,IFERROR((AI$11*(AI86-SUM(AI88:AI91)/AI$11)*AI93*3600)/(AI92),""),"")</f>
        <v/>
      </c>
      <c r="AJ94" s="284" t="str">
        <f t="shared" ref="AJ94" ca="1" si="476">IF(IFERROR((AJ$11*(AJ86-SUM(AJ88:AJ91)/AJ$11)*AJ93*3600)/(AJ92),"")&gt;0,IFERROR((AJ$11*(AJ86-SUM(AJ88:AJ91)/AJ$11)*AJ93*3600)/(AJ92),""),"")</f>
        <v/>
      </c>
      <c r="AK94" s="284" t="str">
        <f t="shared" ref="AK94" ca="1" si="477">IF(IFERROR((AK$11*(AK86-SUM(AK88:AK91)/AK$11)*AK93*3600)/(AK92),"")&gt;0,IFERROR((AK$11*(AK86-SUM(AK88:AK91)/AK$11)*AK93*3600)/(AK92),""),"")</f>
        <v/>
      </c>
      <c r="AL94" s="284" t="str">
        <f t="shared" ref="AL94" ca="1" si="478">IF(IFERROR((AL$11*(AL86-SUM(AL88:AL91)/AL$11)*AL93*3600)/(AL92),"")&gt;0,IFERROR((AL$11*(AL86-SUM(AL88:AL91)/AL$11)*AL93*3600)/(AL92),""),"")</f>
        <v/>
      </c>
      <c r="AM94" s="284" t="str">
        <f t="shared" ref="AM94" ca="1" si="479">IF(IFERROR((AM$11*(AM86-SUM(AM88:AM91)/AM$11)*AM93*3600)/(AM92),"")&gt;0,IFERROR((AM$11*(AM86-SUM(AM88:AM91)/AM$11)*AM93*3600)/(AM92),""),"")</f>
        <v/>
      </c>
      <c r="AN94" s="284" t="str">
        <f t="shared" ref="AN94" ca="1" si="480">IF(IFERROR((AN$11*(AN86-SUM(AN88:AN91)/AN$11)*AN93*3600)/(AN92),"")&gt;0,IFERROR((AN$11*(AN86-SUM(AN88:AN91)/AN$11)*AN93*3600)/(AN92),""),"")</f>
        <v/>
      </c>
      <c r="AO94" s="284" t="str">
        <f t="shared" ref="AO94" ca="1" si="481">IF(IFERROR((AO$11*(AO86-SUM(AO88:AO91)/AO$11)*AO93*3600)/(AO92),"")&gt;0,IFERROR((AO$11*(AO86-SUM(AO88:AO91)/AO$11)*AO93*3600)/(AO92),""),"")</f>
        <v/>
      </c>
      <c r="AP94" s="283" t="e">
        <f t="shared" ref="AP94:AP95" ca="1" si="482">IF(SUM(F94:K94)&lt;&gt;0,SUM(F94:K94),#N/A)</f>
        <v>#N/A</v>
      </c>
      <c r="AQ94" s="284" t="e">
        <f t="shared" ref="AQ94:AQ95" ca="1" si="483">IF(SUM(L94:Q94)&lt;&gt;0,SUM(L94:Q94),#N/A)</f>
        <v>#N/A</v>
      </c>
      <c r="AR94" s="283" t="e">
        <f t="shared" ref="AR94:AR95" ca="1" si="484">IF(SUM(R94:W94)&lt;&gt;0,SUM(R94:W94),#N/A)</f>
        <v>#N/A</v>
      </c>
      <c r="AS94" s="284" t="e">
        <f t="shared" ref="AS94:AS95" ca="1" si="485">IF(SUM(X94:AC94)&lt;&gt;0,SUM(X94:AC94),#N/A)</f>
        <v>#N/A</v>
      </c>
      <c r="AT94" s="283" t="e">
        <f t="shared" ref="AT94:AT95" ca="1" si="486">IF(SUM(AD94:AI94)&lt;&gt;0,SUM(AD94:AI94),#N/A)</f>
        <v>#N/A</v>
      </c>
      <c r="AU94" s="284" t="e">
        <f t="shared" ref="AU94:AU95" ca="1" si="487">IF(SUM(AJ94:AO94)&lt;&gt;0,SUM(AJ94:AO94),#N/A)</f>
        <v>#N/A</v>
      </c>
      <c r="AV94" s="283" t="str">
        <f ca="1">IF(IFERROR((AV$11*(AV86-SUM(AV88:AV91)/AV$11)*AV93*3600)/(AV92),"")&lt;&gt;0,IFERROR((AV$11*(AV86-SUM(AV88:AV91)/AV$11)*AV93*3600)/(AV92),""),"")</f>
        <v/>
      </c>
      <c r="AW94" s="284" t="str">
        <f t="shared" ref="AW94" ca="1" si="488">IF(IFERROR((AW$11*(AW86-SUM(AW88:AW91)/AW$11)*AW93*3600)/(AW92),"")&lt;&gt;0,IFERROR((AW$11*(AW86-SUM(AW88:AW91)/AW$11)*AW93*3600)/(AW92),""),"")</f>
        <v/>
      </c>
      <c r="AX94" s="283" t="str">
        <f t="shared" ref="AX94" ca="1" si="489">IF(IFERROR((AX$11*(AX86-SUM(AX88:AX91)/AX$11)*AX93*3600)/(AX92),"")&lt;&gt;0,IFERROR((AX$11*(AX86-SUM(AX88:AX91)/AX$11)*AX93*3600)/(AX92),""),"")</f>
        <v/>
      </c>
      <c r="AY94" s="284" t="str">
        <f t="shared" ref="AY94" ca="1" si="490">IF(IFERROR((AY$11*(AY86-SUM(AY88:AY91)/AY$11)*AY93*3600)/(AY92),"")&lt;&gt;0,IFERROR((AY$11*(AY86-SUM(AY88:AY91)/AY$11)*AY93*3600)/(AY92),""),"")</f>
        <v/>
      </c>
      <c r="AZ94" s="283" t="str">
        <f t="shared" ref="AZ94" ca="1" si="491">IF(IFERROR((AZ$11*(AZ86-SUM(AZ88:AZ91)/AZ$11)*AZ93*3600)/(AZ92),"")&lt;&gt;0,IFERROR((AZ$11*(AZ86-SUM(AZ88:AZ91)/AZ$11)*AZ93*3600)/(AZ92),""),"")</f>
        <v/>
      </c>
      <c r="BA94" s="284" t="str">
        <f t="shared" ref="BA94" ca="1" si="492">IF(IFERROR((BA$11*(BA86-SUM(BA88:BA91)/BA$11)*BA93*3600)/(BA92),"")&lt;&gt;0,IFERROR((BA$11*(BA86-SUM(BA88:BA91)/BA$11)*BA93*3600)/(BA92),""),"")</f>
        <v/>
      </c>
      <c r="BB94" s="283" t="str">
        <f t="shared" ref="BB94" ca="1" si="493">IF(IFERROR((BB$11*(BB86-SUM(BB88:BB91)/BB$11)*BB93*3600)/(BB92),"")&lt;&gt;0,IFERROR((BB$11*(BB86-SUM(BB88:BB91)/BB$11)*BB93*3600)/(BB92),""),"")</f>
        <v/>
      </c>
      <c r="BC94" s="284" t="str">
        <f t="shared" ref="BC94" ca="1" si="494">IF(IFERROR((BC$11*(BC86-SUM(BC88:BC91)/BC$11)*BC93*3600)/(BC92),"")&lt;&gt;0,IFERROR((BC$11*(BC86-SUM(BC88:BC91)/BC$11)*BC93*3600)/(BC92),""),"")</f>
        <v/>
      </c>
      <c r="BD94" s="283" t="str">
        <f t="shared" ref="BD94" ca="1" si="495">IF(IFERROR((BD$11*(BD86-SUM(BD88:BD91)/BD$11)*BD93*3600)/(BD92),"")&lt;&gt;0,IFERROR((BD$11*(BD86-SUM(BD88:BD91)/BD$11)*BD93*3600)/(BD92),""),"")</f>
        <v/>
      </c>
      <c r="BE94" s="285" t="str">
        <f t="shared" ref="BE94" ca="1" si="496">IF(IFERROR((BE$11*(BE86-SUM(BE88:BE91)/BE$11)*BE93*3600)/(BE92),"")&lt;&gt;0,IFERROR((BE$11*(BE86-SUM(BE88:BE91)/BE$11)*BE93*3600)/(BE92),""),"")</f>
        <v/>
      </c>
      <c r="BF94" s="285" t="e">
        <f t="shared" ref="BF94:BF95" ca="1" si="497">IF(SUM(AP94,AQ94)&lt;&gt;0,SUM(AP94,AQ94),#N/A)</f>
        <v>#N/A</v>
      </c>
      <c r="BG94" s="285" t="e">
        <f t="shared" ref="BG94:BG95" ca="1" si="498">IF(SUM(AR94,AS94)&lt;&gt;0,SUM(AR94,AS94),#N/A)</f>
        <v>#N/A</v>
      </c>
      <c r="BH94" s="285" t="e">
        <f t="shared" ref="BH94:BH95" ca="1" si="499">IF(SUM(AT94,AU94)&lt;&gt;0,SUM(AT94,AU94),#N/A)</f>
        <v>#N/A</v>
      </c>
      <c r="BI94" s="285" t="e">
        <f t="shared" ref="BI94:BI95" ca="1" si="500">IF(SUM(AV94,AW94)&lt;&gt;0,SUM(AV94,AW94),#N/A)</f>
        <v>#N/A</v>
      </c>
      <c r="BJ94" s="285" t="e">
        <f t="shared" ref="BJ94:BJ95" ca="1" si="501">IF(SUM(AX94,AY94)&lt;&gt;0,SUM(AX94,AY94),#N/A)</f>
        <v>#N/A</v>
      </c>
      <c r="BK94" s="285" t="e">
        <f t="shared" ref="BK94:BK95" ca="1" si="502">IF(SUM(AZ94,BA94)&lt;&gt;0,SUM(AZ94,BA94),#N/A)</f>
        <v>#N/A</v>
      </c>
      <c r="BL94" s="285" t="e">
        <f t="shared" ref="BL94:BL95" ca="1" si="503">IF(SUM(BB94,BC94)&lt;&gt;0,SUM(BB94,BC94),#N/A)</f>
        <v>#N/A</v>
      </c>
      <c r="BM94" s="285" t="e">
        <f t="shared" ref="BM94:BM95" ca="1" si="504">IF(SUM(BD94,BE94)&lt;&gt;0,SUM(BD94,BE94),#N/A)</f>
        <v>#N/A</v>
      </c>
    </row>
    <row r="95" spans="1:65" s="102" customFormat="1" ht="15" customHeight="1" outlineLevel="1" thickBot="1" x14ac:dyDescent="0.25">
      <c r="A95" s="320" t="s">
        <v>226</v>
      </c>
      <c r="B95" s="348"/>
      <c r="C95" s="351"/>
      <c r="D95" s="345"/>
      <c r="E95" s="104" t="s">
        <v>225</v>
      </c>
      <c r="F95" s="36" t="str">
        <f ca="1">IFERROR(F94+((F85*F87*F93*3600)/(F92)),"")</f>
        <v/>
      </c>
      <c r="G95" s="37" t="str">
        <f t="shared" ref="G95:AO95" ca="1" si="505">IFERROR(G94+((G85*G87*G93*3600)/(G92)),"")</f>
        <v/>
      </c>
      <c r="H95" s="37" t="str">
        <f t="shared" ca="1" si="505"/>
        <v/>
      </c>
      <c r="I95" s="37" t="str">
        <f t="shared" ca="1" si="505"/>
        <v/>
      </c>
      <c r="J95" s="37" t="str">
        <f t="shared" ca="1" si="505"/>
        <v/>
      </c>
      <c r="K95" s="37" t="str">
        <f t="shared" ca="1" si="505"/>
        <v/>
      </c>
      <c r="L95" s="37" t="str">
        <f t="shared" ca="1" si="505"/>
        <v/>
      </c>
      <c r="M95" s="37" t="str">
        <f t="shared" ca="1" si="505"/>
        <v/>
      </c>
      <c r="N95" s="37" t="str">
        <f t="shared" ca="1" si="505"/>
        <v/>
      </c>
      <c r="O95" s="37" t="str">
        <f t="shared" ca="1" si="505"/>
        <v/>
      </c>
      <c r="P95" s="37" t="str">
        <f t="shared" ca="1" si="505"/>
        <v/>
      </c>
      <c r="Q95" s="37" t="str">
        <f t="shared" ca="1" si="505"/>
        <v/>
      </c>
      <c r="R95" s="36" t="str">
        <f t="shared" ca="1" si="505"/>
        <v/>
      </c>
      <c r="S95" s="37" t="str">
        <f t="shared" ca="1" si="505"/>
        <v/>
      </c>
      <c r="T95" s="37" t="str">
        <f t="shared" ca="1" si="505"/>
        <v/>
      </c>
      <c r="U95" s="37" t="str">
        <f t="shared" ca="1" si="505"/>
        <v/>
      </c>
      <c r="V95" s="37" t="str">
        <f t="shared" ca="1" si="505"/>
        <v/>
      </c>
      <c r="W95" s="37" t="str">
        <f t="shared" ca="1" si="505"/>
        <v/>
      </c>
      <c r="X95" s="37" t="str">
        <f t="shared" ca="1" si="505"/>
        <v/>
      </c>
      <c r="Y95" s="37" t="str">
        <f t="shared" ca="1" si="505"/>
        <v/>
      </c>
      <c r="Z95" s="37" t="str">
        <f t="shared" ca="1" si="505"/>
        <v/>
      </c>
      <c r="AA95" s="37" t="str">
        <f t="shared" ca="1" si="505"/>
        <v/>
      </c>
      <c r="AB95" s="37" t="str">
        <f t="shared" ca="1" si="505"/>
        <v/>
      </c>
      <c r="AC95" s="37" t="str">
        <f t="shared" ca="1" si="505"/>
        <v/>
      </c>
      <c r="AD95" s="36" t="str">
        <f t="shared" ca="1" si="505"/>
        <v/>
      </c>
      <c r="AE95" s="37" t="str">
        <f t="shared" ca="1" si="505"/>
        <v/>
      </c>
      <c r="AF95" s="37" t="str">
        <f t="shared" ca="1" si="505"/>
        <v/>
      </c>
      <c r="AG95" s="37" t="str">
        <f t="shared" ca="1" si="505"/>
        <v/>
      </c>
      <c r="AH95" s="37" t="str">
        <f t="shared" ca="1" si="505"/>
        <v/>
      </c>
      <c r="AI95" s="37" t="str">
        <f t="shared" ca="1" si="505"/>
        <v/>
      </c>
      <c r="AJ95" s="37" t="str">
        <f t="shared" ca="1" si="505"/>
        <v/>
      </c>
      <c r="AK95" s="37" t="str">
        <f t="shared" ca="1" si="505"/>
        <v/>
      </c>
      <c r="AL95" s="37" t="str">
        <f t="shared" ca="1" si="505"/>
        <v/>
      </c>
      <c r="AM95" s="37" t="str">
        <f t="shared" ca="1" si="505"/>
        <v/>
      </c>
      <c r="AN95" s="37" t="str">
        <f t="shared" ca="1" si="505"/>
        <v/>
      </c>
      <c r="AO95" s="37" t="str">
        <f t="shared" ca="1" si="505"/>
        <v/>
      </c>
      <c r="AP95" s="36" t="e">
        <f t="shared" ca="1" si="482"/>
        <v>#N/A</v>
      </c>
      <c r="AQ95" s="37" t="e">
        <f t="shared" ca="1" si="483"/>
        <v>#N/A</v>
      </c>
      <c r="AR95" s="36" t="e">
        <f t="shared" ca="1" si="484"/>
        <v>#N/A</v>
      </c>
      <c r="AS95" s="37" t="e">
        <f t="shared" ca="1" si="485"/>
        <v>#N/A</v>
      </c>
      <c r="AT95" s="36" t="e">
        <f t="shared" ca="1" si="486"/>
        <v>#N/A</v>
      </c>
      <c r="AU95" s="37" t="e">
        <f t="shared" ca="1" si="487"/>
        <v>#N/A</v>
      </c>
      <c r="AV95" s="36" t="str">
        <f t="shared" ref="AV95:BE95" ca="1" si="506">IFERROR(AV94+((AV85*AV87*AV93*3600)/(AV92)),"")</f>
        <v/>
      </c>
      <c r="AW95" s="37" t="str">
        <f t="shared" ca="1" si="506"/>
        <v/>
      </c>
      <c r="AX95" s="36" t="str">
        <f t="shared" ca="1" si="506"/>
        <v/>
      </c>
      <c r="AY95" s="37" t="str">
        <f t="shared" ca="1" si="506"/>
        <v/>
      </c>
      <c r="AZ95" s="36" t="str">
        <f t="shared" ca="1" si="506"/>
        <v/>
      </c>
      <c r="BA95" s="37" t="str">
        <f t="shared" ca="1" si="506"/>
        <v/>
      </c>
      <c r="BB95" s="36" t="str">
        <f t="shared" ca="1" si="506"/>
        <v/>
      </c>
      <c r="BC95" s="37" t="str">
        <f t="shared" ca="1" si="506"/>
        <v/>
      </c>
      <c r="BD95" s="36" t="str">
        <f t="shared" ca="1" si="506"/>
        <v/>
      </c>
      <c r="BE95" s="43" t="str">
        <f t="shared" ca="1" si="506"/>
        <v/>
      </c>
      <c r="BF95" s="43" t="e">
        <f t="shared" ca="1" si="497"/>
        <v>#N/A</v>
      </c>
      <c r="BG95" s="43" t="e">
        <f t="shared" ca="1" si="498"/>
        <v>#N/A</v>
      </c>
      <c r="BH95" s="43" t="e">
        <f t="shared" ca="1" si="499"/>
        <v>#N/A</v>
      </c>
      <c r="BI95" s="43" t="e">
        <f t="shared" ca="1" si="500"/>
        <v>#N/A</v>
      </c>
      <c r="BJ95" s="43" t="e">
        <f t="shared" ca="1" si="501"/>
        <v>#N/A</v>
      </c>
      <c r="BK95" s="43" t="e">
        <f t="shared" ca="1" si="502"/>
        <v>#N/A</v>
      </c>
      <c r="BL95" s="43" t="e">
        <f t="shared" ca="1" si="503"/>
        <v>#N/A</v>
      </c>
      <c r="BM95" s="43" t="e">
        <f t="shared" ca="1" si="504"/>
        <v>#N/A</v>
      </c>
    </row>
    <row r="96" spans="1:65" s="102" customFormat="1" ht="22.5" outlineLevel="2" x14ac:dyDescent="0.2">
      <c r="A96" s="320" t="s">
        <v>226</v>
      </c>
      <c r="B96" s="346"/>
      <c r="C96" s="349" t="str">
        <f t="shared" ref="C96" si="507">IF(AND($B96&lt;&gt;0,$C$9&lt;&gt;0),$C$9,"")</f>
        <v/>
      </c>
      <c r="D96" s="343"/>
      <c r="E96" s="277" t="s">
        <v>40</v>
      </c>
      <c r="F96" s="33">
        <f ca="1">IF(F$11-(SUM(F100:F103)/24)=0,"",F$11-(SUM(F100:F103)/24))</f>
        <v>27</v>
      </c>
      <c r="G96" s="34">
        <f t="shared" ref="G96:AO96" ca="1" si="508">IF(G$11-(SUM(G100:G103)/24)=0,"",G$11-(SUM(G100:G103)/24))</f>
        <v>24</v>
      </c>
      <c r="H96" s="34">
        <f t="shared" ca="1" si="508"/>
        <v>26</v>
      </c>
      <c r="I96" s="34">
        <f t="shared" ca="1" si="508"/>
        <v>26</v>
      </c>
      <c r="J96" s="34">
        <f t="shared" ca="1" si="508"/>
        <v>27</v>
      </c>
      <c r="K96" s="34">
        <f t="shared" ca="1" si="508"/>
        <v>25</v>
      </c>
      <c r="L96" s="34">
        <f t="shared" ca="1" si="508"/>
        <v>27</v>
      </c>
      <c r="M96" s="34">
        <f t="shared" ca="1" si="508"/>
        <v>26</v>
      </c>
      <c r="N96" s="34">
        <f t="shared" ca="1" si="508"/>
        <v>26</v>
      </c>
      <c r="O96" s="34">
        <f t="shared" ca="1" si="508"/>
        <v>27</v>
      </c>
      <c r="P96" s="34">
        <f t="shared" ca="1" si="508"/>
        <v>25</v>
      </c>
      <c r="Q96" s="34">
        <f t="shared" ca="1" si="508"/>
        <v>27</v>
      </c>
      <c r="R96" s="32">
        <f t="shared" ca="1" si="508"/>
        <v>27</v>
      </c>
      <c r="S96" s="29">
        <f t="shared" ca="1" si="508"/>
        <v>24</v>
      </c>
      <c r="T96" s="29">
        <f t="shared" ca="1" si="508"/>
        <v>26</v>
      </c>
      <c r="U96" s="29">
        <f t="shared" ca="1" si="508"/>
        <v>26</v>
      </c>
      <c r="V96" s="29">
        <f t="shared" ca="1" si="508"/>
        <v>26</v>
      </c>
      <c r="W96" s="29">
        <f t="shared" ca="1" si="508"/>
        <v>26</v>
      </c>
      <c r="X96" s="29">
        <f t="shared" ca="1" si="508"/>
        <v>27</v>
      </c>
      <c r="Y96" s="29">
        <f t="shared" ca="1" si="508"/>
        <v>26</v>
      </c>
      <c r="Z96" s="29">
        <f t="shared" ca="1" si="508"/>
        <v>26</v>
      </c>
      <c r="AA96" s="29">
        <f t="shared" ca="1" si="508"/>
        <v>27</v>
      </c>
      <c r="AB96" s="29">
        <f t="shared" ca="1" si="508"/>
        <v>25</v>
      </c>
      <c r="AC96" s="29">
        <f t="shared" ca="1" si="508"/>
        <v>27</v>
      </c>
      <c r="AD96" s="32">
        <f t="shared" ca="1" si="508"/>
        <v>26</v>
      </c>
      <c r="AE96" s="29">
        <f t="shared" ca="1" si="508"/>
        <v>24</v>
      </c>
      <c r="AF96" s="29">
        <f t="shared" ca="1" si="508"/>
        <v>27</v>
      </c>
      <c r="AG96" s="29">
        <f t="shared" ca="1" si="508"/>
        <v>26</v>
      </c>
      <c r="AH96" s="29">
        <f t="shared" ca="1" si="508"/>
        <v>26</v>
      </c>
      <c r="AI96" s="29">
        <f t="shared" ca="1" si="508"/>
        <v>26</v>
      </c>
      <c r="AJ96" s="29">
        <f t="shared" ca="1" si="508"/>
        <v>27</v>
      </c>
      <c r="AK96" s="29">
        <f t="shared" ca="1" si="508"/>
        <v>26</v>
      </c>
      <c r="AL96" s="29">
        <f t="shared" ca="1" si="508"/>
        <v>26</v>
      </c>
      <c r="AM96" s="29">
        <f t="shared" ca="1" si="508"/>
        <v>26</v>
      </c>
      <c r="AN96" s="29">
        <f t="shared" ca="1" si="508"/>
        <v>26</v>
      </c>
      <c r="AO96" s="29">
        <f t="shared" ca="1" si="508"/>
        <v>27</v>
      </c>
      <c r="AP96" s="32">
        <f ca="1">IF(SUM(F96:K96)&lt;&gt;0,SUM(F96:K96),"")</f>
        <v>155</v>
      </c>
      <c r="AQ96" s="29">
        <f ca="1">IF(SUM(L96:Q96)&lt;&gt;0,SUM(L96:Q96),"")</f>
        <v>158</v>
      </c>
      <c r="AR96" s="32">
        <f ca="1">IF(SUM(R96:W96)&lt;&gt;0,SUM(R96:W96),"")</f>
        <v>155</v>
      </c>
      <c r="AS96" s="29">
        <f ca="1">IF(SUM(X96:AC96)&lt;&gt;0,SUM(X96:AC96),"")</f>
        <v>158</v>
      </c>
      <c r="AT96" s="32">
        <f ca="1">IF(SUM(AD96:AI96)&lt;&gt;0,SUM(AD96:AI96),"")</f>
        <v>155</v>
      </c>
      <c r="AU96" s="296">
        <f ca="1">SUM(AJ96:AO96)</f>
        <v>158</v>
      </c>
      <c r="AV96" s="32">
        <f t="shared" ref="AV96:BE96" ca="1" si="509">IF(AV$11-(SUM(AV100:AV103)/24)=0,"",AV$11-(SUM(AV100:AV103)/24))</f>
        <v>156</v>
      </c>
      <c r="AW96" s="29">
        <f t="shared" ca="1" si="509"/>
        <v>157</v>
      </c>
      <c r="AX96" s="32">
        <f t="shared" ca="1" si="509"/>
        <v>156</v>
      </c>
      <c r="AY96" s="29">
        <f t="shared" ca="1" si="509"/>
        <v>158</v>
      </c>
      <c r="AZ96" s="32">
        <f t="shared" ca="1" si="509"/>
        <v>155</v>
      </c>
      <c r="BA96" s="29">
        <f t="shared" ca="1" si="509"/>
        <v>158</v>
      </c>
      <c r="BB96" s="32">
        <f t="shared" ca="1" si="509"/>
        <v>155</v>
      </c>
      <c r="BC96" s="29">
        <f t="shared" ca="1" si="509"/>
        <v>158</v>
      </c>
      <c r="BD96" s="32">
        <f t="shared" ca="1" si="509"/>
        <v>156</v>
      </c>
      <c r="BE96" s="262">
        <f t="shared" ca="1" si="509"/>
        <v>158</v>
      </c>
      <c r="BF96" s="286">
        <f t="shared" ref="BF96" ca="1" si="510">IF(SUM(AP96,AQ96)&lt;&gt;0,SUM(AP96,AQ96),#N/A)</f>
        <v>313</v>
      </c>
      <c r="BG96" s="286">
        <f t="shared" ref="BG96" ca="1" si="511">IF(SUM(AR96,AS96)&lt;&gt;0,SUM(AR96,AS96),#N/A)</f>
        <v>313</v>
      </c>
      <c r="BH96" s="286">
        <f t="shared" ref="BH96" ca="1" si="512">IF(SUM(AT96,AU96)&lt;&gt;0,SUM(AT96,AU96),#N/A)</f>
        <v>313</v>
      </c>
      <c r="BI96" s="286">
        <f t="shared" ref="BI96" ca="1" si="513">IF(SUM(AV96,AW96)&lt;&gt;0,SUM(AV96,AW96),#N/A)</f>
        <v>313</v>
      </c>
      <c r="BJ96" s="286">
        <f t="shared" ref="BJ96" ca="1" si="514">IF(SUM(AX96,AY96)&lt;&gt;0,SUM(AX96,AY96),#N/A)</f>
        <v>314</v>
      </c>
      <c r="BK96" s="286">
        <f t="shared" ref="BK96" ca="1" si="515">IF(SUM(AZ96,BA96)&lt;&gt;0,SUM(AZ96,BA96),#N/A)</f>
        <v>313</v>
      </c>
      <c r="BL96" s="286">
        <f t="shared" ref="BL96" ca="1" si="516">IF(SUM(BB96,BC96)&lt;&gt;0,SUM(BB96,BC96),#N/A)</f>
        <v>313</v>
      </c>
      <c r="BM96" s="286">
        <f t="shared" ref="BM96" ca="1" si="517">IF(SUM(BD96,BE96)&lt;&gt;0,SUM(BD96,BE96),#N/A)</f>
        <v>314</v>
      </c>
    </row>
    <row r="97" spans="1:65" s="102" customFormat="1" ht="15" customHeight="1" outlineLevel="2" thickBot="1" x14ac:dyDescent="0.25">
      <c r="A97" s="320" t="s">
        <v>226</v>
      </c>
      <c r="B97" s="347"/>
      <c r="C97" s="350"/>
      <c r="D97" s="344"/>
      <c r="E97" s="278" t="s">
        <v>29</v>
      </c>
      <c r="F97" s="47"/>
      <c r="G97" s="48"/>
      <c r="H97" s="48"/>
      <c r="I97" s="48"/>
      <c r="J97" s="48"/>
      <c r="K97" s="48"/>
      <c r="L97" s="48"/>
      <c r="M97" s="48"/>
      <c r="N97" s="48"/>
      <c r="O97" s="48"/>
      <c r="P97" s="48"/>
      <c r="Q97" s="51"/>
      <c r="R97" s="47"/>
      <c r="S97" s="48"/>
      <c r="T97" s="48"/>
      <c r="U97" s="48"/>
      <c r="V97" s="48"/>
      <c r="W97" s="48"/>
      <c r="X97" s="48"/>
      <c r="Y97" s="48"/>
      <c r="Z97" s="48"/>
      <c r="AA97" s="48"/>
      <c r="AB97" s="48"/>
      <c r="AC97" s="51"/>
      <c r="AD97" s="47"/>
      <c r="AE97" s="48"/>
      <c r="AF97" s="48"/>
      <c r="AG97" s="48"/>
      <c r="AH97" s="48"/>
      <c r="AI97" s="48"/>
      <c r="AJ97" s="48"/>
      <c r="AK97" s="48"/>
      <c r="AL97" s="48"/>
      <c r="AM97" s="48"/>
      <c r="AN97" s="48"/>
      <c r="AO97" s="51"/>
      <c r="AP97" s="294" t="str">
        <f>IFERROR(IF(SUM(F97:K97)&lt;&gt;0,SUM(F97:K97),""),"")</f>
        <v/>
      </c>
      <c r="AQ97" s="295" t="str">
        <f>IFERROR(IF(SUM(L97:Q97)&lt;&gt;0,SUM(L97:Q97),""),"")</f>
        <v/>
      </c>
      <c r="AR97" s="294" t="str">
        <f>IFERROR(IF(SUM(R97:W97)&lt;&gt;0,SUM(R97:W97),""),"")</f>
        <v/>
      </c>
      <c r="AS97" s="295" t="str">
        <f>IFERROR(IF(SUM(X97:AC97)&lt;&gt;0,SUM(X97:AC97),""),"")</f>
        <v/>
      </c>
      <c r="AT97" s="294" t="str">
        <f>IFERROR(IF(SUM(AD97:AI97)&lt;&gt;0,SUM(AD97:AI97),""),"")</f>
        <v/>
      </c>
      <c r="AU97" s="295" t="str">
        <f>IFERROR(IF(SUM(AJ97:AO97)&lt;&gt;0,SUM(AJ97:AO97),""),"")</f>
        <v/>
      </c>
      <c r="AV97" s="47"/>
      <c r="AW97" s="51"/>
      <c r="AX97" s="47"/>
      <c r="AY97" s="51"/>
      <c r="AZ97" s="47"/>
      <c r="BA97" s="51"/>
      <c r="BB97" s="47"/>
      <c r="BC97" s="51"/>
      <c r="BD97" s="47"/>
      <c r="BE97" s="263"/>
      <c r="BF97" s="271" t="str">
        <f>IFERROR(IF(AVERAGE(AP97:AQ97)&lt;&gt;0,AVERAGE(AP97:AQ97),""),"")</f>
        <v/>
      </c>
      <c r="BG97" s="271" t="str">
        <f>IFERROR(IF(AVERAGE(AR97:AS97)&lt;&gt;0,AVERAGE(AR97:AS97),""),"")</f>
        <v/>
      </c>
      <c r="BH97" s="271" t="str">
        <f>IFERROR(IF(AVERAGE(AT97:AU97)&lt;&gt;0,AVERAGE(AT97:AU97),""),"")</f>
        <v/>
      </c>
      <c r="BI97" s="271" t="str">
        <f>IFERROR(IF(AVERAGE(AV97:AW97)&lt;&gt;0,AVERAGE(AV97:AW97),""),"")</f>
        <v/>
      </c>
      <c r="BJ97" s="271" t="str">
        <f>IFERROR(IF(AVERAGE(AX97:AY97)&lt;&gt;0,AVERAGE(AX97:AY97),""),"")</f>
        <v/>
      </c>
      <c r="BK97" s="271" t="str">
        <f>IFERROR(IF(AVERAGE(AZ97:BA97)&lt;&gt;0,AVERAGE(AZ97:BA97),""),"")</f>
        <v/>
      </c>
      <c r="BL97" s="271" t="str">
        <f>IFERROR(IF(AVERAGE(BB97:BC97)&lt;&gt;0,AVERAGE(BB97:BC97),""),"")</f>
        <v/>
      </c>
      <c r="BM97" s="271" t="str">
        <f>IFERROR(IF(AVERAGE(BD97:BE97)&lt;&gt;0,AVERAGE(BD97:BE97),""),"")</f>
        <v/>
      </c>
    </row>
    <row r="98" spans="1:65" s="102" customFormat="1" ht="14.25" customHeight="1" outlineLevel="2" x14ac:dyDescent="0.2">
      <c r="A98" s="320" t="s">
        <v>226</v>
      </c>
      <c r="B98" s="347"/>
      <c r="C98" s="350"/>
      <c r="D98" s="344"/>
      <c r="E98" s="279" t="s">
        <v>28</v>
      </c>
      <c r="F98" s="52"/>
      <c r="G98" s="53"/>
      <c r="H98" s="53"/>
      <c r="I98" s="53"/>
      <c r="J98" s="53"/>
      <c r="K98" s="53"/>
      <c r="L98" s="53"/>
      <c r="M98" s="53"/>
      <c r="N98" s="53"/>
      <c r="O98" s="53"/>
      <c r="P98" s="53"/>
      <c r="Q98" s="54"/>
      <c r="R98" s="52"/>
      <c r="S98" s="53"/>
      <c r="T98" s="53"/>
      <c r="U98" s="53"/>
      <c r="V98" s="53"/>
      <c r="W98" s="53"/>
      <c r="X98" s="53"/>
      <c r="Y98" s="53"/>
      <c r="Z98" s="53"/>
      <c r="AA98" s="53"/>
      <c r="AB98" s="53"/>
      <c r="AC98" s="54"/>
      <c r="AD98" s="52"/>
      <c r="AE98" s="53"/>
      <c r="AF98" s="53"/>
      <c r="AG98" s="53"/>
      <c r="AH98" s="53"/>
      <c r="AI98" s="53"/>
      <c r="AJ98" s="53"/>
      <c r="AK98" s="53"/>
      <c r="AL98" s="53"/>
      <c r="AM98" s="53"/>
      <c r="AN98" s="53"/>
      <c r="AO98" s="54"/>
      <c r="AP98" s="225" t="str">
        <f>IFERROR(IF(AVERAGE(F98:K98)&lt;&gt;0,AVERAGE(F98:K98),""),"")</f>
        <v/>
      </c>
      <c r="AQ98" s="226" t="str">
        <f>IFERROR(IF(AVERAGE(L98:Q98)&lt;&gt;0,AVERAGE(L98:Q98),""),"")</f>
        <v/>
      </c>
      <c r="AR98" s="225" t="str">
        <f>IFERROR(IF(AVERAGE(R98:W98)&lt;&gt;0,AVERAGE(R98:W98),""),"")</f>
        <v/>
      </c>
      <c r="AS98" s="226" t="str">
        <f>IFERROR(IF(AVERAGE(X98:AC98)&lt;&gt;0,AVERAGE(X98:AC98),""),"")</f>
        <v/>
      </c>
      <c r="AT98" s="225" t="str">
        <f>IFERROR(IF(AVERAGE(AD98:AI98)&lt;&gt;0,AVERAGE(AD98:AI98),""),"")</f>
        <v/>
      </c>
      <c r="AU98" s="226" t="str">
        <f>IFERROR(IF(AVERAGE(AJ98:AO98)&lt;&gt;0,AVERAGE(AJ98:AO98),""),"")</f>
        <v/>
      </c>
      <c r="AV98" s="70"/>
      <c r="AW98" s="53"/>
      <c r="AX98" s="70"/>
      <c r="AY98" s="53"/>
      <c r="AZ98" s="70"/>
      <c r="BA98" s="53"/>
      <c r="BB98" s="70"/>
      <c r="BC98" s="53"/>
      <c r="BD98" s="70"/>
      <c r="BE98" s="264"/>
      <c r="BF98" s="272" t="str">
        <f>IFERROR(IF(AVERAGE(AP98:AQ98)&lt;&gt;0,AVERAGE(AP98:AQ98),""),"")</f>
        <v/>
      </c>
      <c r="BG98" s="272" t="str">
        <f>IFERROR(IF(AVERAGE(AR98:AS98)&lt;&gt;0,AVERAGE(AR98:AS98),""),"")</f>
        <v/>
      </c>
      <c r="BH98" s="272" t="str">
        <f>IFERROR(IF(AVERAGE(AT98:AU98)&lt;&gt;0,AVERAGE(AT98:AU98),""),"")</f>
        <v/>
      </c>
      <c r="BI98" s="272" t="str">
        <f>IFERROR(IF(AVERAGE(AV98:AW98)&lt;&gt;0,AVERAGE(AV98:AW98),""),"")</f>
        <v/>
      </c>
      <c r="BJ98" s="272" t="str">
        <f>IFERROR(IF(AVERAGE(AX98:AY98)&lt;&gt;0,AVERAGE(AX98:AY98),""),"")</f>
        <v/>
      </c>
      <c r="BK98" s="272" t="str">
        <f>IFERROR(IF(AVERAGE(AZ98:BA98)&lt;&gt;0,AVERAGE(AZ98:BA98),""),"")</f>
        <v/>
      </c>
      <c r="BL98" s="272" t="str">
        <f>IFERROR(IF(AVERAGE(BB98:BC98)&lt;&gt;0,AVERAGE(BB98:BC98),""),"")</f>
        <v/>
      </c>
      <c r="BM98" s="272" t="str">
        <f>IFERROR(IF(AVERAGE(BD98:BE98)&lt;&gt;0,AVERAGE(BD98:BE98),""),"")</f>
        <v/>
      </c>
    </row>
    <row r="99" spans="1:65" s="102" customFormat="1" ht="15" customHeight="1" outlineLevel="2" thickBot="1" x14ac:dyDescent="0.25">
      <c r="A99" s="320" t="s">
        <v>226</v>
      </c>
      <c r="B99" s="347"/>
      <c r="C99" s="350"/>
      <c r="D99" s="344"/>
      <c r="E99" s="278" t="s">
        <v>30</v>
      </c>
      <c r="F99" s="55"/>
      <c r="G99" s="56"/>
      <c r="H99" s="56"/>
      <c r="I99" s="56"/>
      <c r="J99" s="56"/>
      <c r="K99" s="56"/>
      <c r="L99" s="56"/>
      <c r="M99" s="56"/>
      <c r="N99" s="56"/>
      <c r="O99" s="56"/>
      <c r="P99" s="56"/>
      <c r="Q99" s="57"/>
      <c r="R99" s="55"/>
      <c r="S99" s="56"/>
      <c r="T99" s="56"/>
      <c r="U99" s="56"/>
      <c r="V99" s="56"/>
      <c r="W99" s="56"/>
      <c r="X99" s="56"/>
      <c r="Y99" s="56"/>
      <c r="Z99" s="56"/>
      <c r="AA99" s="56"/>
      <c r="AB99" s="56"/>
      <c r="AC99" s="57"/>
      <c r="AD99" s="55"/>
      <c r="AE99" s="56"/>
      <c r="AF99" s="56"/>
      <c r="AG99" s="56"/>
      <c r="AH99" s="56"/>
      <c r="AI99" s="56"/>
      <c r="AJ99" s="56"/>
      <c r="AK99" s="56"/>
      <c r="AL99" s="56"/>
      <c r="AM99" s="56"/>
      <c r="AN99" s="56"/>
      <c r="AO99" s="57"/>
      <c r="AP99" s="227" t="str">
        <f>IFERROR(IF(AVERAGE(F99:K99)&lt;&gt;0,AVERAGE(F99:K99),""),"")</f>
        <v/>
      </c>
      <c r="AQ99" s="228" t="str">
        <f>IFERROR(IF(AVERAGE(L99:Q99)&lt;&gt;0,AVERAGE(L99:Q99),""),"")</f>
        <v/>
      </c>
      <c r="AR99" s="227" t="str">
        <f>IFERROR(IF(AVERAGE(R99:W99)&lt;&gt;0,AVERAGE(R99:W99),""),"")</f>
        <v/>
      </c>
      <c r="AS99" s="228" t="str">
        <f>IFERROR(IF(AVERAGE(X99:AC99)&lt;&gt;0,AVERAGE(X99:AC99),""),"")</f>
        <v/>
      </c>
      <c r="AT99" s="227" t="str">
        <f>IFERROR(IF(AVERAGE(AD99:AI99)&lt;&gt;0,AVERAGE(AD99:AI99),""),"")</f>
        <v/>
      </c>
      <c r="AU99" s="228" t="str">
        <f>IFERROR(IF(AVERAGE(AJ99:AO99)&lt;&gt;0,AVERAGE(AJ99:AO99),""),"")</f>
        <v/>
      </c>
      <c r="AV99" s="71"/>
      <c r="AW99" s="56"/>
      <c r="AX99" s="71"/>
      <c r="AY99" s="56"/>
      <c r="AZ99" s="71"/>
      <c r="BA99" s="56"/>
      <c r="BB99" s="71"/>
      <c r="BC99" s="56"/>
      <c r="BD99" s="71"/>
      <c r="BE99" s="265"/>
      <c r="BF99" s="273" t="str">
        <f>IFERROR(IF(AVERAGE(AP99:AQ99)&lt;&gt;0,AVERAGE(AP99:AQ99),""),"")</f>
        <v/>
      </c>
      <c r="BG99" s="273" t="str">
        <f>IFERROR(IF(AVERAGE(AR99:AS99)&lt;&gt;0,AVERAGE(AR99:AS99),""),"")</f>
        <v/>
      </c>
      <c r="BH99" s="273" t="str">
        <f>IFERROR(IF(AVERAGE(AT99:AU99)&lt;&gt;0,AVERAGE(AT99:AU99),""),"")</f>
        <v/>
      </c>
      <c r="BI99" s="273" t="str">
        <f>IFERROR(IF(AVERAGE(AV99:AW99)&lt;&gt;0,AVERAGE(AV99:AW99),""),"")</f>
        <v/>
      </c>
      <c r="BJ99" s="273" t="str">
        <f>IFERROR(IF(AVERAGE(AX99:AY99)&lt;&gt;0,AVERAGE(AX99:AY99),""),"")</f>
        <v/>
      </c>
      <c r="BK99" s="273" t="str">
        <f>IFERROR(IF(AVERAGE(AZ99:BA99)&lt;&gt;0,AVERAGE(AZ99:BA99),""),"")</f>
        <v/>
      </c>
      <c r="BL99" s="273" t="str">
        <f>IFERROR(IF(AVERAGE(BB99:BC99)&lt;&gt;0,AVERAGE(BB99:BC99),""),"")</f>
        <v/>
      </c>
      <c r="BM99" s="273" t="str">
        <f>IFERROR(IF(AVERAGE(BD99:BE99)&lt;&gt;0,AVERAGE(BD99:BE99),""),"")</f>
        <v/>
      </c>
    </row>
    <row r="100" spans="1:65" s="102" customFormat="1" ht="14.25" customHeight="1" outlineLevel="2" x14ac:dyDescent="0.2">
      <c r="A100" s="320" t="s">
        <v>226</v>
      </c>
      <c r="B100" s="347"/>
      <c r="C100" s="350"/>
      <c r="D100" s="344"/>
      <c r="E100" s="279" t="s">
        <v>25</v>
      </c>
      <c r="F100" s="58"/>
      <c r="G100" s="50"/>
      <c r="H100" s="50"/>
      <c r="I100" s="50"/>
      <c r="J100" s="50"/>
      <c r="K100" s="50"/>
      <c r="L100" s="50"/>
      <c r="M100" s="50"/>
      <c r="N100" s="50"/>
      <c r="O100" s="50"/>
      <c r="P100" s="50"/>
      <c r="Q100" s="59"/>
      <c r="R100" s="58"/>
      <c r="S100" s="50"/>
      <c r="T100" s="50"/>
      <c r="U100" s="50"/>
      <c r="V100" s="50"/>
      <c r="W100" s="50"/>
      <c r="X100" s="50"/>
      <c r="Y100" s="50"/>
      <c r="Z100" s="50"/>
      <c r="AA100" s="50"/>
      <c r="AB100" s="50"/>
      <c r="AC100" s="59"/>
      <c r="AD100" s="58"/>
      <c r="AE100" s="50"/>
      <c r="AF100" s="50"/>
      <c r="AG100" s="50"/>
      <c r="AH100" s="50"/>
      <c r="AI100" s="50"/>
      <c r="AJ100" s="50"/>
      <c r="AK100" s="50"/>
      <c r="AL100" s="50"/>
      <c r="AM100" s="50"/>
      <c r="AN100" s="50"/>
      <c r="AO100" s="59"/>
      <c r="AP100" s="229" t="str">
        <f>IFERROR(IF(SUM(F100:K100)&lt;&gt;0,SUM(F100:K100),""),"")</f>
        <v/>
      </c>
      <c r="AQ100" s="230" t="str">
        <f>IFERROR(IF(SUM(L100:Q100)&lt;&gt;0,SUM(L100:Q100),""),"")</f>
        <v/>
      </c>
      <c r="AR100" s="229" t="str">
        <f>IFERROR(IF(SUM(R100:W100)&lt;&gt;0,SUM(R100:W100),""),"")</f>
        <v/>
      </c>
      <c r="AS100" s="230" t="str">
        <f>IFERROR(IF(SUM(X100:AC100)&lt;&gt;0,SUM(X100:AC100),""),"")</f>
        <v/>
      </c>
      <c r="AT100" s="229" t="str">
        <f>IFERROR(IF(SUM(AD100:AI100)&lt;&gt;0,SUM(AD100:AI100),""),"")</f>
        <v/>
      </c>
      <c r="AU100" s="230" t="str">
        <f>IFERROR(IF(SUM(AJ100:AO100)&lt;&gt;0,SUM(AJ100:AO100),""),"")</f>
        <v/>
      </c>
      <c r="AV100" s="72"/>
      <c r="AW100" s="73"/>
      <c r="AX100" s="72"/>
      <c r="AY100" s="73"/>
      <c r="AZ100" s="72"/>
      <c r="BA100" s="73"/>
      <c r="BB100" s="72"/>
      <c r="BC100" s="73"/>
      <c r="BD100" s="72"/>
      <c r="BE100" s="266"/>
      <c r="BF100" s="286" t="e">
        <f t="shared" ref="BF100:BF103" si="518">IF(SUM(AP100,AQ100)&lt;&gt;0,SUM(AP100,AQ100),#N/A)</f>
        <v>#N/A</v>
      </c>
      <c r="BG100" s="286" t="e">
        <f t="shared" ref="BG100:BG103" si="519">IF(SUM(AR100,AS100)&lt;&gt;0,SUM(AR100,AS100),#N/A)</f>
        <v>#N/A</v>
      </c>
      <c r="BH100" s="286" t="e">
        <f t="shared" ref="BH100:BH103" si="520">IF(SUM(AT100,AU100)&lt;&gt;0,SUM(AT100,AU100),#N/A)</f>
        <v>#N/A</v>
      </c>
      <c r="BI100" s="286" t="e">
        <f t="shared" ref="BI100:BI103" si="521">IF(SUM(AV100,AW100)&lt;&gt;0,SUM(AV100,AW100),#N/A)</f>
        <v>#N/A</v>
      </c>
      <c r="BJ100" s="286" t="e">
        <f t="shared" ref="BJ100:BJ103" si="522">IF(SUM(AX100,AY100)&lt;&gt;0,SUM(AX100,AY100),#N/A)</f>
        <v>#N/A</v>
      </c>
      <c r="BK100" s="286" t="e">
        <f t="shared" ref="BK100:BK103" si="523">IF(SUM(AZ100,BA100)&lt;&gt;0,SUM(AZ100,BA100),#N/A)</f>
        <v>#N/A</v>
      </c>
      <c r="BL100" s="286" t="e">
        <f t="shared" ref="BL100:BL103" si="524">IF(SUM(BB100,BC100)&lt;&gt;0,SUM(BB100,BC100),#N/A)</f>
        <v>#N/A</v>
      </c>
      <c r="BM100" s="286" t="e">
        <f t="shared" ref="BM100:BM103" si="525">IF(SUM(BD100,BE100)&lt;&gt;0,SUM(BD100,BE100),#N/A)</f>
        <v>#N/A</v>
      </c>
    </row>
    <row r="101" spans="1:65" s="102" customFormat="1" ht="14.25" customHeight="1" outlineLevel="2" x14ac:dyDescent="0.2">
      <c r="A101" s="320" t="s">
        <v>226</v>
      </c>
      <c r="B101" s="347"/>
      <c r="C101" s="350"/>
      <c r="D101" s="344"/>
      <c r="E101" s="280" t="s">
        <v>26</v>
      </c>
      <c r="F101" s="60"/>
      <c r="G101" s="61"/>
      <c r="H101" s="61"/>
      <c r="I101" s="61"/>
      <c r="J101" s="61"/>
      <c r="K101" s="61"/>
      <c r="L101" s="61"/>
      <c r="M101" s="61"/>
      <c r="N101" s="61"/>
      <c r="O101" s="61"/>
      <c r="P101" s="61"/>
      <c r="Q101" s="62"/>
      <c r="R101" s="60"/>
      <c r="S101" s="61"/>
      <c r="T101" s="61"/>
      <c r="U101" s="61"/>
      <c r="V101" s="61"/>
      <c r="W101" s="61"/>
      <c r="X101" s="61"/>
      <c r="Y101" s="61"/>
      <c r="Z101" s="61"/>
      <c r="AA101" s="61"/>
      <c r="AB101" s="61"/>
      <c r="AC101" s="62"/>
      <c r="AD101" s="60"/>
      <c r="AE101" s="61"/>
      <c r="AF101" s="61"/>
      <c r="AG101" s="61"/>
      <c r="AH101" s="61"/>
      <c r="AI101" s="61"/>
      <c r="AJ101" s="61"/>
      <c r="AK101" s="61"/>
      <c r="AL101" s="61"/>
      <c r="AM101" s="61"/>
      <c r="AN101" s="61"/>
      <c r="AO101" s="62"/>
      <c r="AP101" s="231" t="str">
        <f>IFERROR(IF(SUM(F101:K101)&lt;&gt;0,SUM(F101:K101),""),"")</f>
        <v/>
      </c>
      <c r="AQ101" s="232" t="str">
        <f>IFERROR(IF(SUM(L101:Q101)&lt;&gt;0,SUM(L101:Q101),""),"")</f>
        <v/>
      </c>
      <c r="AR101" s="231" t="str">
        <f>IFERROR(IF(SUM(R101:W101)&lt;&gt;0,SUM(R101:W101),""),"")</f>
        <v/>
      </c>
      <c r="AS101" s="232" t="str">
        <f>IFERROR(IF(SUM(X101:AC101)&lt;&gt;0,SUM(X101:AC101),""),"")</f>
        <v/>
      </c>
      <c r="AT101" s="231" t="str">
        <f>IFERROR(IF(SUM(AD101:AI101)&lt;&gt;0,SUM(AD101:AI101),""),"")</f>
        <v/>
      </c>
      <c r="AU101" s="232" t="str">
        <f>IFERROR(IF(SUM(AJ101:AO101)&lt;&gt;0,SUM(AJ101:AO101),""),"")</f>
        <v/>
      </c>
      <c r="AV101" s="74"/>
      <c r="AW101" s="61"/>
      <c r="AX101" s="74"/>
      <c r="AY101" s="61"/>
      <c r="AZ101" s="74"/>
      <c r="BA101" s="61"/>
      <c r="BB101" s="74"/>
      <c r="BC101" s="61"/>
      <c r="BD101" s="74"/>
      <c r="BE101" s="267"/>
      <c r="BF101" s="287" t="e">
        <f t="shared" si="518"/>
        <v>#N/A</v>
      </c>
      <c r="BG101" s="287" t="e">
        <f t="shared" si="519"/>
        <v>#N/A</v>
      </c>
      <c r="BH101" s="287" t="e">
        <f t="shared" si="520"/>
        <v>#N/A</v>
      </c>
      <c r="BI101" s="287" t="e">
        <f t="shared" si="521"/>
        <v>#N/A</v>
      </c>
      <c r="BJ101" s="287" t="e">
        <f t="shared" si="522"/>
        <v>#N/A</v>
      </c>
      <c r="BK101" s="287" t="e">
        <f t="shared" si="523"/>
        <v>#N/A</v>
      </c>
      <c r="BL101" s="287" t="e">
        <f t="shared" si="524"/>
        <v>#N/A</v>
      </c>
      <c r="BM101" s="287" t="e">
        <f t="shared" si="525"/>
        <v>#N/A</v>
      </c>
    </row>
    <row r="102" spans="1:65" s="102" customFormat="1" ht="14.25" customHeight="1" outlineLevel="2" x14ac:dyDescent="0.2">
      <c r="A102" s="320" t="s">
        <v>226</v>
      </c>
      <c r="B102" s="347"/>
      <c r="C102" s="350"/>
      <c r="D102" s="344"/>
      <c r="E102" s="280" t="s">
        <v>27</v>
      </c>
      <c r="F102" s="60"/>
      <c r="G102" s="61"/>
      <c r="H102" s="61"/>
      <c r="I102" s="61"/>
      <c r="J102" s="61"/>
      <c r="K102" s="61"/>
      <c r="L102" s="61"/>
      <c r="M102" s="61"/>
      <c r="N102" s="61"/>
      <c r="O102" s="61"/>
      <c r="P102" s="61"/>
      <c r="Q102" s="62"/>
      <c r="R102" s="60"/>
      <c r="S102" s="61"/>
      <c r="T102" s="61"/>
      <c r="U102" s="61"/>
      <c r="V102" s="61"/>
      <c r="W102" s="61"/>
      <c r="X102" s="61"/>
      <c r="Y102" s="61"/>
      <c r="Z102" s="61"/>
      <c r="AA102" s="61"/>
      <c r="AB102" s="61"/>
      <c r="AC102" s="62"/>
      <c r="AD102" s="60"/>
      <c r="AE102" s="61"/>
      <c r="AF102" s="61"/>
      <c r="AG102" s="61"/>
      <c r="AH102" s="61"/>
      <c r="AI102" s="61"/>
      <c r="AJ102" s="61"/>
      <c r="AK102" s="61"/>
      <c r="AL102" s="61"/>
      <c r="AM102" s="61"/>
      <c r="AN102" s="61"/>
      <c r="AO102" s="62"/>
      <c r="AP102" s="231" t="str">
        <f>IFERROR(IF(SUM(F102:K102)&lt;&gt;0,SUM(F102:K102),""),"")</f>
        <v/>
      </c>
      <c r="AQ102" s="232" t="str">
        <f>IFERROR(IF(SUM(L102:Q102)&lt;&gt;0,SUM(L102:Q102),""),"")</f>
        <v/>
      </c>
      <c r="AR102" s="231" t="str">
        <f>IFERROR(IF(SUM(R102:W102)&lt;&gt;0,SUM(R102:W102),""),"")</f>
        <v/>
      </c>
      <c r="AS102" s="232" t="str">
        <f>IFERROR(IF(SUM(X102:AC102)&lt;&gt;0,SUM(X102:AC102),""),"")</f>
        <v/>
      </c>
      <c r="AT102" s="231" t="str">
        <f>IFERROR(IF(SUM(AD102:AI102)&lt;&gt;0,SUM(AD102:AI102),""),"")</f>
        <v/>
      </c>
      <c r="AU102" s="232" t="str">
        <f>IFERROR(IF(SUM(AJ102:AO102)&lt;&gt;0,SUM(AJ102:AO102),""),"")</f>
        <v/>
      </c>
      <c r="AV102" s="74"/>
      <c r="AW102" s="61"/>
      <c r="AX102" s="74"/>
      <c r="AY102" s="61"/>
      <c r="AZ102" s="74"/>
      <c r="BA102" s="61"/>
      <c r="BB102" s="74"/>
      <c r="BC102" s="61"/>
      <c r="BD102" s="74"/>
      <c r="BE102" s="267"/>
      <c r="BF102" s="287" t="e">
        <f t="shared" si="518"/>
        <v>#N/A</v>
      </c>
      <c r="BG102" s="287" t="e">
        <f t="shared" si="519"/>
        <v>#N/A</v>
      </c>
      <c r="BH102" s="287" t="e">
        <f t="shared" si="520"/>
        <v>#N/A</v>
      </c>
      <c r="BI102" s="287" t="e">
        <f t="shared" si="521"/>
        <v>#N/A</v>
      </c>
      <c r="BJ102" s="287" t="e">
        <f t="shared" si="522"/>
        <v>#N/A</v>
      </c>
      <c r="BK102" s="287" t="e">
        <f t="shared" si="523"/>
        <v>#N/A</v>
      </c>
      <c r="BL102" s="287" t="e">
        <f t="shared" si="524"/>
        <v>#N/A</v>
      </c>
      <c r="BM102" s="287" t="e">
        <f t="shared" si="525"/>
        <v>#N/A</v>
      </c>
    </row>
    <row r="103" spans="1:65" s="102" customFormat="1" ht="15" customHeight="1" outlineLevel="2" thickBot="1" x14ac:dyDescent="0.25">
      <c r="A103" s="320" t="s">
        <v>226</v>
      </c>
      <c r="B103" s="347"/>
      <c r="C103" s="350"/>
      <c r="D103" s="344"/>
      <c r="E103" s="281" t="s">
        <v>88</v>
      </c>
      <c r="F103" s="63"/>
      <c r="G103" s="48"/>
      <c r="H103" s="48"/>
      <c r="I103" s="48"/>
      <c r="J103" s="48"/>
      <c r="K103" s="48"/>
      <c r="L103" s="48"/>
      <c r="M103" s="48"/>
      <c r="N103" s="48"/>
      <c r="O103" s="48"/>
      <c r="P103" s="48"/>
      <c r="Q103" s="51"/>
      <c r="R103" s="63"/>
      <c r="S103" s="48"/>
      <c r="T103" s="48"/>
      <c r="U103" s="48"/>
      <c r="V103" s="48"/>
      <c r="W103" s="48"/>
      <c r="X103" s="48"/>
      <c r="Y103" s="48"/>
      <c r="Z103" s="48"/>
      <c r="AA103" s="48"/>
      <c r="AB103" s="48"/>
      <c r="AC103" s="51"/>
      <c r="AD103" s="63"/>
      <c r="AE103" s="48"/>
      <c r="AF103" s="48"/>
      <c r="AG103" s="48"/>
      <c r="AH103" s="48"/>
      <c r="AI103" s="48"/>
      <c r="AJ103" s="48"/>
      <c r="AK103" s="48"/>
      <c r="AL103" s="48"/>
      <c r="AM103" s="48"/>
      <c r="AN103" s="48"/>
      <c r="AO103" s="51"/>
      <c r="AP103" s="233" t="str">
        <f>IFERROR(IF(SUM(F103:K103)&lt;&gt;0,SUM(F103:K103),""),"")</f>
        <v/>
      </c>
      <c r="AQ103" s="234" t="str">
        <f>IFERROR(IF(SUM(L103:Q103)&lt;&gt;0,SUM(L103:Q103),""),"")</f>
        <v/>
      </c>
      <c r="AR103" s="233" t="str">
        <f>IFERROR(IF(SUM(R103:W103)&lt;&gt;0,SUM(R103:W103),""),"")</f>
        <v/>
      </c>
      <c r="AS103" s="234" t="str">
        <f>IFERROR(IF(SUM(X103:AC103)&lt;&gt;0,SUM(X103:AC103),""),"")</f>
        <v/>
      </c>
      <c r="AT103" s="233" t="str">
        <f>IFERROR(IF(SUM(AD103:AI103)&lt;&gt;0,SUM(AD103:AI103),""),"")</f>
        <v/>
      </c>
      <c r="AU103" s="234" t="str">
        <f>IFERROR(IF(SUM(AJ103:AO103)&lt;&gt;0,SUM(AJ103:AO103),""),"")</f>
        <v/>
      </c>
      <c r="AV103" s="75"/>
      <c r="AW103" s="76"/>
      <c r="AX103" s="75"/>
      <c r="AY103" s="76"/>
      <c r="AZ103" s="75"/>
      <c r="BA103" s="76"/>
      <c r="BB103" s="75"/>
      <c r="BC103" s="76"/>
      <c r="BD103" s="75"/>
      <c r="BE103" s="268"/>
      <c r="BF103" s="271" t="e">
        <f t="shared" si="518"/>
        <v>#N/A</v>
      </c>
      <c r="BG103" s="271" t="e">
        <f t="shared" si="519"/>
        <v>#N/A</v>
      </c>
      <c r="BH103" s="271" t="e">
        <f t="shared" si="520"/>
        <v>#N/A</v>
      </c>
      <c r="BI103" s="271" t="e">
        <f t="shared" si="521"/>
        <v>#N/A</v>
      </c>
      <c r="BJ103" s="271" t="e">
        <f t="shared" si="522"/>
        <v>#N/A</v>
      </c>
      <c r="BK103" s="271" t="e">
        <f t="shared" si="523"/>
        <v>#N/A</v>
      </c>
      <c r="BL103" s="271" t="e">
        <f t="shared" si="524"/>
        <v>#N/A</v>
      </c>
      <c r="BM103" s="271" t="e">
        <f t="shared" si="525"/>
        <v>#N/A</v>
      </c>
    </row>
    <row r="104" spans="1:65" s="102" customFormat="1" ht="14.25" customHeight="1" outlineLevel="2" x14ac:dyDescent="0.2">
      <c r="A104" s="320" t="s">
        <v>226</v>
      </c>
      <c r="B104" s="347"/>
      <c r="C104" s="350"/>
      <c r="D104" s="344"/>
      <c r="E104" s="279" t="s">
        <v>32</v>
      </c>
      <c r="F104" s="64"/>
      <c r="G104" s="65"/>
      <c r="H104" s="65"/>
      <c r="I104" s="65"/>
      <c r="J104" s="65"/>
      <c r="K104" s="65"/>
      <c r="L104" s="65"/>
      <c r="M104" s="65"/>
      <c r="N104" s="65"/>
      <c r="O104" s="65"/>
      <c r="P104" s="65"/>
      <c r="Q104" s="66"/>
      <c r="R104" s="64"/>
      <c r="S104" s="65"/>
      <c r="T104" s="65"/>
      <c r="U104" s="65"/>
      <c r="V104" s="65"/>
      <c r="W104" s="65"/>
      <c r="X104" s="65"/>
      <c r="Y104" s="65"/>
      <c r="Z104" s="65"/>
      <c r="AA104" s="65"/>
      <c r="AB104" s="65"/>
      <c r="AC104" s="66"/>
      <c r="AD104" s="64"/>
      <c r="AE104" s="65"/>
      <c r="AF104" s="65"/>
      <c r="AG104" s="65"/>
      <c r="AH104" s="65"/>
      <c r="AI104" s="65"/>
      <c r="AJ104" s="65"/>
      <c r="AK104" s="65"/>
      <c r="AL104" s="65"/>
      <c r="AM104" s="65"/>
      <c r="AN104" s="65"/>
      <c r="AO104" s="66"/>
      <c r="AP104" s="32" t="str">
        <f>IFERROR(IF(AVERAGE(F104:K104)&lt;&gt;0,AVERAGE(F104:K104),""),"")</f>
        <v/>
      </c>
      <c r="AQ104" s="235" t="str">
        <f>IFERROR(IF(AVERAGE(L104:Q104)&lt;&gt;0,AVERAGE(L104:Q104),""),"")</f>
        <v/>
      </c>
      <c r="AR104" s="32" t="str">
        <f>IFERROR(IF(AVERAGE(R104:W104)&lt;&gt;0,AVERAGE(R104:W104),""),"")</f>
        <v/>
      </c>
      <c r="AS104" s="235" t="str">
        <f>IFERROR(IF(AVERAGE(X104:AC104)&lt;&gt;0,AVERAGE(X104:AC104),""),"")</f>
        <v/>
      </c>
      <c r="AT104" s="32" t="str">
        <f>IFERROR(IF(AVERAGE(AD104:AI104)&lt;&gt;0,AVERAGE(AD104:AI104),""),"")</f>
        <v/>
      </c>
      <c r="AU104" s="235" t="str">
        <f>IFERROR(IF(AVERAGE(AJ104:AO104)&lt;&gt;0,AVERAGE(AJ104:AO104),""),"")</f>
        <v/>
      </c>
      <c r="AV104" s="77"/>
      <c r="AW104" s="65"/>
      <c r="AX104" s="77"/>
      <c r="AY104" s="65"/>
      <c r="AZ104" s="77"/>
      <c r="BA104" s="65"/>
      <c r="BB104" s="77"/>
      <c r="BC104" s="65"/>
      <c r="BD104" s="77"/>
      <c r="BE104" s="269"/>
      <c r="BF104" s="272" t="str">
        <f>IFERROR(IF(AVERAGE(AP104:AQ104)&lt;&gt;0,AVERAGE(AP104:AQ104),""),"")</f>
        <v/>
      </c>
      <c r="BG104" s="272" t="str">
        <f>IFERROR(IF(AVERAGE(AR104:AS104)&lt;&gt;0,AVERAGE(AR104:AS104),""),"")</f>
        <v/>
      </c>
      <c r="BH104" s="272" t="str">
        <f>IFERROR(IF(AVERAGE(AT104:AU104)&lt;&gt;0,AVERAGE(AT104:AU104),""),"")</f>
        <v/>
      </c>
      <c r="BI104" s="272" t="str">
        <f>IFERROR(IF(AVERAGE(AV104:AW104)&lt;&gt;0,AVERAGE(AV104:AW104),""),"")</f>
        <v/>
      </c>
      <c r="BJ104" s="272" t="str">
        <f>IFERROR(IF(AVERAGE(AX104:AY104)&lt;&gt;0,AVERAGE(AX104:AY104),""),"")</f>
        <v/>
      </c>
      <c r="BK104" s="272" t="str">
        <f>IFERROR(IF(AVERAGE(AZ104:BA104)&lt;&gt;0,AVERAGE(AZ104:BA104),""),"")</f>
        <v/>
      </c>
      <c r="BL104" s="272" t="str">
        <f>IFERROR(IF(AVERAGE(BB104:BC104)&lt;&gt;0,AVERAGE(BB104:BC104),""),"")</f>
        <v/>
      </c>
      <c r="BM104" s="272" t="str">
        <f>IFERROR(IF(AVERAGE(BD104:BE104)&lt;&gt;0,AVERAGE(BD104:BE104),""),"")</f>
        <v/>
      </c>
    </row>
    <row r="105" spans="1:65" s="102" customFormat="1" ht="15" customHeight="1" outlineLevel="2" thickBot="1" x14ac:dyDescent="0.25">
      <c r="A105" s="320" t="s">
        <v>226</v>
      </c>
      <c r="B105" s="347"/>
      <c r="C105" s="350"/>
      <c r="D105" s="344"/>
      <c r="E105" s="281" t="s">
        <v>2</v>
      </c>
      <c r="F105" s="67"/>
      <c r="G105" s="68"/>
      <c r="H105" s="68"/>
      <c r="I105" s="68"/>
      <c r="J105" s="68"/>
      <c r="K105" s="68"/>
      <c r="L105" s="68"/>
      <c r="M105" s="68"/>
      <c r="N105" s="68"/>
      <c r="O105" s="68"/>
      <c r="P105" s="68"/>
      <c r="Q105" s="69"/>
      <c r="R105" s="67"/>
      <c r="S105" s="68"/>
      <c r="T105" s="68"/>
      <c r="U105" s="68"/>
      <c r="V105" s="68"/>
      <c r="W105" s="68"/>
      <c r="X105" s="68"/>
      <c r="Y105" s="68"/>
      <c r="Z105" s="68"/>
      <c r="AA105" s="68"/>
      <c r="AB105" s="68"/>
      <c r="AC105" s="69"/>
      <c r="AD105" s="67"/>
      <c r="AE105" s="68"/>
      <c r="AF105" s="68"/>
      <c r="AG105" s="68"/>
      <c r="AH105" s="68"/>
      <c r="AI105" s="68"/>
      <c r="AJ105" s="68"/>
      <c r="AK105" s="68"/>
      <c r="AL105" s="68"/>
      <c r="AM105" s="68"/>
      <c r="AN105" s="68"/>
      <c r="AO105" s="69"/>
      <c r="AP105" s="236" t="str">
        <f>IFERROR(IF(AVERAGE(F105:K105)&lt;&gt;0,AVERAGE(F105:K105),""),"")</f>
        <v/>
      </c>
      <c r="AQ105" s="237" t="str">
        <f>IFERROR(IF(AVERAGE(L105:Q105)&lt;&gt;0,AVERAGE(L105:Q105),""),"")</f>
        <v/>
      </c>
      <c r="AR105" s="236" t="str">
        <f>IFERROR(IF(AVERAGE(R105:W105)&lt;&gt;0,AVERAGE(R105:W105),""),"")</f>
        <v/>
      </c>
      <c r="AS105" s="237" t="str">
        <f>IFERROR(IF(AVERAGE(X105:AC105)&lt;&gt;0,AVERAGE(X105:AC105),""),"")</f>
        <v/>
      </c>
      <c r="AT105" s="236" t="str">
        <f>IFERROR(IF(AVERAGE(AD105:AI105)&lt;&gt;0,AVERAGE(AD105:AI105),""),"")</f>
        <v/>
      </c>
      <c r="AU105" s="237" t="str">
        <f>IFERROR(IF(AVERAGE(AJ105:AO105)&lt;&gt;0,AVERAGE(AJ105:AO105),""),"")</f>
        <v/>
      </c>
      <c r="AV105" s="78"/>
      <c r="AW105" s="68"/>
      <c r="AX105" s="78"/>
      <c r="AY105" s="68"/>
      <c r="AZ105" s="78"/>
      <c r="BA105" s="68"/>
      <c r="BB105" s="78"/>
      <c r="BC105" s="68"/>
      <c r="BD105" s="78"/>
      <c r="BE105" s="270"/>
      <c r="BF105" s="288" t="str">
        <f>IFERROR(IF(AVERAGE(AP105:AQ105)&lt;&gt;0,AVERAGE(AP105:AQ105),""),"")</f>
        <v/>
      </c>
      <c r="BG105" s="288" t="str">
        <f>IFERROR(IF(AVERAGE(AR105:AS105)&lt;&gt;0,AVERAGE(AR105:AS105),""),"")</f>
        <v/>
      </c>
      <c r="BH105" s="288" t="str">
        <f>IFERROR(IF(AVERAGE(AT105:AU105)&lt;&gt;0,AVERAGE(AT105:AU105),""),"")</f>
        <v/>
      </c>
      <c r="BI105" s="288" t="str">
        <f>IFERROR(IF(AVERAGE(AV105:AW105)&lt;&gt;0,AVERAGE(AV105:AW105),""),"")</f>
        <v/>
      </c>
      <c r="BJ105" s="288" t="str">
        <f>IFERROR(IF(AVERAGE(AX105:AY105)&lt;&gt;0,AVERAGE(AX105:AY105),""),"")</f>
        <v/>
      </c>
      <c r="BK105" s="288" t="str">
        <f>IFERROR(IF(AVERAGE(AZ105:BA105)&lt;&gt;0,AVERAGE(AZ105:BA105),""),"")</f>
        <v/>
      </c>
      <c r="BL105" s="288" t="str">
        <f>IFERROR(IF(AVERAGE(BB105:BC105)&lt;&gt;0,AVERAGE(BB105:BC105),""),"")</f>
        <v/>
      </c>
      <c r="BM105" s="288" t="str">
        <f>IFERROR(IF(AVERAGE(BD105:BE105)&lt;&gt;0,AVERAGE(BD105:BE105),""),"")</f>
        <v/>
      </c>
    </row>
    <row r="106" spans="1:65" s="102" customFormat="1" ht="14.25" customHeight="1" outlineLevel="1" x14ac:dyDescent="0.2">
      <c r="A106" s="320" t="s">
        <v>226</v>
      </c>
      <c r="B106" s="347"/>
      <c r="C106" s="350"/>
      <c r="D106" s="344"/>
      <c r="E106" s="282" t="s">
        <v>228</v>
      </c>
      <c r="F106" s="283" t="str">
        <f ca="1">IF(IFERROR((F$11*(F98-SUM(F100:F103)/F$11)*F105*3600)/(F104),"")&gt;0,IFERROR((F$11*(F98-SUM(F100:F103)/F$11)*F105*3600)/(F104),""),"")</f>
        <v/>
      </c>
      <c r="G106" s="284" t="str">
        <f t="shared" ref="G106" ca="1" si="526">IF(IFERROR((G$11*(G98-SUM(G100:G103)/G$11)*G105*3600)/(G104),"")&gt;0,IFERROR((G$11*(G98-SUM(G100:G103)/G$11)*G105*3600)/(G104),""),"")</f>
        <v/>
      </c>
      <c r="H106" s="284" t="str">
        <f t="shared" ref="H106" ca="1" si="527">IF(IFERROR((H$11*(H98-SUM(H100:H103)/H$11)*H105*3600)/(H104),"")&gt;0,IFERROR((H$11*(H98-SUM(H100:H103)/H$11)*H105*3600)/(H104),""),"")</f>
        <v/>
      </c>
      <c r="I106" s="284" t="str">
        <f t="shared" ref="I106" ca="1" si="528">IF(IFERROR((I$11*(I98-SUM(I100:I103)/I$11)*I105*3600)/(I104),"")&gt;0,IFERROR((I$11*(I98-SUM(I100:I103)/I$11)*I105*3600)/(I104),""),"")</f>
        <v/>
      </c>
      <c r="J106" s="284" t="str">
        <f t="shared" ref="J106" ca="1" si="529">IF(IFERROR((J$11*(J98-SUM(J100:J103)/J$11)*J105*3600)/(J104),"")&gt;0,IFERROR((J$11*(J98-SUM(J100:J103)/J$11)*J105*3600)/(J104),""),"")</f>
        <v/>
      </c>
      <c r="K106" s="284" t="str">
        <f t="shared" ref="K106" ca="1" si="530">IF(IFERROR((K$11*(K98-SUM(K100:K103)/K$11)*K105*3600)/(K104),"")&gt;0,IFERROR((K$11*(K98-SUM(K100:K103)/K$11)*K105*3600)/(K104),""),"")</f>
        <v/>
      </c>
      <c r="L106" s="284" t="str">
        <f t="shared" ref="L106" ca="1" si="531">IF(IFERROR((L$11*(L98-SUM(L100:L103)/L$11)*L105*3600)/(L104),"")&gt;0,IFERROR((L$11*(L98-SUM(L100:L103)/L$11)*L105*3600)/(L104),""),"")</f>
        <v/>
      </c>
      <c r="M106" s="284" t="str">
        <f t="shared" ref="M106" ca="1" si="532">IF(IFERROR((M$11*(M98-SUM(M100:M103)/M$11)*M105*3600)/(M104),"")&gt;0,IFERROR((M$11*(M98-SUM(M100:M103)/M$11)*M105*3600)/(M104),""),"")</f>
        <v/>
      </c>
      <c r="N106" s="284" t="str">
        <f t="shared" ref="N106" ca="1" si="533">IF(IFERROR((N$11*(N98-SUM(N100:N103)/N$11)*N105*3600)/(N104),"")&gt;0,IFERROR((N$11*(N98-SUM(N100:N103)/N$11)*N105*3600)/(N104),""),"")</f>
        <v/>
      </c>
      <c r="O106" s="284" t="str">
        <f t="shared" ref="O106" ca="1" si="534">IF(IFERROR((O$11*(O98-SUM(O100:O103)/O$11)*O105*3600)/(O104),"")&gt;0,IFERROR((O$11*(O98-SUM(O100:O103)/O$11)*O105*3600)/(O104),""),"")</f>
        <v/>
      </c>
      <c r="P106" s="284" t="str">
        <f t="shared" ref="P106" ca="1" si="535">IF(IFERROR((P$11*(P98-SUM(P100:P103)/P$11)*P105*3600)/(P104),"")&gt;0,IFERROR((P$11*(P98-SUM(P100:P103)/P$11)*P105*3600)/(P104),""),"")</f>
        <v/>
      </c>
      <c r="Q106" s="284" t="str">
        <f t="shared" ref="Q106" ca="1" si="536">IF(IFERROR((Q$11*(Q98-SUM(Q100:Q103)/Q$11)*Q105*3600)/(Q104),"")&gt;0,IFERROR((Q$11*(Q98-SUM(Q100:Q103)/Q$11)*Q105*3600)/(Q104),""),"")</f>
        <v/>
      </c>
      <c r="R106" s="283" t="str">
        <f t="shared" ref="R106" ca="1" si="537">IF(IFERROR((R$11*(R98-SUM(R100:R103)/R$11)*R105*3600)/(R104),"")&gt;0,IFERROR((R$11*(R98-SUM(R100:R103)/R$11)*R105*3600)/(R104),""),"")</f>
        <v/>
      </c>
      <c r="S106" s="284" t="str">
        <f t="shared" ref="S106" ca="1" si="538">IF(IFERROR((S$11*(S98-SUM(S100:S103)/S$11)*S105*3600)/(S104),"")&gt;0,IFERROR((S$11*(S98-SUM(S100:S103)/S$11)*S105*3600)/(S104),""),"")</f>
        <v/>
      </c>
      <c r="T106" s="284" t="str">
        <f t="shared" ref="T106" ca="1" si="539">IF(IFERROR((T$11*(T98-SUM(T100:T103)/T$11)*T105*3600)/(T104),"")&gt;0,IFERROR((T$11*(T98-SUM(T100:T103)/T$11)*T105*3600)/(T104),""),"")</f>
        <v/>
      </c>
      <c r="U106" s="284" t="str">
        <f t="shared" ref="U106" ca="1" si="540">IF(IFERROR((U$11*(U98-SUM(U100:U103)/U$11)*U105*3600)/(U104),"")&gt;0,IFERROR((U$11*(U98-SUM(U100:U103)/U$11)*U105*3600)/(U104),""),"")</f>
        <v/>
      </c>
      <c r="V106" s="284" t="str">
        <f t="shared" ref="V106" ca="1" si="541">IF(IFERROR((V$11*(V98-SUM(V100:V103)/V$11)*V105*3600)/(V104),"")&gt;0,IFERROR((V$11*(V98-SUM(V100:V103)/V$11)*V105*3600)/(V104),""),"")</f>
        <v/>
      </c>
      <c r="W106" s="284" t="str">
        <f t="shared" ref="W106" ca="1" si="542">IF(IFERROR((W$11*(W98-SUM(W100:W103)/W$11)*W105*3600)/(W104),"")&gt;0,IFERROR((W$11*(W98-SUM(W100:W103)/W$11)*W105*3600)/(W104),""),"")</f>
        <v/>
      </c>
      <c r="X106" s="284" t="str">
        <f t="shared" ref="X106" ca="1" si="543">IF(IFERROR((X$11*(X98-SUM(X100:X103)/X$11)*X105*3600)/(X104),"")&gt;0,IFERROR((X$11*(X98-SUM(X100:X103)/X$11)*X105*3600)/(X104),""),"")</f>
        <v/>
      </c>
      <c r="Y106" s="284" t="str">
        <f t="shared" ref="Y106" ca="1" si="544">IF(IFERROR((Y$11*(Y98-SUM(Y100:Y103)/Y$11)*Y105*3600)/(Y104),"")&gt;0,IFERROR((Y$11*(Y98-SUM(Y100:Y103)/Y$11)*Y105*3600)/(Y104),""),"")</f>
        <v/>
      </c>
      <c r="Z106" s="284" t="str">
        <f t="shared" ref="Z106" ca="1" si="545">IF(IFERROR((Z$11*(Z98-SUM(Z100:Z103)/Z$11)*Z105*3600)/(Z104),"")&gt;0,IFERROR((Z$11*(Z98-SUM(Z100:Z103)/Z$11)*Z105*3600)/(Z104),""),"")</f>
        <v/>
      </c>
      <c r="AA106" s="284" t="str">
        <f t="shared" ref="AA106" ca="1" si="546">IF(IFERROR((AA$11*(AA98-SUM(AA100:AA103)/AA$11)*AA105*3600)/(AA104),"")&gt;0,IFERROR((AA$11*(AA98-SUM(AA100:AA103)/AA$11)*AA105*3600)/(AA104),""),"")</f>
        <v/>
      </c>
      <c r="AB106" s="284" t="str">
        <f t="shared" ref="AB106" ca="1" si="547">IF(IFERROR((AB$11*(AB98-SUM(AB100:AB103)/AB$11)*AB105*3600)/(AB104),"")&gt;0,IFERROR((AB$11*(AB98-SUM(AB100:AB103)/AB$11)*AB105*3600)/(AB104),""),"")</f>
        <v/>
      </c>
      <c r="AC106" s="284" t="str">
        <f t="shared" ref="AC106" ca="1" si="548">IF(IFERROR((AC$11*(AC98-SUM(AC100:AC103)/AC$11)*AC105*3600)/(AC104),"")&gt;0,IFERROR((AC$11*(AC98-SUM(AC100:AC103)/AC$11)*AC105*3600)/(AC104),""),"")</f>
        <v/>
      </c>
      <c r="AD106" s="283" t="str">
        <f t="shared" ref="AD106" ca="1" si="549">IF(IFERROR((AD$11*(AD98-SUM(AD100:AD103)/AD$11)*AD105*3600)/(AD104),"")&gt;0,IFERROR((AD$11*(AD98-SUM(AD100:AD103)/AD$11)*AD105*3600)/(AD104),""),"")</f>
        <v/>
      </c>
      <c r="AE106" s="284" t="str">
        <f t="shared" ref="AE106" ca="1" si="550">IF(IFERROR((AE$11*(AE98-SUM(AE100:AE103)/AE$11)*AE105*3600)/(AE104),"")&gt;0,IFERROR((AE$11*(AE98-SUM(AE100:AE103)/AE$11)*AE105*3600)/(AE104),""),"")</f>
        <v/>
      </c>
      <c r="AF106" s="284" t="str">
        <f t="shared" ref="AF106" ca="1" si="551">IF(IFERROR((AF$11*(AF98-SUM(AF100:AF103)/AF$11)*AF105*3600)/(AF104),"")&gt;0,IFERROR((AF$11*(AF98-SUM(AF100:AF103)/AF$11)*AF105*3600)/(AF104),""),"")</f>
        <v/>
      </c>
      <c r="AG106" s="284" t="str">
        <f t="shared" ref="AG106" ca="1" si="552">IF(IFERROR((AG$11*(AG98-SUM(AG100:AG103)/AG$11)*AG105*3600)/(AG104),"")&gt;0,IFERROR((AG$11*(AG98-SUM(AG100:AG103)/AG$11)*AG105*3600)/(AG104),""),"")</f>
        <v/>
      </c>
      <c r="AH106" s="284" t="str">
        <f t="shared" ref="AH106" ca="1" si="553">IF(IFERROR((AH$11*(AH98-SUM(AH100:AH103)/AH$11)*AH105*3600)/(AH104),"")&gt;0,IFERROR((AH$11*(AH98-SUM(AH100:AH103)/AH$11)*AH105*3600)/(AH104),""),"")</f>
        <v/>
      </c>
      <c r="AI106" s="284" t="str">
        <f t="shared" ref="AI106" ca="1" si="554">IF(IFERROR((AI$11*(AI98-SUM(AI100:AI103)/AI$11)*AI105*3600)/(AI104),"")&gt;0,IFERROR((AI$11*(AI98-SUM(AI100:AI103)/AI$11)*AI105*3600)/(AI104),""),"")</f>
        <v/>
      </c>
      <c r="AJ106" s="284" t="str">
        <f t="shared" ref="AJ106" ca="1" si="555">IF(IFERROR((AJ$11*(AJ98-SUM(AJ100:AJ103)/AJ$11)*AJ105*3600)/(AJ104),"")&gt;0,IFERROR((AJ$11*(AJ98-SUM(AJ100:AJ103)/AJ$11)*AJ105*3600)/(AJ104),""),"")</f>
        <v/>
      </c>
      <c r="AK106" s="284" t="str">
        <f t="shared" ref="AK106" ca="1" si="556">IF(IFERROR((AK$11*(AK98-SUM(AK100:AK103)/AK$11)*AK105*3600)/(AK104),"")&gt;0,IFERROR((AK$11*(AK98-SUM(AK100:AK103)/AK$11)*AK105*3600)/(AK104),""),"")</f>
        <v/>
      </c>
      <c r="AL106" s="284" t="str">
        <f t="shared" ref="AL106" ca="1" si="557">IF(IFERROR((AL$11*(AL98-SUM(AL100:AL103)/AL$11)*AL105*3600)/(AL104),"")&gt;0,IFERROR((AL$11*(AL98-SUM(AL100:AL103)/AL$11)*AL105*3600)/(AL104),""),"")</f>
        <v/>
      </c>
      <c r="AM106" s="284" t="str">
        <f t="shared" ref="AM106" ca="1" si="558">IF(IFERROR((AM$11*(AM98-SUM(AM100:AM103)/AM$11)*AM105*3600)/(AM104),"")&gt;0,IFERROR((AM$11*(AM98-SUM(AM100:AM103)/AM$11)*AM105*3600)/(AM104),""),"")</f>
        <v/>
      </c>
      <c r="AN106" s="284" t="str">
        <f t="shared" ref="AN106" ca="1" si="559">IF(IFERROR((AN$11*(AN98-SUM(AN100:AN103)/AN$11)*AN105*3600)/(AN104),"")&gt;0,IFERROR((AN$11*(AN98-SUM(AN100:AN103)/AN$11)*AN105*3600)/(AN104),""),"")</f>
        <v/>
      </c>
      <c r="AO106" s="284" t="str">
        <f t="shared" ref="AO106" ca="1" si="560">IF(IFERROR((AO$11*(AO98-SUM(AO100:AO103)/AO$11)*AO105*3600)/(AO104),"")&gt;0,IFERROR((AO$11*(AO98-SUM(AO100:AO103)/AO$11)*AO105*3600)/(AO104),""),"")</f>
        <v/>
      </c>
      <c r="AP106" s="283" t="e">
        <f t="shared" ref="AP106:AP107" ca="1" si="561">IF(SUM(F106:K106)&lt;&gt;0,SUM(F106:K106),#N/A)</f>
        <v>#N/A</v>
      </c>
      <c r="AQ106" s="284" t="e">
        <f t="shared" ref="AQ106:AQ107" ca="1" si="562">IF(SUM(L106:Q106)&lt;&gt;0,SUM(L106:Q106),#N/A)</f>
        <v>#N/A</v>
      </c>
      <c r="AR106" s="283" t="e">
        <f t="shared" ref="AR106:AR107" ca="1" si="563">IF(SUM(R106:W106)&lt;&gt;0,SUM(R106:W106),#N/A)</f>
        <v>#N/A</v>
      </c>
      <c r="AS106" s="284" t="e">
        <f t="shared" ref="AS106:AS107" ca="1" si="564">IF(SUM(X106:AC106)&lt;&gt;0,SUM(X106:AC106),#N/A)</f>
        <v>#N/A</v>
      </c>
      <c r="AT106" s="283" t="e">
        <f t="shared" ref="AT106:AT107" ca="1" si="565">IF(SUM(AD106:AI106)&lt;&gt;0,SUM(AD106:AI106),#N/A)</f>
        <v>#N/A</v>
      </c>
      <c r="AU106" s="284" t="e">
        <f t="shared" ref="AU106:AU107" ca="1" si="566">IF(SUM(AJ106:AO106)&lt;&gt;0,SUM(AJ106:AO106),#N/A)</f>
        <v>#N/A</v>
      </c>
      <c r="AV106" s="283" t="str">
        <f ca="1">IF(IFERROR((AV$11*(AV98-SUM(AV100:AV103)/AV$11)*AV105*3600)/(AV104),"")&lt;&gt;0,IFERROR((AV$11*(AV98-SUM(AV100:AV103)/AV$11)*AV105*3600)/(AV104),""),"")</f>
        <v/>
      </c>
      <c r="AW106" s="284" t="str">
        <f t="shared" ref="AW106" ca="1" si="567">IF(IFERROR((AW$11*(AW98-SUM(AW100:AW103)/AW$11)*AW105*3600)/(AW104),"")&lt;&gt;0,IFERROR((AW$11*(AW98-SUM(AW100:AW103)/AW$11)*AW105*3600)/(AW104),""),"")</f>
        <v/>
      </c>
      <c r="AX106" s="283" t="str">
        <f t="shared" ref="AX106" ca="1" si="568">IF(IFERROR((AX$11*(AX98-SUM(AX100:AX103)/AX$11)*AX105*3600)/(AX104),"")&lt;&gt;0,IFERROR((AX$11*(AX98-SUM(AX100:AX103)/AX$11)*AX105*3600)/(AX104),""),"")</f>
        <v/>
      </c>
      <c r="AY106" s="284" t="str">
        <f t="shared" ref="AY106" ca="1" si="569">IF(IFERROR((AY$11*(AY98-SUM(AY100:AY103)/AY$11)*AY105*3600)/(AY104),"")&lt;&gt;0,IFERROR((AY$11*(AY98-SUM(AY100:AY103)/AY$11)*AY105*3600)/(AY104),""),"")</f>
        <v/>
      </c>
      <c r="AZ106" s="283" t="str">
        <f t="shared" ref="AZ106" ca="1" si="570">IF(IFERROR((AZ$11*(AZ98-SUM(AZ100:AZ103)/AZ$11)*AZ105*3600)/(AZ104),"")&lt;&gt;0,IFERROR((AZ$11*(AZ98-SUM(AZ100:AZ103)/AZ$11)*AZ105*3600)/(AZ104),""),"")</f>
        <v/>
      </c>
      <c r="BA106" s="284" t="str">
        <f t="shared" ref="BA106" ca="1" si="571">IF(IFERROR((BA$11*(BA98-SUM(BA100:BA103)/BA$11)*BA105*3600)/(BA104),"")&lt;&gt;0,IFERROR((BA$11*(BA98-SUM(BA100:BA103)/BA$11)*BA105*3600)/(BA104),""),"")</f>
        <v/>
      </c>
      <c r="BB106" s="283" t="str">
        <f t="shared" ref="BB106" ca="1" si="572">IF(IFERROR((BB$11*(BB98-SUM(BB100:BB103)/BB$11)*BB105*3600)/(BB104),"")&lt;&gt;0,IFERROR((BB$11*(BB98-SUM(BB100:BB103)/BB$11)*BB105*3600)/(BB104),""),"")</f>
        <v/>
      </c>
      <c r="BC106" s="284" t="str">
        <f t="shared" ref="BC106" ca="1" si="573">IF(IFERROR((BC$11*(BC98-SUM(BC100:BC103)/BC$11)*BC105*3600)/(BC104),"")&lt;&gt;0,IFERROR((BC$11*(BC98-SUM(BC100:BC103)/BC$11)*BC105*3600)/(BC104),""),"")</f>
        <v/>
      </c>
      <c r="BD106" s="283" t="str">
        <f t="shared" ref="BD106" ca="1" si="574">IF(IFERROR((BD$11*(BD98-SUM(BD100:BD103)/BD$11)*BD105*3600)/(BD104),"")&lt;&gt;0,IFERROR((BD$11*(BD98-SUM(BD100:BD103)/BD$11)*BD105*3600)/(BD104),""),"")</f>
        <v/>
      </c>
      <c r="BE106" s="285" t="str">
        <f t="shared" ref="BE106" ca="1" si="575">IF(IFERROR((BE$11*(BE98-SUM(BE100:BE103)/BE$11)*BE105*3600)/(BE104),"")&lt;&gt;0,IFERROR((BE$11*(BE98-SUM(BE100:BE103)/BE$11)*BE105*3600)/(BE104),""),"")</f>
        <v/>
      </c>
      <c r="BF106" s="285" t="e">
        <f t="shared" ref="BF106:BF107" ca="1" si="576">IF(SUM(AP106,AQ106)&lt;&gt;0,SUM(AP106,AQ106),#N/A)</f>
        <v>#N/A</v>
      </c>
      <c r="BG106" s="285" t="e">
        <f t="shared" ref="BG106:BG107" ca="1" si="577">IF(SUM(AR106,AS106)&lt;&gt;0,SUM(AR106,AS106),#N/A)</f>
        <v>#N/A</v>
      </c>
      <c r="BH106" s="285" t="e">
        <f t="shared" ref="BH106:BH107" ca="1" si="578">IF(SUM(AT106,AU106)&lt;&gt;0,SUM(AT106,AU106),#N/A)</f>
        <v>#N/A</v>
      </c>
      <c r="BI106" s="285" t="e">
        <f t="shared" ref="BI106:BI107" ca="1" si="579">IF(SUM(AV106,AW106)&lt;&gt;0,SUM(AV106,AW106),#N/A)</f>
        <v>#N/A</v>
      </c>
      <c r="BJ106" s="285" t="e">
        <f t="shared" ref="BJ106:BJ107" ca="1" si="580">IF(SUM(AX106,AY106)&lt;&gt;0,SUM(AX106,AY106),#N/A)</f>
        <v>#N/A</v>
      </c>
      <c r="BK106" s="285" t="e">
        <f t="shared" ref="BK106:BK107" ca="1" si="581">IF(SUM(AZ106,BA106)&lt;&gt;0,SUM(AZ106,BA106),#N/A)</f>
        <v>#N/A</v>
      </c>
      <c r="BL106" s="285" t="e">
        <f t="shared" ref="BL106:BL107" ca="1" si="582">IF(SUM(BB106,BC106)&lt;&gt;0,SUM(BB106,BC106),#N/A)</f>
        <v>#N/A</v>
      </c>
      <c r="BM106" s="285" t="e">
        <f t="shared" ref="BM106:BM107" ca="1" si="583">IF(SUM(BD106,BE106)&lt;&gt;0,SUM(BD106,BE106),#N/A)</f>
        <v>#N/A</v>
      </c>
    </row>
    <row r="107" spans="1:65" s="102" customFormat="1" ht="15" customHeight="1" outlineLevel="1" thickBot="1" x14ac:dyDescent="0.25">
      <c r="A107" s="320" t="s">
        <v>226</v>
      </c>
      <c r="B107" s="348"/>
      <c r="C107" s="351"/>
      <c r="D107" s="345"/>
      <c r="E107" s="104" t="s">
        <v>225</v>
      </c>
      <c r="F107" s="36" t="str">
        <f ca="1">IFERROR(F106+((F97*F99*F105*3600)/(F104)),"")</f>
        <v/>
      </c>
      <c r="G107" s="37" t="str">
        <f t="shared" ref="G107:AO107" ca="1" si="584">IFERROR(G106+((G97*G99*G105*3600)/(G104)),"")</f>
        <v/>
      </c>
      <c r="H107" s="37" t="str">
        <f t="shared" ca="1" si="584"/>
        <v/>
      </c>
      <c r="I107" s="37" t="str">
        <f t="shared" ca="1" si="584"/>
        <v/>
      </c>
      <c r="J107" s="37" t="str">
        <f t="shared" ca="1" si="584"/>
        <v/>
      </c>
      <c r="K107" s="37" t="str">
        <f t="shared" ca="1" si="584"/>
        <v/>
      </c>
      <c r="L107" s="37" t="str">
        <f t="shared" ca="1" si="584"/>
        <v/>
      </c>
      <c r="M107" s="37" t="str">
        <f t="shared" ca="1" si="584"/>
        <v/>
      </c>
      <c r="N107" s="37" t="str">
        <f t="shared" ca="1" si="584"/>
        <v/>
      </c>
      <c r="O107" s="37" t="str">
        <f t="shared" ca="1" si="584"/>
        <v/>
      </c>
      <c r="P107" s="37" t="str">
        <f t="shared" ca="1" si="584"/>
        <v/>
      </c>
      <c r="Q107" s="37" t="str">
        <f t="shared" ca="1" si="584"/>
        <v/>
      </c>
      <c r="R107" s="36" t="str">
        <f t="shared" ca="1" si="584"/>
        <v/>
      </c>
      <c r="S107" s="37" t="str">
        <f t="shared" ca="1" si="584"/>
        <v/>
      </c>
      <c r="T107" s="37" t="str">
        <f t="shared" ca="1" si="584"/>
        <v/>
      </c>
      <c r="U107" s="37" t="str">
        <f t="shared" ca="1" si="584"/>
        <v/>
      </c>
      <c r="V107" s="37" t="str">
        <f t="shared" ca="1" si="584"/>
        <v/>
      </c>
      <c r="W107" s="37" t="str">
        <f t="shared" ca="1" si="584"/>
        <v/>
      </c>
      <c r="X107" s="37" t="str">
        <f t="shared" ca="1" si="584"/>
        <v/>
      </c>
      <c r="Y107" s="37" t="str">
        <f t="shared" ca="1" si="584"/>
        <v/>
      </c>
      <c r="Z107" s="37" t="str">
        <f t="shared" ca="1" si="584"/>
        <v/>
      </c>
      <c r="AA107" s="37" t="str">
        <f t="shared" ca="1" si="584"/>
        <v/>
      </c>
      <c r="AB107" s="37" t="str">
        <f t="shared" ca="1" si="584"/>
        <v/>
      </c>
      <c r="AC107" s="37" t="str">
        <f t="shared" ca="1" si="584"/>
        <v/>
      </c>
      <c r="AD107" s="36" t="str">
        <f t="shared" ca="1" si="584"/>
        <v/>
      </c>
      <c r="AE107" s="37" t="str">
        <f t="shared" ca="1" si="584"/>
        <v/>
      </c>
      <c r="AF107" s="37" t="str">
        <f t="shared" ca="1" si="584"/>
        <v/>
      </c>
      <c r="AG107" s="37" t="str">
        <f t="shared" ca="1" si="584"/>
        <v/>
      </c>
      <c r="AH107" s="37" t="str">
        <f t="shared" ca="1" si="584"/>
        <v/>
      </c>
      <c r="AI107" s="37" t="str">
        <f t="shared" ca="1" si="584"/>
        <v/>
      </c>
      <c r="AJ107" s="37" t="str">
        <f t="shared" ca="1" si="584"/>
        <v/>
      </c>
      <c r="AK107" s="37" t="str">
        <f t="shared" ca="1" si="584"/>
        <v/>
      </c>
      <c r="AL107" s="37" t="str">
        <f t="shared" ca="1" si="584"/>
        <v/>
      </c>
      <c r="AM107" s="37" t="str">
        <f t="shared" ca="1" si="584"/>
        <v/>
      </c>
      <c r="AN107" s="37" t="str">
        <f t="shared" ca="1" si="584"/>
        <v/>
      </c>
      <c r="AO107" s="37" t="str">
        <f t="shared" ca="1" si="584"/>
        <v/>
      </c>
      <c r="AP107" s="36" t="e">
        <f t="shared" ca="1" si="561"/>
        <v>#N/A</v>
      </c>
      <c r="AQ107" s="37" t="e">
        <f t="shared" ca="1" si="562"/>
        <v>#N/A</v>
      </c>
      <c r="AR107" s="36" t="e">
        <f t="shared" ca="1" si="563"/>
        <v>#N/A</v>
      </c>
      <c r="AS107" s="37" t="e">
        <f t="shared" ca="1" si="564"/>
        <v>#N/A</v>
      </c>
      <c r="AT107" s="36" t="e">
        <f t="shared" ca="1" si="565"/>
        <v>#N/A</v>
      </c>
      <c r="AU107" s="37" t="e">
        <f t="shared" ca="1" si="566"/>
        <v>#N/A</v>
      </c>
      <c r="AV107" s="36" t="str">
        <f t="shared" ref="AV107:BE107" ca="1" si="585">IFERROR(AV106+((AV97*AV99*AV105*3600)/(AV104)),"")</f>
        <v/>
      </c>
      <c r="AW107" s="37" t="str">
        <f t="shared" ca="1" si="585"/>
        <v/>
      </c>
      <c r="AX107" s="36" t="str">
        <f t="shared" ca="1" si="585"/>
        <v/>
      </c>
      <c r="AY107" s="37" t="str">
        <f t="shared" ca="1" si="585"/>
        <v/>
      </c>
      <c r="AZ107" s="36" t="str">
        <f t="shared" ca="1" si="585"/>
        <v/>
      </c>
      <c r="BA107" s="37" t="str">
        <f t="shared" ca="1" si="585"/>
        <v/>
      </c>
      <c r="BB107" s="36" t="str">
        <f t="shared" ca="1" si="585"/>
        <v/>
      </c>
      <c r="BC107" s="37" t="str">
        <f t="shared" ca="1" si="585"/>
        <v/>
      </c>
      <c r="BD107" s="36" t="str">
        <f t="shared" ca="1" si="585"/>
        <v/>
      </c>
      <c r="BE107" s="43" t="str">
        <f t="shared" ca="1" si="585"/>
        <v/>
      </c>
      <c r="BF107" s="43" t="e">
        <f t="shared" ca="1" si="576"/>
        <v>#N/A</v>
      </c>
      <c r="BG107" s="43" t="e">
        <f t="shared" ca="1" si="577"/>
        <v>#N/A</v>
      </c>
      <c r="BH107" s="43" t="e">
        <f t="shared" ca="1" si="578"/>
        <v>#N/A</v>
      </c>
      <c r="BI107" s="43" t="e">
        <f t="shared" ca="1" si="579"/>
        <v>#N/A</v>
      </c>
      <c r="BJ107" s="43" t="e">
        <f t="shared" ca="1" si="580"/>
        <v>#N/A</v>
      </c>
      <c r="BK107" s="43" t="e">
        <f t="shared" ca="1" si="581"/>
        <v>#N/A</v>
      </c>
      <c r="BL107" s="43" t="e">
        <f t="shared" ca="1" si="582"/>
        <v>#N/A</v>
      </c>
      <c r="BM107" s="43" t="e">
        <f t="shared" ca="1" si="583"/>
        <v>#N/A</v>
      </c>
    </row>
    <row r="108" spans="1:65" s="102" customFormat="1" ht="22.5" outlineLevel="2" x14ac:dyDescent="0.2">
      <c r="A108" s="320" t="s">
        <v>226</v>
      </c>
      <c r="B108" s="346"/>
      <c r="C108" s="349" t="str">
        <f t="shared" ref="C108" si="586">IF(AND($B108&lt;&gt;0,$C$9&lt;&gt;0),$C$9,"")</f>
        <v/>
      </c>
      <c r="D108" s="343"/>
      <c r="E108" s="277" t="s">
        <v>40</v>
      </c>
      <c r="F108" s="33">
        <f ca="1">IF(F$11-(SUM(F112:F115)/24)=0,"",F$11-(SUM(F112:F115)/24))</f>
        <v>27</v>
      </c>
      <c r="G108" s="34">
        <f t="shared" ref="G108:AO108" ca="1" si="587">IF(G$11-(SUM(G112:G115)/24)=0,"",G$11-(SUM(G112:G115)/24))</f>
        <v>24</v>
      </c>
      <c r="H108" s="34">
        <f t="shared" ca="1" si="587"/>
        <v>26</v>
      </c>
      <c r="I108" s="34">
        <f t="shared" ca="1" si="587"/>
        <v>26</v>
      </c>
      <c r="J108" s="34">
        <f t="shared" ca="1" si="587"/>
        <v>27</v>
      </c>
      <c r="K108" s="34">
        <f t="shared" ca="1" si="587"/>
        <v>25</v>
      </c>
      <c r="L108" s="34">
        <f t="shared" ca="1" si="587"/>
        <v>27</v>
      </c>
      <c r="M108" s="34">
        <f t="shared" ca="1" si="587"/>
        <v>26</v>
      </c>
      <c r="N108" s="34">
        <f t="shared" ca="1" si="587"/>
        <v>26</v>
      </c>
      <c r="O108" s="34">
        <f t="shared" ca="1" si="587"/>
        <v>27</v>
      </c>
      <c r="P108" s="34">
        <f t="shared" ca="1" si="587"/>
        <v>25</v>
      </c>
      <c r="Q108" s="34">
        <f t="shared" ca="1" si="587"/>
        <v>27</v>
      </c>
      <c r="R108" s="32">
        <f t="shared" ca="1" si="587"/>
        <v>27</v>
      </c>
      <c r="S108" s="29">
        <f t="shared" ca="1" si="587"/>
        <v>24</v>
      </c>
      <c r="T108" s="29">
        <f t="shared" ca="1" si="587"/>
        <v>26</v>
      </c>
      <c r="U108" s="29">
        <f t="shared" ca="1" si="587"/>
        <v>26</v>
      </c>
      <c r="V108" s="29">
        <f t="shared" ca="1" si="587"/>
        <v>26</v>
      </c>
      <c r="W108" s="29">
        <f t="shared" ca="1" si="587"/>
        <v>26</v>
      </c>
      <c r="X108" s="29">
        <f t="shared" ca="1" si="587"/>
        <v>27</v>
      </c>
      <c r="Y108" s="29">
        <f t="shared" ca="1" si="587"/>
        <v>26</v>
      </c>
      <c r="Z108" s="29">
        <f t="shared" ca="1" si="587"/>
        <v>26</v>
      </c>
      <c r="AA108" s="29">
        <f t="shared" ca="1" si="587"/>
        <v>27</v>
      </c>
      <c r="AB108" s="29">
        <f t="shared" ca="1" si="587"/>
        <v>25</v>
      </c>
      <c r="AC108" s="29">
        <f t="shared" ca="1" si="587"/>
        <v>27</v>
      </c>
      <c r="AD108" s="32">
        <f t="shared" ca="1" si="587"/>
        <v>26</v>
      </c>
      <c r="AE108" s="29">
        <f t="shared" ca="1" si="587"/>
        <v>24</v>
      </c>
      <c r="AF108" s="29">
        <f t="shared" ca="1" si="587"/>
        <v>27</v>
      </c>
      <c r="AG108" s="29">
        <f t="shared" ca="1" si="587"/>
        <v>26</v>
      </c>
      <c r="AH108" s="29">
        <f t="shared" ca="1" si="587"/>
        <v>26</v>
      </c>
      <c r="AI108" s="29">
        <f t="shared" ca="1" si="587"/>
        <v>26</v>
      </c>
      <c r="AJ108" s="29">
        <f t="shared" ca="1" si="587"/>
        <v>27</v>
      </c>
      <c r="AK108" s="29">
        <f t="shared" ca="1" si="587"/>
        <v>26</v>
      </c>
      <c r="AL108" s="29">
        <f t="shared" ca="1" si="587"/>
        <v>26</v>
      </c>
      <c r="AM108" s="29">
        <f t="shared" ca="1" si="587"/>
        <v>26</v>
      </c>
      <c r="AN108" s="29">
        <f t="shared" ca="1" si="587"/>
        <v>26</v>
      </c>
      <c r="AO108" s="29">
        <f t="shared" ca="1" si="587"/>
        <v>27</v>
      </c>
      <c r="AP108" s="32">
        <f ca="1">IF(SUM(F108:K108)&lt;&gt;0,SUM(F108:K108),"")</f>
        <v>155</v>
      </c>
      <c r="AQ108" s="29">
        <f ca="1">IF(SUM(L108:Q108)&lt;&gt;0,SUM(L108:Q108),"")</f>
        <v>158</v>
      </c>
      <c r="AR108" s="32">
        <f ca="1">IF(SUM(R108:W108)&lt;&gt;0,SUM(R108:W108),"")</f>
        <v>155</v>
      </c>
      <c r="AS108" s="29">
        <f ca="1">IF(SUM(X108:AC108)&lt;&gt;0,SUM(X108:AC108),"")</f>
        <v>158</v>
      </c>
      <c r="AT108" s="32">
        <f ca="1">IF(SUM(AD108:AI108)&lt;&gt;0,SUM(AD108:AI108),"")</f>
        <v>155</v>
      </c>
      <c r="AU108" s="296">
        <f ca="1">SUM(AJ108:AO108)</f>
        <v>158</v>
      </c>
      <c r="AV108" s="32">
        <f t="shared" ref="AV108:BE108" ca="1" si="588">IF(AV$11-(SUM(AV112:AV115)/24)=0,"",AV$11-(SUM(AV112:AV115)/24))</f>
        <v>156</v>
      </c>
      <c r="AW108" s="29">
        <f t="shared" ca="1" si="588"/>
        <v>157</v>
      </c>
      <c r="AX108" s="32">
        <f t="shared" ca="1" si="588"/>
        <v>156</v>
      </c>
      <c r="AY108" s="29">
        <f t="shared" ca="1" si="588"/>
        <v>158</v>
      </c>
      <c r="AZ108" s="32">
        <f t="shared" ca="1" si="588"/>
        <v>155</v>
      </c>
      <c r="BA108" s="29">
        <f t="shared" ca="1" si="588"/>
        <v>158</v>
      </c>
      <c r="BB108" s="32">
        <f t="shared" ca="1" si="588"/>
        <v>155</v>
      </c>
      <c r="BC108" s="29">
        <f t="shared" ca="1" si="588"/>
        <v>158</v>
      </c>
      <c r="BD108" s="32">
        <f t="shared" ca="1" si="588"/>
        <v>156</v>
      </c>
      <c r="BE108" s="262">
        <f t="shared" ca="1" si="588"/>
        <v>158</v>
      </c>
      <c r="BF108" s="286">
        <f t="shared" ref="BF108" ca="1" si="589">IF(SUM(AP108,AQ108)&lt;&gt;0,SUM(AP108,AQ108),#N/A)</f>
        <v>313</v>
      </c>
      <c r="BG108" s="286">
        <f t="shared" ref="BG108" ca="1" si="590">IF(SUM(AR108,AS108)&lt;&gt;0,SUM(AR108,AS108),#N/A)</f>
        <v>313</v>
      </c>
      <c r="BH108" s="286">
        <f t="shared" ref="BH108" ca="1" si="591">IF(SUM(AT108,AU108)&lt;&gt;0,SUM(AT108,AU108),#N/A)</f>
        <v>313</v>
      </c>
      <c r="BI108" s="286">
        <f t="shared" ref="BI108" ca="1" si="592">IF(SUM(AV108,AW108)&lt;&gt;0,SUM(AV108,AW108),#N/A)</f>
        <v>313</v>
      </c>
      <c r="BJ108" s="286">
        <f t="shared" ref="BJ108" ca="1" si="593">IF(SUM(AX108,AY108)&lt;&gt;0,SUM(AX108,AY108),#N/A)</f>
        <v>314</v>
      </c>
      <c r="BK108" s="286">
        <f t="shared" ref="BK108" ca="1" si="594">IF(SUM(AZ108,BA108)&lt;&gt;0,SUM(AZ108,BA108),#N/A)</f>
        <v>313</v>
      </c>
      <c r="BL108" s="286">
        <f t="shared" ref="BL108" ca="1" si="595">IF(SUM(BB108,BC108)&lt;&gt;0,SUM(BB108,BC108),#N/A)</f>
        <v>313</v>
      </c>
      <c r="BM108" s="286">
        <f t="shared" ref="BM108" ca="1" si="596">IF(SUM(BD108,BE108)&lt;&gt;0,SUM(BD108,BE108),#N/A)</f>
        <v>314</v>
      </c>
    </row>
    <row r="109" spans="1:65" s="102" customFormat="1" ht="15" customHeight="1" outlineLevel="2" thickBot="1" x14ac:dyDescent="0.25">
      <c r="A109" s="320" t="s">
        <v>226</v>
      </c>
      <c r="B109" s="347"/>
      <c r="C109" s="350"/>
      <c r="D109" s="344"/>
      <c r="E109" s="278" t="s">
        <v>29</v>
      </c>
      <c r="F109" s="47"/>
      <c r="G109" s="48"/>
      <c r="H109" s="48"/>
      <c r="I109" s="48"/>
      <c r="J109" s="48"/>
      <c r="K109" s="48"/>
      <c r="L109" s="48"/>
      <c r="M109" s="48"/>
      <c r="N109" s="48"/>
      <c r="O109" s="48"/>
      <c r="P109" s="48"/>
      <c r="Q109" s="51"/>
      <c r="R109" s="47"/>
      <c r="S109" s="48"/>
      <c r="T109" s="48"/>
      <c r="U109" s="48"/>
      <c r="V109" s="48"/>
      <c r="W109" s="48"/>
      <c r="X109" s="48"/>
      <c r="Y109" s="48"/>
      <c r="Z109" s="48"/>
      <c r="AA109" s="48"/>
      <c r="AB109" s="48"/>
      <c r="AC109" s="51"/>
      <c r="AD109" s="47"/>
      <c r="AE109" s="48"/>
      <c r="AF109" s="48"/>
      <c r="AG109" s="48"/>
      <c r="AH109" s="48"/>
      <c r="AI109" s="48"/>
      <c r="AJ109" s="48"/>
      <c r="AK109" s="48"/>
      <c r="AL109" s="48"/>
      <c r="AM109" s="48"/>
      <c r="AN109" s="48"/>
      <c r="AO109" s="51"/>
      <c r="AP109" s="294" t="str">
        <f>IFERROR(IF(SUM(F109:K109)&lt;&gt;0,SUM(F109:K109),""),"")</f>
        <v/>
      </c>
      <c r="AQ109" s="295" t="str">
        <f>IFERROR(IF(SUM(L109:Q109)&lt;&gt;0,SUM(L109:Q109),""),"")</f>
        <v/>
      </c>
      <c r="AR109" s="294" t="str">
        <f>IFERROR(IF(SUM(R109:W109)&lt;&gt;0,SUM(R109:W109),""),"")</f>
        <v/>
      </c>
      <c r="AS109" s="295" t="str">
        <f>IFERROR(IF(SUM(X109:AC109)&lt;&gt;0,SUM(X109:AC109),""),"")</f>
        <v/>
      </c>
      <c r="AT109" s="294" t="str">
        <f>IFERROR(IF(SUM(AD109:AI109)&lt;&gt;0,SUM(AD109:AI109),""),"")</f>
        <v/>
      </c>
      <c r="AU109" s="295" t="str">
        <f>IFERROR(IF(SUM(AJ109:AO109)&lt;&gt;0,SUM(AJ109:AO109),""),"")</f>
        <v/>
      </c>
      <c r="AV109" s="47"/>
      <c r="AW109" s="51"/>
      <c r="AX109" s="47"/>
      <c r="AY109" s="51"/>
      <c r="AZ109" s="47"/>
      <c r="BA109" s="51"/>
      <c r="BB109" s="47"/>
      <c r="BC109" s="51"/>
      <c r="BD109" s="47"/>
      <c r="BE109" s="263"/>
      <c r="BF109" s="271" t="str">
        <f>IFERROR(IF(AVERAGE(AP109:AQ109)&lt;&gt;0,AVERAGE(AP109:AQ109),""),"")</f>
        <v/>
      </c>
      <c r="BG109" s="271" t="str">
        <f>IFERROR(IF(AVERAGE(AR109:AS109)&lt;&gt;0,AVERAGE(AR109:AS109),""),"")</f>
        <v/>
      </c>
      <c r="BH109" s="271" t="str">
        <f>IFERROR(IF(AVERAGE(AT109:AU109)&lt;&gt;0,AVERAGE(AT109:AU109),""),"")</f>
        <v/>
      </c>
      <c r="BI109" s="271" t="str">
        <f>IFERROR(IF(AVERAGE(AV109:AW109)&lt;&gt;0,AVERAGE(AV109:AW109),""),"")</f>
        <v/>
      </c>
      <c r="BJ109" s="271" t="str">
        <f>IFERROR(IF(AVERAGE(AX109:AY109)&lt;&gt;0,AVERAGE(AX109:AY109),""),"")</f>
        <v/>
      </c>
      <c r="BK109" s="271" t="str">
        <f>IFERROR(IF(AVERAGE(AZ109:BA109)&lt;&gt;0,AVERAGE(AZ109:BA109),""),"")</f>
        <v/>
      </c>
      <c r="BL109" s="271" t="str">
        <f>IFERROR(IF(AVERAGE(BB109:BC109)&lt;&gt;0,AVERAGE(BB109:BC109),""),"")</f>
        <v/>
      </c>
      <c r="BM109" s="271" t="str">
        <f>IFERROR(IF(AVERAGE(BD109:BE109)&lt;&gt;0,AVERAGE(BD109:BE109),""),"")</f>
        <v/>
      </c>
    </row>
    <row r="110" spans="1:65" s="102" customFormat="1" ht="14.25" customHeight="1" outlineLevel="2" x14ac:dyDescent="0.2">
      <c r="A110" s="320" t="s">
        <v>226</v>
      </c>
      <c r="B110" s="347"/>
      <c r="C110" s="350"/>
      <c r="D110" s="344"/>
      <c r="E110" s="279" t="s">
        <v>28</v>
      </c>
      <c r="F110" s="52"/>
      <c r="G110" s="53"/>
      <c r="H110" s="53"/>
      <c r="I110" s="53"/>
      <c r="J110" s="53"/>
      <c r="K110" s="53"/>
      <c r="L110" s="53"/>
      <c r="M110" s="53"/>
      <c r="N110" s="53"/>
      <c r="O110" s="53"/>
      <c r="P110" s="53"/>
      <c r="Q110" s="54"/>
      <c r="R110" s="52"/>
      <c r="S110" s="53"/>
      <c r="T110" s="53"/>
      <c r="U110" s="53"/>
      <c r="V110" s="53"/>
      <c r="W110" s="53"/>
      <c r="X110" s="53"/>
      <c r="Y110" s="53"/>
      <c r="Z110" s="53"/>
      <c r="AA110" s="53"/>
      <c r="AB110" s="53"/>
      <c r="AC110" s="54"/>
      <c r="AD110" s="52"/>
      <c r="AE110" s="53"/>
      <c r="AF110" s="53"/>
      <c r="AG110" s="53"/>
      <c r="AH110" s="53"/>
      <c r="AI110" s="53"/>
      <c r="AJ110" s="53"/>
      <c r="AK110" s="53"/>
      <c r="AL110" s="53"/>
      <c r="AM110" s="53"/>
      <c r="AN110" s="53"/>
      <c r="AO110" s="54"/>
      <c r="AP110" s="225" t="str">
        <f>IFERROR(IF(AVERAGE(F110:K110)&lt;&gt;0,AVERAGE(F110:K110),""),"")</f>
        <v/>
      </c>
      <c r="AQ110" s="226" t="str">
        <f>IFERROR(IF(AVERAGE(L110:Q110)&lt;&gt;0,AVERAGE(L110:Q110),""),"")</f>
        <v/>
      </c>
      <c r="AR110" s="225" t="str">
        <f>IFERROR(IF(AVERAGE(R110:W110)&lt;&gt;0,AVERAGE(R110:W110),""),"")</f>
        <v/>
      </c>
      <c r="AS110" s="226" t="str">
        <f>IFERROR(IF(AVERAGE(X110:AC110)&lt;&gt;0,AVERAGE(X110:AC110),""),"")</f>
        <v/>
      </c>
      <c r="AT110" s="225" t="str">
        <f>IFERROR(IF(AVERAGE(AD110:AI110)&lt;&gt;0,AVERAGE(AD110:AI110),""),"")</f>
        <v/>
      </c>
      <c r="AU110" s="226" t="str">
        <f>IFERROR(IF(AVERAGE(AJ110:AO110)&lt;&gt;0,AVERAGE(AJ110:AO110),""),"")</f>
        <v/>
      </c>
      <c r="AV110" s="70"/>
      <c r="AW110" s="53"/>
      <c r="AX110" s="70"/>
      <c r="AY110" s="53"/>
      <c r="AZ110" s="70"/>
      <c r="BA110" s="53"/>
      <c r="BB110" s="70"/>
      <c r="BC110" s="53"/>
      <c r="BD110" s="70"/>
      <c r="BE110" s="264"/>
      <c r="BF110" s="272" t="str">
        <f>IFERROR(IF(AVERAGE(AP110:AQ110)&lt;&gt;0,AVERAGE(AP110:AQ110),""),"")</f>
        <v/>
      </c>
      <c r="BG110" s="272" t="str">
        <f>IFERROR(IF(AVERAGE(AR110:AS110)&lt;&gt;0,AVERAGE(AR110:AS110),""),"")</f>
        <v/>
      </c>
      <c r="BH110" s="272" t="str">
        <f>IFERROR(IF(AVERAGE(AT110:AU110)&lt;&gt;0,AVERAGE(AT110:AU110),""),"")</f>
        <v/>
      </c>
      <c r="BI110" s="272" t="str">
        <f>IFERROR(IF(AVERAGE(AV110:AW110)&lt;&gt;0,AVERAGE(AV110:AW110),""),"")</f>
        <v/>
      </c>
      <c r="BJ110" s="272" t="str">
        <f>IFERROR(IF(AVERAGE(AX110:AY110)&lt;&gt;0,AVERAGE(AX110:AY110),""),"")</f>
        <v/>
      </c>
      <c r="BK110" s="272" t="str">
        <f>IFERROR(IF(AVERAGE(AZ110:BA110)&lt;&gt;0,AVERAGE(AZ110:BA110),""),"")</f>
        <v/>
      </c>
      <c r="BL110" s="272" t="str">
        <f>IFERROR(IF(AVERAGE(BB110:BC110)&lt;&gt;0,AVERAGE(BB110:BC110),""),"")</f>
        <v/>
      </c>
      <c r="BM110" s="272" t="str">
        <f>IFERROR(IF(AVERAGE(BD110:BE110)&lt;&gt;0,AVERAGE(BD110:BE110),""),"")</f>
        <v/>
      </c>
    </row>
    <row r="111" spans="1:65" s="102" customFormat="1" ht="15" customHeight="1" outlineLevel="2" thickBot="1" x14ac:dyDescent="0.25">
      <c r="A111" s="320" t="s">
        <v>226</v>
      </c>
      <c r="B111" s="347"/>
      <c r="C111" s="350"/>
      <c r="D111" s="344"/>
      <c r="E111" s="278" t="s">
        <v>30</v>
      </c>
      <c r="F111" s="55"/>
      <c r="G111" s="56"/>
      <c r="H111" s="56"/>
      <c r="I111" s="56"/>
      <c r="J111" s="56"/>
      <c r="K111" s="56"/>
      <c r="L111" s="56"/>
      <c r="M111" s="56"/>
      <c r="N111" s="56"/>
      <c r="O111" s="56"/>
      <c r="P111" s="56"/>
      <c r="Q111" s="57"/>
      <c r="R111" s="55"/>
      <c r="S111" s="56"/>
      <c r="T111" s="56"/>
      <c r="U111" s="56"/>
      <c r="V111" s="56"/>
      <c r="W111" s="56"/>
      <c r="X111" s="56"/>
      <c r="Y111" s="56"/>
      <c r="Z111" s="56"/>
      <c r="AA111" s="56"/>
      <c r="AB111" s="56"/>
      <c r="AC111" s="57"/>
      <c r="AD111" s="55"/>
      <c r="AE111" s="56"/>
      <c r="AF111" s="56"/>
      <c r="AG111" s="56"/>
      <c r="AH111" s="56"/>
      <c r="AI111" s="56"/>
      <c r="AJ111" s="56"/>
      <c r="AK111" s="56"/>
      <c r="AL111" s="56"/>
      <c r="AM111" s="56"/>
      <c r="AN111" s="56"/>
      <c r="AO111" s="57"/>
      <c r="AP111" s="227" t="str">
        <f>IFERROR(IF(AVERAGE(F111:K111)&lt;&gt;0,AVERAGE(F111:K111),""),"")</f>
        <v/>
      </c>
      <c r="AQ111" s="228" t="str">
        <f>IFERROR(IF(AVERAGE(L111:Q111)&lt;&gt;0,AVERAGE(L111:Q111),""),"")</f>
        <v/>
      </c>
      <c r="AR111" s="227" t="str">
        <f>IFERROR(IF(AVERAGE(R111:W111)&lt;&gt;0,AVERAGE(R111:W111),""),"")</f>
        <v/>
      </c>
      <c r="AS111" s="228" t="str">
        <f>IFERROR(IF(AVERAGE(X111:AC111)&lt;&gt;0,AVERAGE(X111:AC111),""),"")</f>
        <v/>
      </c>
      <c r="AT111" s="227" t="str">
        <f>IFERROR(IF(AVERAGE(AD111:AI111)&lt;&gt;0,AVERAGE(AD111:AI111),""),"")</f>
        <v/>
      </c>
      <c r="AU111" s="228" t="str">
        <f>IFERROR(IF(AVERAGE(AJ111:AO111)&lt;&gt;0,AVERAGE(AJ111:AO111),""),"")</f>
        <v/>
      </c>
      <c r="AV111" s="71"/>
      <c r="AW111" s="56"/>
      <c r="AX111" s="71"/>
      <c r="AY111" s="56"/>
      <c r="AZ111" s="71"/>
      <c r="BA111" s="56"/>
      <c r="BB111" s="71"/>
      <c r="BC111" s="56"/>
      <c r="BD111" s="71"/>
      <c r="BE111" s="265"/>
      <c r="BF111" s="273" t="str">
        <f>IFERROR(IF(AVERAGE(AP111:AQ111)&lt;&gt;0,AVERAGE(AP111:AQ111),""),"")</f>
        <v/>
      </c>
      <c r="BG111" s="273" t="str">
        <f>IFERROR(IF(AVERAGE(AR111:AS111)&lt;&gt;0,AVERAGE(AR111:AS111),""),"")</f>
        <v/>
      </c>
      <c r="BH111" s="273" t="str">
        <f>IFERROR(IF(AVERAGE(AT111:AU111)&lt;&gt;0,AVERAGE(AT111:AU111),""),"")</f>
        <v/>
      </c>
      <c r="BI111" s="273" t="str">
        <f>IFERROR(IF(AVERAGE(AV111:AW111)&lt;&gt;0,AVERAGE(AV111:AW111),""),"")</f>
        <v/>
      </c>
      <c r="BJ111" s="273" t="str">
        <f>IFERROR(IF(AVERAGE(AX111:AY111)&lt;&gt;0,AVERAGE(AX111:AY111),""),"")</f>
        <v/>
      </c>
      <c r="BK111" s="273" t="str">
        <f>IFERROR(IF(AVERAGE(AZ111:BA111)&lt;&gt;0,AVERAGE(AZ111:BA111),""),"")</f>
        <v/>
      </c>
      <c r="BL111" s="273" t="str">
        <f>IFERROR(IF(AVERAGE(BB111:BC111)&lt;&gt;0,AVERAGE(BB111:BC111),""),"")</f>
        <v/>
      </c>
      <c r="BM111" s="273" t="str">
        <f>IFERROR(IF(AVERAGE(BD111:BE111)&lt;&gt;0,AVERAGE(BD111:BE111),""),"")</f>
        <v/>
      </c>
    </row>
    <row r="112" spans="1:65" s="102" customFormat="1" ht="14.25" customHeight="1" outlineLevel="2" x14ac:dyDescent="0.2">
      <c r="A112" s="320" t="s">
        <v>226</v>
      </c>
      <c r="B112" s="347"/>
      <c r="C112" s="350"/>
      <c r="D112" s="344"/>
      <c r="E112" s="279" t="s">
        <v>25</v>
      </c>
      <c r="F112" s="58"/>
      <c r="G112" s="50"/>
      <c r="H112" s="50"/>
      <c r="I112" s="50"/>
      <c r="J112" s="50"/>
      <c r="K112" s="50"/>
      <c r="L112" s="50"/>
      <c r="M112" s="50"/>
      <c r="N112" s="50"/>
      <c r="O112" s="50"/>
      <c r="P112" s="50"/>
      <c r="Q112" s="59"/>
      <c r="R112" s="58"/>
      <c r="S112" s="50"/>
      <c r="T112" s="50"/>
      <c r="U112" s="50"/>
      <c r="V112" s="50"/>
      <c r="W112" s="50"/>
      <c r="X112" s="50"/>
      <c r="Y112" s="50"/>
      <c r="Z112" s="50"/>
      <c r="AA112" s="50"/>
      <c r="AB112" s="50"/>
      <c r="AC112" s="59"/>
      <c r="AD112" s="58"/>
      <c r="AE112" s="50"/>
      <c r="AF112" s="50"/>
      <c r="AG112" s="50"/>
      <c r="AH112" s="50"/>
      <c r="AI112" s="50"/>
      <c r="AJ112" s="50"/>
      <c r="AK112" s="50"/>
      <c r="AL112" s="50"/>
      <c r="AM112" s="50"/>
      <c r="AN112" s="50"/>
      <c r="AO112" s="59"/>
      <c r="AP112" s="229" t="str">
        <f>IFERROR(IF(SUM(F112:K112)&lt;&gt;0,SUM(F112:K112),""),"")</f>
        <v/>
      </c>
      <c r="AQ112" s="230" t="str">
        <f>IFERROR(IF(SUM(L112:Q112)&lt;&gt;0,SUM(L112:Q112),""),"")</f>
        <v/>
      </c>
      <c r="AR112" s="229" t="str">
        <f>IFERROR(IF(SUM(R112:W112)&lt;&gt;0,SUM(R112:W112),""),"")</f>
        <v/>
      </c>
      <c r="AS112" s="230" t="str">
        <f>IFERROR(IF(SUM(X112:AC112)&lt;&gt;0,SUM(X112:AC112),""),"")</f>
        <v/>
      </c>
      <c r="AT112" s="229" t="str">
        <f>IFERROR(IF(SUM(AD112:AI112)&lt;&gt;0,SUM(AD112:AI112),""),"")</f>
        <v/>
      </c>
      <c r="AU112" s="230" t="str">
        <f>IFERROR(IF(SUM(AJ112:AO112)&lt;&gt;0,SUM(AJ112:AO112),""),"")</f>
        <v/>
      </c>
      <c r="AV112" s="72"/>
      <c r="AW112" s="73"/>
      <c r="AX112" s="72"/>
      <c r="AY112" s="73"/>
      <c r="AZ112" s="72"/>
      <c r="BA112" s="73"/>
      <c r="BB112" s="72"/>
      <c r="BC112" s="73"/>
      <c r="BD112" s="72"/>
      <c r="BE112" s="266"/>
      <c r="BF112" s="286" t="e">
        <f t="shared" ref="BF112:BF115" si="597">IF(SUM(AP112,AQ112)&lt;&gt;0,SUM(AP112,AQ112),#N/A)</f>
        <v>#N/A</v>
      </c>
      <c r="BG112" s="286" t="e">
        <f t="shared" ref="BG112:BG115" si="598">IF(SUM(AR112,AS112)&lt;&gt;0,SUM(AR112,AS112),#N/A)</f>
        <v>#N/A</v>
      </c>
      <c r="BH112" s="286" t="e">
        <f t="shared" ref="BH112:BH115" si="599">IF(SUM(AT112,AU112)&lt;&gt;0,SUM(AT112,AU112),#N/A)</f>
        <v>#N/A</v>
      </c>
      <c r="BI112" s="286" t="e">
        <f t="shared" ref="BI112:BI115" si="600">IF(SUM(AV112,AW112)&lt;&gt;0,SUM(AV112,AW112),#N/A)</f>
        <v>#N/A</v>
      </c>
      <c r="BJ112" s="286" t="e">
        <f t="shared" ref="BJ112:BJ115" si="601">IF(SUM(AX112,AY112)&lt;&gt;0,SUM(AX112,AY112),#N/A)</f>
        <v>#N/A</v>
      </c>
      <c r="BK112" s="286" t="e">
        <f t="shared" ref="BK112:BK115" si="602">IF(SUM(AZ112,BA112)&lt;&gt;0,SUM(AZ112,BA112),#N/A)</f>
        <v>#N/A</v>
      </c>
      <c r="BL112" s="286" t="e">
        <f t="shared" ref="BL112:BL115" si="603">IF(SUM(BB112,BC112)&lt;&gt;0,SUM(BB112,BC112),#N/A)</f>
        <v>#N/A</v>
      </c>
      <c r="BM112" s="286" t="e">
        <f t="shared" ref="BM112:BM115" si="604">IF(SUM(BD112,BE112)&lt;&gt;0,SUM(BD112,BE112),#N/A)</f>
        <v>#N/A</v>
      </c>
    </row>
    <row r="113" spans="1:65" s="102" customFormat="1" ht="14.25" customHeight="1" outlineLevel="2" x14ac:dyDescent="0.2">
      <c r="A113" s="320" t="s">
        <v>226</v>
      </c>
      <c r="B113" s="347"/>
      <c r="C113" s="350"/>
      <c r="D113" s="344"/>
      <c r="E113" s="280" t="s">
        <v>26</v>
      </c>
      <c r="F113" s="60"/>
      <c r="G113" s="61"/>
      <c r="H113" s="61"/>
      <c r="I113" s="61"/>
      <c r="J113" s="61"/>
      <c r="K113" s="61"/>
      <c r="L113" s="61"/>
      <c r="M113" s="61"/>
      <c r="N113" s="61"/>
      <c r="O113" s="61"/>
      <c r="P113" s="61"/>
      <c r="Q113" s="62"/>
      <c r="R113" s="60"/>
      <c r="S113" s="61"/>
      <c r="T113" s="61"/>
      <c r="U113" s="61"/>
      <c r="V113" s="61"/>
      <c r="W113" s="61"/>
      <c r="X113" s="61"/>
      <c r="Y113" s="61"/>
      <c r="Z113" s="61"/>
      <c r="AA113" s="61"/>
      <c r="AB113" s="61"/>
      <c r="AC113" s="62"/>
      <c r="AD113" s="60"/>
      <c r="AE113" s="61"/>
      <c r="AF113" s="61"/>
      <c r="AG113" s="61"/>
      <c r="AH113" s="61"/>
      <c r="AI113" s="61"/>
      <c r="AJ113" s="61"/>
      <c r="AK113" s="61"/>
      <c r="AL113" s="61"/>
      <c r="AM113" s="61"/>
      <c r="AN113" s="61"/>
      <c r="AO113" s="62"/>
      <c r="AP113" s="231" t="str">
        <f>IFERROR(IF(SUM(F113:K113)&lt;&gt;0,SUM(F113:K113),""),"")</f>
        <v/>
      </c>
      <c r="AQ113" s="232" t="str">
        <f>IFERROR(IF(SUM(L113:Q113)&lt;&gt;0,SUM(L113:Q113),""),"")</f>
        <v/>
      </c>
      <c r="AR113" s="231" t="str">
        <f>IFERROR(IF(SUM(R113:W113)&lt;&gt;0,SUM(R113:W113),""),"")</f>
        <v/>
      </c>
      <c r="AS113" s="232" t="str">
        <f>IFERROR(IF(SUM(X113:AC113)&lt;&gt;0,SUM(X113:AC113),""),"")</f>
        <v/>
      </c>
      <c r="AT113" s="231" t="str">
        <f>IFERROR(IF(SUM(AD113:AI113)&lt;&gt;0,SUM(AD113:AI113),""),"")</f>
        <v/>
      </c>
      <c r="AU113" s="232" t="str">
        <f>IFERROR(IF(SUM(AJ113:AO113)&lt;&gt;0,SUM(AJ113:AO113),""),"")</f>
        <v/>
      </c>
      <c r="AV113" s="74"/>
      <c r="AW113" s="61"/>
      <c r="AX113" s="74"/>
      <c r="AY113" s="61"/>
      <c r="AZ113" s="74"/>
      <c r="BA113" s="61"/>
      <c r="BB113" s="74"/>
      <c r="BC113" s="61"/>
      <c r="BD113" s="74"/>
      <c r="BE113" s="267"/>
      <c r="BF113" s="287" t="e">
        <f t="shared" si="597"/>
        <v>#N/A</v>
      </c>
      <c r="BG113" s="287" t="e">
        <f t="shared" si="598"/>
        <v>#N/A</v>
      </c>
      <c r="BH113" s="287" t="e">
        <f t="shared" si="599"/>
        <v>#N/A</v>
      </c>
      <c r="BI113" s="287" t="e">
        <f t="shared" si="600"/>
        <v>#N/A</v>
      </c>
      <c r="BJ113" s="287" t="e">
        <f t="shared" si="601"/>
        <v>#N/A</v>
      </c>
      <c r="BK113" s="287" t="e">
        <f t="shared" si="602"/>
        <v>#N/A</v>
      </c>
      <c r="BL113" s="287" t="e">
        <f t="shared" si="603"/>
        <v>#N/A</v>
      </c>
      <c r="BM113" s="287" t="e">
        <f t="shared" si="604"/>
        <v>#N/A</v>
      </c>
    </row>
    <row r="114" spans="1:65" s="102" customFormat="1" ht="14.25" customHeight="1" outlineLevel="2" x14ac:dyDescent="0.2">
      <c r="A114" s="320" t="s">
        <v>226</v>
      </c>
      <c r="B114" s="347"/>
      <c r="C114" s="350"/>
      <c r="D114" s="344"/>
      <c r="E114" s="280" t="s">
        <v>27</v>
      </c>
      <c r="F114" s="60"/>
      <c r="G114" s="61"/>
      <c r="H114" s="61"/>
      <c r="I114" s="61"/>
      <c r="J114" s="61"/>
      <c r="K114" s="61"/>
      <c r="L114" s="61"/>
      <c r="M114" s="61"/>
      <c r="N114" s="61"/>
      <c r="O114" s="61"/>
      <c r="P114" s="61"/>
      <c r="Q114" s="62"/>
      <c r="R114" s="60"/>
      <c r="S114" s="61"/>
      <c r="T114" s="61"/>
      <c r="U114" s="61"/>
      <c r="V114" s="61"/>
      <c r="W114" s="61"/>
      <c r="X114" s="61"/>
      <c r="Y114" s="61"/>
      <c r="Z114" s="61"/>
      <c r="AA114" s="61"/>
      <c r="AB114" s="61"/>
      <c r="AC114" s="62"/>
      <c r="AD114" s="60"/>
      <c r="AE114" s="61"/>
      <c r="AF114" s="61"/>
      <c r="AG114" s="61"/>
      <c r="AH114" s="61"/>
      <c r="AI114" s="61"/>
      <c r="AJ114" s="61"/>
      <c r="AK114" s="61"/>
      <c r="AL114" s="61"/>
      <c r="AM114" s="61"/>
      <c r="AN114" s="61"/>
      <c r="AO114" s="62"/>
      <c r="AP114" s="231" t="str">
        <f>IFERROR(IF(SUM(F114:K114)&lt;&gt;0,SUM(F114:K114),""),"")</f>
        <v/>
      </c>
      <c r="AQ114" s="232" t="str">
        <f>IFERROR(IF(SUM(L114:Q114)&lt;&gt;0,SUM(L114:Q114),""),"")</f>
        <v/>
      </c>
      <c r="AR114" s="231" t="str">
        <f>IFERROR(IF(SUM(R114:W114)&lt;&gt;0,SUM(R114:W114),""),"")</f>
        <v/>
      </c>
      <c r="AS114" s="232" t="str">
        <f>IFERROR(IF(SUM(X114:AC114)&lt;&gt;0,SUM(X114:AC114),""),"")</f>
        <v/>
      </c>
      <c r="AT114" s="231" t="str">
        <f>IFERROR(IF(SUM(AD114:AI114)&lt;&gt;0,SUM(AD114:AI114),""),"")</f>
        <v/>
      </c>
      <c r="AU114" s="232" t="str">
        <f>IFERROR(IF(SUM(AJ114:AO114)&lt;&gt;0,SUM(AJ114:AO114),""),"")</f>
        <v/>
      </c>
      <c r="AV114" s="74"/>
      <c r="AW114" s="61"/>
      <c r="AX114" s="74"/>
      <c r="AY114" s="61"/>
      <c r="AZ114" s="74"/>
      <c r="BA114" s="61"/>
      <c r="BB114" s="74"/>
      <c r="BC114" s="61"/>
      <c r="BD114" s="74"/>
      <c r="BE114" s="267"/>
      <c r="BF114" s="287" t="e">
        <f t="shared" si="597"/>
        <v>#N/A</v>
      </c>
      <c r="BG114" s="287" t="e">
        <f t="shared" si="598"/>
        <v>#N/A</v>
      </c>
      <c r="BH114" s="287" t="e">
        <f t="shared" si="599"/>
        <v>#N/A</v>
      </c>
      <c r="BI114" s="287" t="e">
        <f t="shared" si="600"/>
        <v>#N/A</v>
      </c>
      <c r="BJ114" s="287" t="e">
        <f t="shared" si="601"/>
        <v>#N/A</v>
      </c>
      <c r="BK114" s="287" t="e">
        <f t="shared" si="602"/>
        <v>#N/A</v>
      </c>
      <c r="BL114" s="287" t="e">
        <f t="shared" si="603"/>
        <v>#N/A</v>
      </c>
      <c r="BM114" s="287" t="e">
        <f t="shared" si="604"/>
        <v>#N/A</v>
      </c>
    </row>
    <row r="115" spans="1:65" s="102" customFormat="1" ht="15" customHeight="1" outlineLevel="2" thickBot="1" x14ac:dyDescent="0.25">
      <c r="A115" s="320" t="s">
        <v>226</v>
      </c>
      <c r="B115" s="347"/>
      <c r="C115" s="350"/>
      <c r="D115" s="344"/>
      <c r="E115" s="281" t="s">
        <v>88</v>
      </c>
      <c r="F115" s="63"/>
      <c r="G115" s="48"/>
      <c r="H115" s="48"/>
      <c r="I115" s="48"/>
      <c r="J115" s="48"/>
      <c r="K115" s="48"/>
      <c r="L115" s="48"/>
      <c r="M115" s="48"/>
      <c r="N115" s="48"/>
      <c r="O115" s="48"/>
      <c r="P115" s="48"/>
      <c r="Q115" s="51"/>
      <c r="R115" s="63"/>
      <c r="S115" s="48"/>
      <c r="T115" s="48"/>
      <c r="U115" s="48"/>
      <c r="V115" s="48"/>
      <c r="W115" s="48"/>
      <c r="X115" s="48"/>
      <c r="Y115" s="48"/>
      <c r="Z115" s="48"/>
      <c r="AA115" s="48"/>
      <c r="AB115" s="48"/>
      <c r="AC115" s="51"/>
      <c r="AD115" s="63"/>
      <c r="AE115" s="48"/>
      <c r="AF115" s="48"/>
      <c r="AG115" s="48"/>
      <c r="AH115" s="48"/>
      <c r="AI115" s="48"/>
      <c r="AJ115" s="48"/>
      <c r="AK115" s="48"/>
      <c r="AL115" s="48"/>
      <c r="AM115" s="48"/>
      <c r="AN115" s="48"/>
      <c r="AO115" s="51"/>
      <c r="AP115" s="233" t="str">
        <f>IFERROR(IF(SUM(F115:K115)&lt;&gt;0,SUM(F115:K115),""),"")</f>
        <v/>
      </c>
      <c r="AQ115" s="234" t="str">
        <f>IFERROR(IF(SUM(L115:Q115)&lt;&gt;0,SUM(L115:Q115),""),"")</f>
        <v/>
      </c>
      <c r="AR115" s="233" t="str">
        <f>IFERROR(IF(SUM(R115:W115)&lt;&gt;0,SUM(R115:W115),""),"")</f>
        <v/>
      </c>
      <c r="AS115" s="234" t="str">
        <f>IFERROR(IF(SUM(X115:AC115)&lt;&gt;0,SUM(X115:AC115),""),"")</f>
        <v/>
      </c>
      <c r="AT115" s="233" t="str">
        <f>IFERROR(IF(SUM(AD115:AI115)&lt;&gt;0,SUM(AD115:AI115),""),"")</f>
        <v/>
      </c>
      <c r="AU115" s="234" t="str">
        <f>IFERROR(IF(SUM(AJ115:AO115)&lt;&gt;0,SUM(AJ115:AO115),""),"")</f>
        <v/>
      </c>
      <c r="AV115" s="75"/>
      <c r="AW115" s="76"/>
      <c r="AX115" s="75"/>
      <c r="AY115" s="76"/>
      <c r="AZ115" s="75"/>
      <c r="BA115" s="76"/>
      <c r="BB115" s="75"/>
      <c r="BC115" s="76"/>
      <c r="BD115" s="75"/>
      <c r="BE115" s="268"/>
      <c r="BF115" s="271" t="e">
        <f t="shared" si="597"/>
        <v>#N/A</v>
      </c>
      <c r="BG115" s="271" t="e">
        <f t="shared" si="598"/>
        <v>#N/A</v>
      </c>
      <c r="BH115" s="271" t="e">
        <f t="shared" si="599"/>
        <v>#N/A</v>
      </c>
      <c r="BI115" s="271" t="e">
        <f t="shared" si="600"/>
        <v>#N/A</v>
      </c>
      <c r="BJ115" s="271" t="e">
        <f t="shared" si="601"/>
        <v>#N/A</v>
      </c>
      <c r="BK115" s="271" t="e">
        <f t="shared" si="602"/>
        <v>#N/A</v>
      </c>
      <c r="BL115" s="271" t="e">
        <f t="shared" si="603"/>
        <v>#N/A</v>
      </c>
      <c r="BM115" s="271" t="e">
        <f t="shared" si="604"/>
        <v>#N/A</v>
      </c>
    </row>
    <row r="116" spans="1:65" s="102" customFormat="1" ht="14.25" customHeight="1" outlineLevel="2" x14ac:dyDescent="0.2">
      <c r="A116" s="320" t="s">
        <v>226</v>
      </c>
      <c r="B116" s="347"/>
      <c r="C116" s="350"/>
      <c r="D116" s="344"/>
      <c r="E116" s="279" t="s">
        <v>32</v>
      </c>
      <c r="F116" s="64"/>
      <c r="G116" s="65"/>
      <c r="H116" s="65"/>
      <c r="I116" s="65"/>
      <c r="J116" s="65"/>
      <c r="K116" s="65"/>
      <c r="L116" s="65"/>
      <c r="M116" s="65"/>
      <c r="N116" s="65"/>
      <c r="O116" s="65"/>
      <c r="P116" s="65"/>
      <c r="Q116" s="66"/>
      <c r="R116" s="64"/>
      <c r="S116" s="65"/>
      <c r="T116" s="65"/>
      <c r="U116" s="65"/>
      <c r="V116" s="65"/>
      <c r="W116" s="65"/>
      <c r="X116" s="65"/>
      <c r="Y116" s="65"/>
      <c r="Z116" s="65"/>
      <c r="AA116" s="65"/>
      <c r="AB116" s="65"/>
      <c r="AC116" s="66"/>
      <c r="AD116" s="64"/>
      <c r="AE116" s="65"/>
      <c r="AF116" s="65"/>
      <c r="AG116" s="65"/>
      <c r="AH116" s="65"/>
      <c r="AI116" s="65"/>
      <c r="AJ116" s="65"/>
      <c r="AK116" s="65"/>
      <c r="AL116" s="65"/>
      <c r="AM116" s="65"/>
      <c r="AN116" s="65"/>
      <c r="AO116" s="66"/>
      <c r="AP116" s="32" t="str">
        <f>IFERROR(IF(AVERAGE(F116:K116)&lt;&gt;0,AVERAGE(F116:K116),""),"")</f>
        <v/>
      </c>
      <c r="AQ116" s="235" t="str">
        <f>IFERROR(IF(AVERAGE(L116:Q116)&lt;&gt;0,AVERAGE(L116:Q116),""),"")</f>
        <v/>
      </c>
      <c r="AR116" s="32" t="str">
        <f>IFERROR(IF(AVERAGE(R116:W116)&lt;&gt;0,AVERAGE(R116:W116),""),"")</f>
        <v/>
      </c>
      <c r="AS116" s="235" t="str">
        <f>IFERROR(IF(AVERAGE(X116:AC116)&lt;&gt;0,AVERAGE(X116:AC116),""),"")</f>
        <v/>
      </c>
      <c r="AT116" s="32" t="str">
        <f>IFERROR(IF(AVERAGE(AD116:AI116)&lt;&gt;0,AVERAGE(AD116:AI116),""),"")</f>
        <v/>
      </c>
      <c r="AU116" s="235" t="str">
        <f>IFERROR(IF(AVERAGE(AJ116:AO116)&lt;&gt;0,AVERAGE(AJ116:AO116),""),"")</f>
        <v/>
      </c>
      <c r="AV116" s="77"/>
      <c r="AW116" s="65"/>
      <c r="AX116" s="77"/>
      <c r="AY116" s="65"/>
      <c r="AZ116" s="77"/>
      <c r="BA116" s="65"/>
      <c r="BB116" s="77"/>
      <c r="BC116" s="65"/>
      <c r="BD116" s="77"/>
      <c r="BE116" s="269"/>
      <c r="BF116" s="272" t="str">
        <f>IFERROR(IF(AVERAGE(AP116:AQ116)&lt;&gt;0,AVERAGE(AP116:AQ116),""),"")</f>
        <v/>
      </c>
      <c r="BG116" s="272" t="str">
        <f>IFERROR(IF(AVERAGE(AR116:AS116)&lt;&gt;0,AVERAGE(AR116:AS116),""),"")</f>
        <v/>
      </c>
      <c r="BH116" s="272" t="str">
        <f>IFERROR(IF(AVERAGE(AT116:AU116)&lt;&gt;0,AVERAGE(AT116:AU116),""),"")</f>
        <v/>
      </c>
      <c r="BI116" s="272" t="str">
        <f>IFERROR(IF(AVERAGE(AV116:AW116)&lt;&gt;0,AVERAGE(AV116:AW116),""),"")</f>
        <v/>
      </c>
      <c r="BJ116" s="272" t="str">
        <f>IFERROR(IF(AVERAGE(AX116:AY116)&lt;&gt;0,AVERAGE(AX116:AY116),""),"")</f>
        <v/>
      </c>
      <c r="BK116" s="272" t="str">
        <f>IFERROR(IF(AVERAGE(AZ116:BA116)&lt;&gt;0,AVERAGE(AZ116:BA116),""),"")</f>
        <v/>
      </c>
      <c r="BL116" s="272" t="str">
        <f>IFERROR(IF(AVERAGE(BB116:BC116)&lt;&gt;0,AVERAGE(BB116:BC116),""),"")</f>
        <v/>
      </c>
      <c r="BM116" s="272" t="str">
        <f>IFERROR(IF(AVERAGE(BD116:BE116)&lt;&gt;0,AVERAGE(BD116:BE116),""),"")</f>
        <v/>
      </c>
    </row>
    <row r="117" spans="1:65" s="102" customFormat="1" ht="15" customHeight="1" outlineLevel="2" thickBot="1" x14ac:dyDescent="0.25">
      <c r="A117" s="320" t="s">
        <v>226</v>
      </c>
      <c r="B117" s="347"/>
      <c r="C117" s="350"/>
      <c r="D117" s="344"/>
      <c r="E117" s="281" t="s">
        <v>2</v>
      </c>
      <c r="F117" s="67"/>
      <c r="G117" s="68"/>
      <c r="H117" s="68"/>
      <c r="I117" s="68"/>
      <c r="J117" s="68"/>
      <c r="K117" s="68"/>
      <c r="L117" s="68"/>
      <c r="M117" s="68"/>
      <c r="N117" s="68"/>
      <c r="O117" s="68"/>
      <c r="P117" s="68"/>
      <c r="Q117" s="69"/>
      <c r="R117" s="67"/>
      <c r="S117" s="68"/>
      <c r="T117" s="68"/>
      <c r="U117" s="68"/>
      <c r="V117" s="68"/>
      <c r="W117" s="68"/>
      <c r="X117" s="68"/>
      <c r="Y117" s="68"/>
      <c r="Z117" s="68"/>
      <c r="AA117" s="68"/>
      <c r="AB117" s="68"/>
      <c r="AC117" s="69"/>
      <c r="AD117" s="67"/>
      <c r="AE117" s="68"/>
      <c r="AF117" s="68"/>
      <c r="AG117" s="68"/>
      <c r="AH117" s="68"/>
      <c r="AI117" s="68"/>
      <c r="AJ117" s="68"/>
      <c r="AK117" s="68"/>
      <c r="AL117" s="68"/>
      <c r="AM117" s="68"/>
      <c r="AN117" s="68"/>
      <c r="AO117" s="69"/>
      <c r="AP117" s="236" t="str">
        <f>IFERROR(IF(AVERAGE(F117:K117)&lt;&gt;0,AVERAGE(F117:K117),""),"")</f>
        <v/>
      </c>
      <c r="AQ117" s="237" t="str">
        <f>IFERROR(IF(AVERAGE(L117:Q117)&lt;&gt;0,AVERAGE(L117:Q117),""),"")</f>
        <v/>
      </c>
      <c r="AR117" s="236" t="str">
        <f>IFERROR(IF(AVERAGE(R117:W117)&lt;&gt;0,AVERAGE(R117:W117),""),"")</f>
        <v/>
      </c>
      <c r="AS117" s="237" t="str">
        <f>IFERROR(IF(AVERAGE(X117:AC117)&lt;&gt;0,AVERAGE(X117:AC117),""),"")</f>
        <v/>
      </c>
      <c r="AT117" s="236" t="str">
        <f>IFERROR(IF(AVERAGE(AD117:AI117)&lt;&gt;0,AVERAGE(AD117:AI117),""),"")</f>
        <v/>
      </c>
      <c r="AU117" s="237" t="str">
        <f>IFERROR(IF(AVERAGE(AJ117:AO117)&lt;&gt;0,AVERAGE(AJ117:AO117),""),"")</f>
        <v/>
      </c>
      <c r="AV117" s="78"/>
      <c r="AW117" s="68"/>
      <c r="AX117" s="78"/>
      <c r="AY117" s="68"/>
      <c r="AZ117" s="78"/>
      <c r="BA117" s="68"/>
      <c r="BB117" s="78"/>
      <c r="BC117" s="68"/>
      <c r="BD117" s="78"/>
      <c r="BE117" s="270"/>
      <c r="BF117" s="288" t="str">
        <f>IFERROR(IF(AVERAGE(AP117:AQ117)&lt;&gt;0,AVERAGE(AP117:AQ117),""),"")</f>
        <v/>
      </c>
      <c r="BG117" s="288" t="str">
        <f>IFERROR(IF(AVERAGE(AR117:AS117)&lt;&gt;0,AVERAGE(AR117:AS117),""),"")</f>
        <v/>
      </c>
      <c r="BH117" s="288" t="str">
        <f>IFERROR(IF(AVERAGE(AT117:AU117)&lt;&gt;0,AVERAGE(AT117:AU117),""),"")</f>
        <v/>
      </c>
      <c r="BI117" s="288" t="str">
        <f>IFERROR(IF(AVERAGE(AV117:AW117)&lt;&gt;0,AVERAGE(AV117:AW117),""),"")</f>
        <v/>
      </c>
      <c r="BJ117" s="288" t="str">
        <f>IFERROR(IF(AVERAGE(AX117:AY117)&lt;&gt;0,AVERAGE(AX117:AY117),""),"")</f>
        <v/>
      </c>
      <c r="BK117" s="288" t="str">
        <f>IFERROR(IF(AVERAGE(AZ117:BA117)&lt;&gt;0,AVERAGE(AZ117:BA117),""),"")</f>
        <v/>
      </c>
      <c r="BL117" s="288" t="str">
        <f>IFERROR(IF(AVERAGE(BB117:BC117)&lt;&gt;0,AVERAGE(BB117:BC117),""),"")</f>
        <v/>
      </c>
      <c r="BM117" s="288" t="str">
        <f>IFERROR(IF(AVERAGE(BD117:BE117)&lt;&gt;0,AVERAGE(BD117:BE117),""),"")</f>
        <v/>
      </c>
    </row>
    <row r="118" spans="1:65" s="102" customFormat="1" ht="14.25" customHeight="1" outlineLevel="1" x14ac:dyDescent="0.2">
      <c r="A118" s="320" t="s">
        <v>226</v>
      </c>
      <c r="B118" s="347"/>
      <c r="C118" s="350"/>
      <c r="D118" s="344"/>
      <c r="E118" s="282" t="s">
        <v>228</v>
      </c>
      <c r="F118" s="283" t="str">
        <f ca="1">IF(IFERROR((F$11*(F110-SUM(F112:F115)/F$11)*F117*3600)/(F116),"")&gt;0,IFERROR((F$11*(F110-SUM(F112:F115)/F$11)*F117*3600)/(F116),""),"")</f>
        <v/>
      </c>
      <c r="G118" s="284" t="str">
        <f t="shared" ref="G118" ca="1" si="605">IF(IFERROR((G$11*(G110-SUM(G112:G115)/G$11)*G117*3600)/(G116),"")&gt;0,IFERROR((G$11*(G110-SUM(G112:G115)/G$11)*G117*3600)/(G116),""),"")</f>
        <v/>
      </c>
      <c r="H118" s="284" t="str">
        <f t="shared" ref="H118" ca="1" si="606">IF(IFERROR((H$11*(H110-SUM(H112:H115)/H$11)*H117*3600)/(H116),"")&gt;0,IFERROR((H$11*(H110-SUM(H112:H115)/H$11)*H117*3600)/(H116),""),"")</f>
        <v/>
      </c>
      <c r="I118" s="284" t="str">
        <f t="shared" ref="I118" ca="1" si="607">IF(IFERROR((I$11*(I110-SUM(I112:I115)/I$11)*I117*3600)/(I116),"")&gt;0,IFERROR((I$11*(I110-SUM(I112:I115)/I$11)*I117*3600)/(I116),""),"")</f>
        <v/>
      </c>
      <c r="J118" s="284" t="str">
        <f t="shared" ref="J118" ca="1" si="608">IF(IFERROR((J$11*(J110-SUM(J112:J115)/J$11)*J117*3600)/(J116),"")&gt;0,IFERROR((J$11*(J110-SUM(J112:J115)/J$11)*J117*3600)/(J116),""),"")</f>
        <v/>
      </c>
      <c r="K118" s="284" t="str">
        <f t="shared" ref="K118" ca="1" si="609">IF(IFERROR((K$11*(K110-SUM(K112:K115)/K$11)*K117*3600)/(K116),"")&gt;0,IFERROR((K$11*(K110-SUM(K112:K115)/K$11)*K117*3600)/(K116),""),"")</f>
        <v/>
      </c>
      <c r="L118" s="284" t="str">
        <f t="shared" ref="L118" ca="1" si="610">IF(IFERROR((L$11*(L110-SUM(L112:L115)/L$11)*L117*3600)/(L116),"")&gt;0,IFERROR((L$11*(L110-SUM(L112:L115)/L$11)*L117*3600)/(L116),""),"")</f>
        <v/>
      </c>
      <c r="M118" s="284" t="str">
        <f t="shared" ref="M118" ca="1" si="611">IF(IFERROR((M$11*(M110-SUM(M112:M115)/M$11)*M117*3600)/(M116),"")&gt;0,IFERROR((M$11*(M110-SUM(M112:M115)/M$11)*M117*3600)/(M116),""),"")</f>
        <v/>
      </c>
      <c r="N118" s="284" t="str">
        <f t="shared" ref="N118" ca="1" si="612">IF(IFERROR((N$11*(N110-SUM(N112:N115)/N$11)*N117*3600)/(N116),"")&gt;0,IFERROR((N$11*(N110-SUM(N112:N115)/N$11)*N117*3600)/(N116),""),"")</f>
        <v/>
      </c>
      <c r="O118" s="284" t="str">
        <f t="shared" ref="O118" ca="1" si="613">IF(IFERROR((O$11*(O110-SUM(O112:O115)/O$11)*O117*3600)/(O116),"")&gt;0,IFERROR((O$11*(O110-SUM(O112:O115)/O$11)*O117*3600)/(O116),""),"")</f>
        <v/>
      </c>
      <c r="P118" s="284" t="str">
        <f t="shared" ref="P118" ca="1" si="614">IF(IFERROR((P$11*(P110-SUM(P112:P115)/P$11)*P117*3600)/(P116),"")&gt;0,IFERROR((P$11*(P110-SUM(P112:P115)/P$11)*P117*3600)/(P116),""),"")</f>
        <v/>
      </c>
      <c r="Q118" s="284" t="str">
        <f t="shared" ref="Q118" ca="1" si="615">IF(IFERROR((Q$11*(Q110-SUM(Q112:Q115)/Q$11)*Q117*3600)/(Q116),"")&gt;0,IFERROR((Q$11*(Q110-SUM(Q112:Q115)/Q$11)*Q117*3600)/(Q116),""),"")</f>
        <v/>
      </c>
      <c r="R118" s="283" t="str">
        <f t="shared" ref="R118" ca="1" si="616">IF(IFERROR((R$11*(R110-SUM(R112:R115)/R$11)*R117*3600)/(R116),"")&gt;0,IFERROR((R$11*(R110-SUM(R112:R115)/R$11)*R117*3600)/(R116),""),"")</f>
        <v/>
      </c>
      <c r="S118" s="284" t="str">
        <f t="shared" ref="S118" ca="1" si="617">IF(IFERROR((S$11*(S110-SUM(S112:S115)/S$11)*S117*3600)/(S116),"")&gt;0,IFERROR((S$11*(S110-SUM(S112:S115)/S$11)*S117*3600)/(S116),""),"")</f>
        <v/>
      </c>
      <c r="T118" s="284" t="str">
        <f t="shared" ref="T118" ca="1" si="618">IF(IFERROR((T$11*(T110-SUM(T112:T115)/T$11)*T117*3600)/(T116),"")&gt;0,IFERROR((T$11*(T110-SUM(T112:T115)/T$11)*T117*3600)/(T116),""),"")</f>
        <v/>
      </c>
      <c r="U118" s="284" t="str">
        <f t="shared" ref="U118" ca="1" si="619">IF(IFERROR((U$11*(U110-SUM(U112:U115)/U$11)*U117*3600)/(U116),"")&gt;0,IFERROR((U$11*(U110-SUM(U112:U115)/U$11)*U117*3600)/(U116),""),"")</f>
        <v/>
      </c>
      <c r="V118" s="284" t="str">
        <f t="shared" ref="V118" ca="1" si="620">IF(IFERROR((V$11*(V110-SUM(V112:V115)/V$11)*V117*3600)/(V116),"")&gt;0,IFERROR((V$11*(V110-SUM(V112:V115)/V$11)*V117*3600)/(V116),""),"")</f>
        <v/>
      </c>
      <c r="W118" s="284" t="str">
        <f t="shared" ref="W118" ca="1" si="621">IF(IFERROR((W$11*(W110-SUM(W112:W115)/W$11)*W117*3600)/(W116),"")&gt;0,IFERROR((W$11*(W110-SUM(W112:W115)/W$11)*W117*3600)/(W116),""),"")</f>
        <v/>
      </c>
      <c r="X118" s="284" t="str">
        <f t="shared" ref="X118" ca="1" si="622">IF(IFERROR((X$11*(X110-SUM(X112:X115)/X$11)*X117*3600)/(X116),"")&gt;0,IFERROR((X$11*(X110-SUM(X112:X115)/X$11)*X117*3600)/(X116),""),"")</f>
        <v/>
      </c>
      <c r="Y118" s="284" t="str">
        <f t="shared" ref="Y118" ca="1" si="623">IF(IFERROR((Y$11*(Y110-SUM(Y112:Y115)/Y$11)*Y117*3600)/(Y116),"")&gt;0,IFERROR((Y$11*(Y110-SUM(Y112:Y115)/Y$11)*Y117*3600)/(Y116),""),"")</f>
        <v/>
      </c>
      <c r="Z118" s="284" t="str">
        <f t="shared" ref="Z118" ca="1" si="624">IF(IFERROR((Z$11*(Z110-SUM(Z112:Z115)/Z$11)*Z117*3600)/(Z116),"")&gt;0,IFERROR((Z$11*(Z110-SUM(Z112:Z115)/Z$11)*Z117*3600)/(Z116),""),"")</f>
        <v/>
      </c>
      <c r="AA118" s="284" t="str">
        <f t="shared" ref="AA118" ca="1" si="625">IF(IFERROR((AA$11*(AA110-SUM(AA112:AA115)/AA$11)*AA117*3600)/(AA116),"")&gt;0,IFERROR((AA$11*(AA110-SUM(AA112:AA115)/AA$11)*AA117*3600)/(AA116),""),"")</f>
        <v/>
      </c>
      <c r="AB118" s="284" t="str">
        <f t="shared" ref="AB118" ca="1" si="626">IF(IFERROR((AB$11*(AB110-SUM(AB112:AB115)/AB$11)*AB117*3600)/(AB116),"")&gt;0,IFERROR((AB$11*(AB110-SUM(AB112:AB115)/AB$11)*AB117*3600)/(AB116),""),"")</f>
        <v/>
      </c>
      <c r="AC118" s="284" t="str">
        <f t="shared" ref="AC118" ca="1" si="627">IF(IFERROR((AC$11*(AC110-SUM(AC112:AC115)/AC$11)*AC117*3600)/(AC116),"")&gt;0,IFERROR((AC$11*(AC110-SUM(AC112:AC115)/AC$11)*AC117*3600)/(AC116),""),"")</f>
        <v/>
      </c>
      <c r="AD118" s="283" t="str">
        <f t="shared" ref="AD118" ca="1" si="628">IF(IFERROR((AD$11*(AD110-SUM(AD112:AD115)/AD$11)*AD117*3600)/(AD116),"")&gt;0,IFERROR((AD$11*(AD110-SUM(AD112:AD115)/AD$11)*AD117*3600)/(AD116),""),"")</f>
        <v/>
      </c>
      <c r="AE118" s="284" t="str">
        <f t="shared" ref="AE118" ca="1" si="629">IF(IFERROR((AE$11*(AE110-SUM(AE112:AE115)/AE$11)*AE117*3600)/(AE116),"")&gt;0,IFERROR((AE$11*(AE110-SUM(AE112:AE115)/AE$11)*AE117*3600)/(AE116),""),"")</f>
        <v/>
      </c>
      <c r="AF118" s="284" t="str">
        <f t="shared" ref="AF118" ca="1" si="630">IF(IFERROR((AF$11*(AF110-SUM(AF112:AF115)/AF$11)*AF117*3600)/(AF116),"")&gt;0,IFERROR((AF$11*(AF110-SUM(AF112:AF115)/AF$11)*AF117*3600)/(AF116),""),"")</f>
        <v/>
      </c>
      <c r="AG118" s="284" t="str">
        <f t="shared" ref="AG118" ca="1" si="631">IF(IFERROR((AG$11*(AG110-SUM(AG112:AG115)/AG$11)*AG117*3600)/(AG116),"")&gt;0,IFERROR((AG$11*(AG110-SUM(AG112:AG115)/AG$11)*AG117*3600)/(AG116),""),"")</f>
        <v/>
      </c>
      <c r="AH118" s="284" t="str">
        <f t="shared" ref="AH118" ca="1" si="632">IF(IFERROR((AH$11*(AH110-SUM(AH112:AH115)/AH$11)*AH117*3600)/(AH116),"")&gt;0,IFERROR((AH$11*(AH110-SUM(AH112:AH115)/AH$11)*AH117*3600)/(AH116),""),"")</f>
        <v/>
      </c>
      <c r="AI118" s="284" t="str">
        <f t="shared" ref="AI118" ca="1" si="633">IF(IFERROR((AI$11*(AI110-SUM(AI112:AI115)/AI$11)*AI117*3600)/(AI116),"")&gt;0,IFERROR((AI$11*(AI110-SUM(AI112:AI115)/AI$11)*AI117*3600)/(AI116),""),"")</f>
        <v/>
      </c>
      <c r="AJ118" s="284" t="str">
        <f t="shared" ref="AJ118" ca="1" si="634">IF(IFERROR((AJ$11*(AJ110-SUM(AJ112:AJ115)/AJ$11)*AJ117*3600)/(AJ116),"")&gt;0,IFERROR((AJ$11*(AJ110-SUM(AJ112:AJ115)/AJ$11)*AJ117*3600)/(AJ116),""),"")</f>
        <v/>
      </c>
      <c r="AK118" s="284" t="str">
        <f t="shared" ref="AK118" ca="1" si="635">IF(IFERROR((AK$11*(AK110-SUM(AK112:AK115)/AK$11)*AK117*3600)/(AK116),"")&gt;0,IFERROR((AK$11*(AK110-SUM(AK112:AK115)/AK$11)*AK117*3600)/(AK116),""),"")</f>
        <v/>
      </c>
      <c r="AL118" s="284" t="str">
        <f t="shared" ref="AL118" ca="1" si="636">IF(IFERROR((AL$11*(AL110-SUM(AL112:AL115)/AL$11)*AL117*3600)/(AL116),"")&gt;0,IFERROR((AL$11*(AL110-SUM(AL112:AL115)/AL$11)*AL117*3600)/(AL116),""),"")</f>
        <v/>
      </c>
      <c r="AM118" s="284" t="str">
        <f t="shared" ref="AM118" ca="1" si="637">IF(IFERROR((AM$11*(AM110-SUM(AM112:AM115)/AM$11)*AM117*3600)/(AM116),"")&gt;0,IFERROR((AM$11*(AM110-SUM(AM112:AM115)/AM$11)*AM117*3600)/(AM116),""),"")</f>
        <v/>
      </c>
      <c r="AN118" s="284" t="str">
        <f t="shared" ref="AN118" ca="1" si="638">IF(IFERROR((AN$11*(AN110-SUM(AN112:AN115)/AN$11)*AN117*3600)/(AN116),"")&gt;0,IFERROR((AN$11*(AN110-SUM(AN112:AN115)/AN$11)*AN117*3600)/(AN116),""),"")</f>
        <v/>
      </c>
      <c r="AO118" s="284" t="str">
        <f t="shared" ref="AO118" ca="1" si="639">IF(IFERROR((AO$11*(AO110-SUM(AO112:AO115)/AO$11)*AO117*3600)/(AO116),"")&gt;0,IFERROR((AO$11*(AO110-SUM(AO112:AO115)/AO$11)*AO117*3600)/(AO116),""),"")</f>
        <v/>
      </c>
      <c r="AP118" s="283" t="e">
        <f t="shared" ref="AP118:AP119" ca="1" si="640">IF(SUM(F118:K118)&lt;&gt;0,SUM(F118:K118),#N/A)</f>
        <v>#N/A</v>
      </c>
      <c r="AQ118" s="284" t="e">
        <f t="shared" ref="AQ118:AQ119" ca="1" si="641">IF(SUM(L118:Q118)&lt;&gt;0,SUM(L118:Q118),#N/A)</f>
        <v>#N/A</v>
      </c>
      <c r="AR118" s="283" t="e">
        <f t="shared" ref="AR118:AR119" ca="1" si="642">IF(SUM(R118:W118)&lt;&gt;0,SUM(R118:W118),#N/A)</f>
        <v>#N/A</v>
      </c>
      <c r="AS118" s="284" t="e">
        <f t="shared" ref="AS118:AS119" ca="1" si="643">IF(SUM(X118:AC118)&lt;&gt;0,SUM(X118:AC118),#N/A)</f>
        <v>#N/A</v>
      </c>
      <c r="AT118" s="283" t="e">
        <f t="shared" ref="AT118:AT119" ca="1" si="644">IF(SUM(AD118:AI118)&lt;&gt;0,SUM(AD118:AI118),#N/A)</f>
        <v>#N/A</v>
      </c>
      <c r="AU118" s="284" t="e">
        <f t="shared" ref="AU118:AU119" ca="1" si="645">IF(SUM(AJ118:AO118)&lt;&gt;0,SUM(AJ118:AO118),#N/A)</f>
        <v>#N/A</v>
      </c>
      <c r="AV118" s="283" t="str">
        <f ca="1">IF(IFERROR((AV$11*(AV110-SUM(AV112:AV115)/AV$11)*AV117*3600)/(AV116),"")&lt;&gt;0,IFERROR((AV$11*(AV110-SUM(AV112:AV115)/AV$11)*AV117*3600)/(AV116),""),"")</f>
        <v/>
      </c>
      <c r="AW118" s="284" t="str">
        <f t="shared" ref="AW118" ca="1" si="646">IF(IFERROR((AW$11*(AW110-SUM(AW112:AW115)/AW$11)*AW117*3600)/(AW116),"")&lt;&gt;0,IFERROR((AW$11*(AW110-SUM(AW112:AW115)/AW$11)*AW117*3600)/(AW116),""),"")</f>
        <v/>
      </c>
      <c r="AX118" s="283" t="str">
        <f t="shared" ref="AX118" ca="1" si="647">IF(IFERROR((AX$11*(AX110-SUM(AX112:AX115)/AX$11)*AX117*3600)/(AX116),"")&lt;&gt;0,IFERROR((AX$11*(AX110-SUM(AX112:AX115)/AX$11)*AX117*3600)/(AX116),""),"")</f>
        <v/>
      </c>
      <c r="AY118" s="284" t="str">
        <f t="shared" ref="AY118" ca="1" si="648">IF(IFERROR((AY$11*(AY110-SUM(AY112:AY115)/AY$11)*AY117*3600)/(AY116),"")&lt;&gt;0,IFERROR((AY$11*(AY110-SUM(AY112:AY115)/AY$11)*AY117*3600)/(AY116),""),"")</f>
        <v/>
      </c>
      <c r="AZ118" s="283" t="str">
        <f t="shared" ref="AZ118" ca="1" si="649">IF(IFERROR((AZ$11*(AZ110-SUM(AZ112:AZ115)/AZ$11)*AZ117*3600)/(AZ116),"")&lt;&gt;0,IFERROR((AZ$11*(AZ110-SUM(AZ112:AZ115)/AZ$11)*AZ117*3600)/(AZ116),""),"")</f>
        <v/>
      </c>
      <c r="BA118" s="284" t="str">
        <f t="shared" ref="BA118" ca="1" si="650">IF(IFERROR((BA$11*(BA110-SUM(BA112:BA115)/BA$11)*BA117*3600)/(BA116),"")&lt;&gt;0,IFERROR((BA$11*(BA110-SUM(BA112:BA115)/BA$11)*BA117*3600)/(BA116),""),"")</f>
        <v/>
      </c>
      <c r="BB118" s="283" t="str">
        <f t="shared" ref="BB118" ca="1" si="651">IF(IFERROR((BB$11*(BB110-SUM(BB112:BB115)/BB$11)*BB117*3600)/(BB116),"")&lt;&gt;0,IFERROR((BB$11*(BB110-SUM(BB112:BB115)/BB$11)*BB117*3600)/(BB116),""),"")</f>
        <v/>
      </c>
      <c r="BC118" s="284" t="str">
        <f t="shared" ref="BC118" ca="1" si="652">IF(IFERROR((BC$11*(BC110-SUM(BC112:BC115)/BC$11)*BC117*3600)/(BC116),"")&lt;&gt;0,IFERROR((BC$11*(BC110-SUM(BC112:BC115)/BC$11)*BC117*3600)/(BC116),""),"")</f>
        <v/>
      </c>
      <c r="BD118" s="283" t="str">
        <f t="shared" ref="BD118" ca="1" si="653">IF(IFERROR((BD$11*(BD110-SUM(BD112:BD115)/BD$11)*BD117*3600)/(BD116),"")&lt;&gt;0,IFERROR((BD$11*(BD110-SUM(BD112:BD115)/BD$11)*BD117*3600)/(BD116),""),"")</f>
        <v/>
      </c>
      <c r="BE118" s="285" t="str">
        <f t="shared" ref="BE118" ca="1" si="654">IF(IFERROR((BE$11*(BE110-SUM(BE112:BE115)/BE$11)*BE117*3600)/(BE116),"")&lt;&gt;0,IFERROR((BE$11*(BE110-SUM(BE112:BE115)/BE$11)*BE117*3600)/(BE116),""),"")</f>
        <v/>
      </c>
      <c r="BF118" s="285" t="e">
        <f t="shared" ref="BF118:BF119" ca="1" si="655">IF(SUM(AP118,AQ118)&lt;&gt;0,SUM(AP118,AQ118),#N/A)</f>
        <v>#N/A</v>
      </c>
      <c r="BG118" s="285" t="e">
        <f t="shared" ref="BG118:BG119" ca="1" si="656">IF(SUM(AR118,AS118)&lt;&gt;0,SUM(AR118,AS118),#N/A)</f>
        <v>#N/A</v>
      </c>
      <c r="BH118" s="285" t="e">
        <f t="shared" ref="BH118:BH119" ca="1" si="657">IF(SUM(AT118,AU118)&lt;&gt;0,SUM(AT118,AU118),#N/A)</f>
        <v>#N/A</v>
      </c>
      <c r="BI118" s="285" t="e">
        <f t="shared" ref="BI118:BI119" ca="1" si="658">IF(SUM(AV118,AW118)&lt;&gt;0,SUM(AV118,AW118),#N/A)</f>
        <v>#N/A</v>
      </c>
      <c r="BJ118" s="285" t="e">
        <f t="shared" ref="BJ118:BJ119" ca="1" si="659">IF(SUM(AX118,AY118)&lt;&gt;0,SUM(AX118,AY118),#N/A)</f>
        <v>#N/A</v>
      </c>
      <c r="BK118" s="285" t="e">
        <f t="shared" ref="BK118:BK119" ca="1" si="660">IF(SUM(AZ118,BA118)&lt;&gt;0,SUM(AZ118,BA118),#N/A)</f>
        <v>#N/A</v>
      </c>
      <c r="BL118" s="285" t="e">
        <f t="shared" ref="BL118:BL119" ca="1" si="661">IF(SUM(BB118,BC118)&lt;&gt;0,SUM(BB118,BC118),#N/A)</f>
        <v>#N/A</v>
      </c>
      <c r="BM118" s="285" t="e">
        <f t="shared" ref="BM118:BM119" ca="1" si="662">IF(SUM(BD118,BE118)&lt;&gt;0,SUM(BD118,BE118),#N/A)</f>
        <v>#N/A</v>
      </c>
    </row>
    <row r="119" spans="1:65" s="102" customFormat="1" ht="15" customHeight="1" outlineLevel="1" thickBot="1" x14ac:dyDescent="0.25">
      <c r="A119" s="320" t="s">
        <v>226</v>
      </c>
      <c r="B119" s="348"/>
      <c r="C119" s="351"/>
      <c r="D119" s="345"/>
      <c r="E119" s="104" t="s">
        <v>225</v>
      </c>
      <c r="F119" s="36" t="str">
        <f ca="1">IFERROR(F118+((F109*F111*F117*3600)/(F116)),"")</f>
        <v/>
      </c>
      <c r="G119" s="37" t="str">
        <f t="shared" ref="G119:AO119" ca="1" si="663">IFERROR(G118+((G109*G111*G117*3600)/(G116)),"")</f>
        <v/>
      </c>
      <c r="H119" s="37" t="str">
        <f t="shared" ca="1" si="663"/>
        <v/>
      </c>
      <c r="I119" s="37" t="str">
        <f t="shared" ca="1" si="663"/>
        <v/>
      </c>
      <c r="J119" s="37" t="str">
        <f t="shared" ca="1" si="663"/>
        <v/>
      </c>
      <c r="K119" s="37" t="str">
        <f t="shared" ca="1" si="663"/>
        <v/>
      </c>
      <c r="L119" s="37" t="str">
        <f t="shared" ca="1" si="663"/>
        <v/>
      </c>
      <c r="M119" s="37" t="str">
        <f t="shared" ca="1" si="663"/>
        <v/>
      </c>
      <c r="N119" s="37" t="str">
        <f t="shared" ca="1" si="663"/>
        <v/>
      </c>
      <c r="O119" s="37" t="str">
        <f t="shared" ca="1" si="663"/>
        <v/>
      </c>
      <c r="P119" s="37" t="str">
        <f t="shared" ca="1" si="663"/>
        <v/>
      </c>
      <c r="Q119" s="37" t="str">
        <f t="shared" ca="1" si="663"/>
        <v/>
      </c>
      <c r="R119" s="36" t="str">
        <f t="shared" ca="1" si="663"/>
        <v/>
      </c>
      <c r="S119" s="37" t="str">
        <f t="shared" ca="1" si="663"/>
        <v/>
      </c>
      <c r="T119" s="37" t="str">
        <f t="shared" ca="1" si="663"/>
        <v/>
      </c>
      <c r="U119" s="37" t="str">
        <f t="shared" ca="1" si="663"/>
        <v/>
      </c>
      <c r="V119" s="37" t="str">
        <f t="shared" ca="1" si="663"/>
        <v/>
      </c>
      <c r="W119" s="37" t="str">
        <f t="shared" ca="1" si="663"/>
        <v/>
      </c>
      <c r="X119" s="37" t="str">
        <f t="shared" ca="1" si="663"/>
        <v/>
      </c>
      <c r="Y119" s="37" t="str">
        <f t="shared" ca="1" si="663"/>
        <v/>
      </c>
      <c r="Z119" s="37" t="str">
        <f t="shared" ca="1" si="663"/>
        <v/>
      </c>
      <c r="AA119" s="37" t="str">
        <f t="shared" ca="1" si="663"/>
        <v/>
      </c>
      <c r="AB119" s="37" t="str">
        <f t="shared" ca="1" si="663"/>
        <v/>
      </c>
      <c r="AC119" s="37" t="str">
        <f t="shared" ca="1" si="663"/>
        <v/>
      </c>
      <c r="AD119" s="36" t="str">
        <f t="shared" ca="1" si="663"/>
        <v/>
      </c>
      <c r="AE119" s="37" t="str">
        <f t="shared" ca="1" si="663"/>
        <v/>
      </c>
      <c r="AF119" s="37" t="str">
        <f t="shared" ca="1" si="663"/>
        <v/>
      </c>
      <c r="AG119" s="37" t="str">
        <f t="shared" ca="1" si="663"/>
        <v/>
      </c>
      <c r="AH119" s="37" t="str">
        <f t="shared" ca="1" si="663"/>
        <v/>
      </c>
      <c r="AI119" s="37" t="str">
        <f t="shared" ca="1" si="663"/>
        <v/>
      </c>
      <c r="AJ119" s="37" t="str">
        <f t="shared" ca="1" si="663"/>
        <v/>
      </c>
      <c r="AK119" s="37" t="str">
        <f t="shared" ca="1" si="663"/>
        <v/>
      </c>
      <c r="AL119" s="37" t="str">
        <f t="shared" ca="1" si="663"/>
        <v/>
      </c>
      <c r="AM119" s="37" t="str">
        <f t="shared" ca="1" si="663"/>
        <v/>
      </c>
      <c r="AN119" s="37" t="str">
        <f t="shared" ca="1" si="663"/>
        <v/>
      </c>
      <c r="AO119" s="37" t="str">
        <f t="shared" ca="1" si="663"/>
        <v/>
      </c>
      <c r="AP119" s="36" t="e">
        <f t="shared" ca="1" si="640"/>
        <v>#N/A</v>
      </c>
      <c r="AQ119" s="37" t="e">
        <f t="shared" ca="1" si="641"/>
        <v>#N/A</v>
      </c>
      <c r="AR119" s="36" t="e">
        <f t="shared" ca="1" si="642"/>
        <v>#N/A</v>
      </c>
      <c r="AS119" s="37" t="e">
        <f t="shared" ca="1" si="643"/>
        <v>#N/A</v>
      </c>
      <c r="AT119" s="36" t="e">
        <f t="shared" ca="1" si="644"/>
        <v>#N/A</v>
      </c>
      <c r="AU119" s="37" t="e">
        <f t="shared" ca="1" si="645"/>
        <v>#N/A</v>
      </c>
      <c r="AV119" s="36" t="str">
        <f t="shared" ref="AV119:BE119" ca="1" si="664">IFERROR(AV118+((AV109*AV111*AV117*3600)/(AV116)),"")</f>
        <v/>
      </c>
      <c r="AW119" s="37" t="str">
        <f t="shared" ca="1" si="664"/>
        <v/>
      </c>
      <c r="AX119" s="36" t="str">
        <f t="shared" ca="1" si="664"/>
        <v/>
      </c>
      <c r="AY119" s="37" t="str">
        <f t="shared" ca="1" si="664"/>
        <v/>
      </c>
      <c r="AZ119" s="36" t="str">
        <f t="shared" ca="1" si="664"/>
        <v/>
      </c>
      <c r="BA119" s="37" t="str">
        <f t="shared" ca="1" si="664"/>
        <v/>
      </c>
      <c r="BB119" s="36" t="str">
        <f t="shared" ca="1" si="664"/>
        <v/>
      </c>
      <c r="BC119" s="37" t="str">
        <f t="shared" ca="1" si="664"/>
        <v/>
      </c>
      <c r="BD119" s="36" t="str">
        <f t="shared" ca="1" si="664"/>
        <v/>
      </c>
      <c r="BE119" s="43" t="str">
        <f t="shared" ca="1" si="664"/>
        <v/>
      </c>
      <c r="BF119" s="43" t="e">
        <f t="shared" ca="1" si="655"/>
        <v>#N/A</v>
      </c>
      <c r="BG119" s="43" t="e">
        <f t="shared" ca="1" si="656"/>
        <v>#N/A</v>
      </c>
      <c r="BH119" s="43" t="e">
        <f t="shared" ca="1" si="657"/>
        <v>#N/A</v>
      </c>
      <c r="BI119" s="43" t="e">
        <f t="shared" ca="1" si="658"/>
        <v>#N/A</v>
      </c>
      <c r="BJ119" s="43" t="e">
        <f t="shared" ca="1" si="659"/>
        <v>#N/A</v>
      </c>
      <c r="BK119" s="43" t="e">
        <f t="shared" ca="1" si="660"/>
        <v>#N/A</v>
      </c>
      <c r="BL119" s="43" t="e">
        <f t="shared" ca="1" si="661"/>
        <v>#N/A</v>
      </c>
      <c r="BM119" s="43" t="e">
        <f t="shared" ca="1" si="662"/>
        <v>#N/A</v>
      </c>
    </row>
    <row r="120" spans="1:65" s="102" customFormat="1" ht="22.5" outlineLevel="2" x14ac:dyDescent="0.2">
      <c r="A120" s="320" t="s">
        <v>226</v>
      </c>
      <c r="B120" s="346"/>
      <c r="C120" s="349" t="str">
        <f t="shared" ref="C120" si="665">IF(AND($B120&lt;&gt;0,$C$9&lt;&gt;0),$C$9,"")</f>
        <v/>
      </c>
      <c r="D120" s="343"/>
      <c r="E120" s="277" t="s">
        <v>40</v>
      </c>
      <c r="F120" s="33">
        <f ca="1">IF(F$11-(SUM(F124:F127)/24)=0,"",F$11-(SUM(F124:F127)/24))</f>
        <v>27</v>
      </c>
      <c r="G120" s="34">
        <f t="shared" ref="G120:AO120" ca="1" si="666">IF(G$11-(SUM(G124:G127)/24)=0,"",G$11-(SUM(G124:G127)/24))</f>
        <v>24</v>
      </c>
      <c r="H120" s="34">
        <f t="shared" ca="1" si="666"/>
        <v>26</v>
      </c>
      <c r="I120" s="34">
        <f t="shared" ca="1" si="666"/>
        <v>26</v>
      </c>
      <c r="J120" s="34">
        <f t="shared" ca="1" si="666"/>
        <v>27</v>
      </c>
      <c r="K120" s="34">
        <f t="shared" ca="1" si="666"/>
        <v>25</v>
      </c>
      <c r="L120" s="34">
        <f t="shared" ca="1" si="666"/>
        <v>27</v>
      </c>
      <c r="M120" s="34">
        <f t="shared" ca="1" si="666"/>
        <v>26</v>
      </c>
      <c r="N120" s="34">
        <f t="shared" ca="1" si="666"/>
        <v>26</v>
      </c>
      <c r="O120" s="34">
        <f t="shared" ca="1" si="666"/>
        <v>27</v>
      </c>
      <c r="P120" s="34">
        <f t="shared" ca="1" si="666"/>
        <v>25</v>
      </c>
      <c r="Q120" s="34">
        <f t="shared" ca="1" si="666"/>
        <v>27</v>
      </c>
      <c r="R120" s="32">
        <f t="shared" ca="1" si="666"/>
        <v>27</v>
      </c>
      <c r="S120" s="29">
        <f t="shared" ca="1" si="666"/>
        <v>24</v>
      </c>
      <c r="T120" s="29">
        <f t="shared" ca="1" si="666"/>
        <v>26</v>
      </c>
      <c r="U120" s="29">
        <f t="shared" ca="1" si="666"/>
        <v>26</v>
      </c>
      <c r="V120" s="29">
        <f t="shared" ca="1" si="666"/>
        <v>26</v>
      </c>
      <c r="W120" s="29">
        <f t="shared" ca="1" si="666"/>
        <v>26</v>
      </c>
      <c r="X120" s="29">
        <f t="shared" ca="1" si="666"/>
        <v>27</v>
      </c>
      <c r="Y120" s="29">
        <f t="shared" ca="1" si="666"/>
        <v>26</v>
      </c>
      <c r="Z120" s="29">
        <f t="shared" ca="1" si="666"/>
        <v>26</v>
      </c>
      <c r="AA120" s="29">
        <f t="shared" ca="1" si="666"/>
        <v>27</v>
      </c>
      <c r="AB120" s="29">
        <f t="shared" ca="1" si="666"/>
        <v>25</v>
      </c>
      <c r="AC120" s="29">
        <f t="shared" ca="1" si="666"/>
        <v>27</v>
      </c>
      <c r="AD120" s="32">
        <f t="shared" ca="1" si="666"/>
        <v>26</v>
      </c>
      <c r="AE120" s="29">
        <f t="shared" ca="1" si="666"/>
        <v>24</v>
      </c>
      <c r="AF120" s="29">
        <f t="shared" ca="1" si="666"/>
        <v>27</v>
      </c>
      <c r="AG120" s="29">
        <f t="shared" ca="1" si="666"/>
        <v>26</v>
      </c>
      <c r="AH120" s="29">
        <f t="shared" ca="1" si="666"/>
        <v>26</v>
      </c>
      <c r="AI120" s="29">
        <f t="shared" ca="1" si="666"/>
        <v>26</v>
      </c>
      <c r="AJ120" s="29">
        <f t="shared" ca="1" si="666"/>
        <v>27</v>
      </c>
      <c r="AK120" s="29">
        <f t="shared" ca="1" si="666"/>
        <v>26</v>
      </c>
      <c r="AL120" s="29">
        <f t="shared" ca="1" si="666"/>
        <v>26</v>
      </c>
      <c r="AM120" s="29">
        <f t="shared" ca="1" si="666"/>
        <v>26</v>
      </c>
      <c r="AN120" s="29">
        <f t="shared" ca="1" si="666"/>
        <v>26</v>
      </c>
      <c r="AO120" s="29">
        <f t="shared" ca="1" si="666"/>
        <v>27</v>
      </c>
      <c r="AP120" s="32">
        <f ca="1">IF(SUM(F120:K120)&lt;&gt;0,SUM(F120:K120),"")</f>
        <v>155</v>
      </c>
      <c r="AQ120" s="29">
        <f ca="1">IF(SUM(L120:Q120)&lt;&gt;0,SUM(L120:Q120),"")</f>
        <v>158</v>
      </c>
      <c r="AR120" s="32">
        <f ca="1">IF(SUM(R120:W120)&lt;&gt;0,SUM(R120:W120),"")</f>
        <v>155</v>
      </c>
      <c r="AS120" s="29">
        <f ca="1">IF(SUM(X120:AC120)&lt;&gt;0,SUM(X120:AC120),"")</f>
        <v>158</v>
      </c>
      <c r="AT120" s="32">
        <f ca="1">IF(SUM(AD120:AI120)&lt;&gt;0,SUM(AD120:AI120),"")</f>
        <v>155</v>
      </c>
      <c r="AU120" s="296">
        <f ca="1">SUM(AJ120:AO120)</f>
        <v>158</v>
      </c>
      <c r="AV120" s="32">
        <f t="shared" ref="AV120:BE120" ca="1" si="667">IF(AV$11-(SUM(AV124:AV127)/24)=0,"",AV$11-(SUM(AV124:AV127)/24))</f>
        <v>156</v>
      </c>
      <c r="AW120" s="29">
        <f t="shared" ca="1" si="667"/>
        <v>157</v>
      </c>
      <c r="AX120" s="32">
        <f t="shared" ca="1" si="667"/>
        <v>156</v>
      </c>
      <c r="AY120" s="29">
        <f t="shared" ca="1" si="667"/>
        <v>158</v>
      </c>
      <c r="AZ120" s="32">
        <f t="shared" ca="1" si="667"/>
        <v>155</v>
      </c>
      <c r="BA120" s="29">
        <f t="shared" ca="1" si="667"/>
        <v>158</v>
      </c>
      <c r="BB120" s="32">
        <f t="shared" ca="1" si="667"/>
        <v>155</v>
      </c>
      <c r="BC120" s="29">
        <f t="shared" ca="1" si="667"/>
        <v>158</v>
      </c>
      <c r="BD120" s="32">
        <f t="shared" ca="1" si="667"/>
        <v>156</v>
      </c>
      <c r="BE120" s="262">
        <f t="shared" ca="1" si="667"/>
        <v>158</v>
      </c>
      <c r="BF120" s="286">
        <f t="shared" ref="BF120" ca="1" si="668">IF(SUM(AP120,AQ120)&lt;&gt;0,SUM(AP120,AQ120),#N/A)</f>
        <v>313</v>
      </c>
      <c r="BG120" s="286">
        <f t="shared" ref="BG120" ca="1" si="669">IF(SUM(AR120,AS120)&lt;&gt;0,SUM(AR120,AS120),#N/A)</f>
        <v>313</v>
      </c>
      <c r="BH120" s="286">
        <f t="shared" ref="BH120" ca="1" si="670">IF(SUM(AT120,AU120)&lt;&gt;0,SUM(AT120,AU120),#N/A)</f>
        <v>313</v>
      </c>
      <c r="BI120" s="286">
        <f t="shared" ref="BI120" ca="1" si="671">IF(SUM(AV120,AW120)&lt;&gt;0,SUM(AV120,AW120),#N/A)</f>
        <v>313</v>
      </c>
      <c r="BJ120" s="286">
        <f t="shared" ref="BJ120" ca="1" si="672">IF(SUM(AX120,AY120)&lt;&gt;0,SUM(AX120,AY120),#N/A)</f>
        <v>314</v>
      </c>
      <c r="BK120" s="286">
        <f t="shared" ref="BK120" ca="1" si="673">IF(SUM(AZ120,BA120)&lt;&gt;0,SUM(AZ120,BA120),#N/A)</f>
        <v>313</v>
      </c>
      <c r="BL120" s="286">
        <f t="shared" ref="BL120" ca="1" si="674">IF(SUM(BB120,BC120)&lt;&gt;0,SUM(BB120,BC120),#N/A)</f>
        <v>313</v>
      </c>
      <c r="BM120" s="286">
        <f t="shared" ref="BM120" ca="1" si="675">IF(SUM(BD120,BE120)&lt;&gt;0,SUM(BD120,BE120),#N/A)</f>
        <v>314</v>
      </c>
    </row>
    <row r="121" spans="1:65" s="102" customFormat="1" ht="15" customHeight="1" outlineLevel="2" thickBot="1" x14ac:dyDescent="0.25">
      <c r="A121" s="320" t="s">
        <v>226</v>
      </c>
      <c r="B121" s="347"/>
      <c r="C121" s="350"/>
      <c r="D121" s="344"/>
      <c r="E121" s="278" t="s">
        <v>29</v>
      </c>
      <c r="F121" s="47"/>
      <c r="G121" s="48"/>
      <c r="H121" s="48"/>
      <c r="I121" s="48"/>
      <c r="J121" s="48"/>
      <c r="K121" s="48"/>
      <c r="L121" s="48"/>
      <c r="M121" s="48"/>
      <c r="N121" s="48"/>
      <c r="O121" s="48"/>
      <c r="P121" s="48"/>
      <c r="Q121" s="51"/>
      <c r="R121" s="47"/>
      <c r="S121" s="48"/>
      <c r="T121" s="48"/>
      <c r="U121" s="48"/>
      <c r="V121" s="48"/>
      <c r="W121" s="48"/>
      <c r="X121" s="48"/>
      <c r="Y121" s="48"/>
      <c r="Z121" s="48"/>
      <c r="AA121" s="48"/>
      <c r="AB121" s="48"/>
      <c r="AC121" s="51"/>
      <c r="AD121" s="47"/>
      <c r="AE121" s="48"/>
      <c r="AF121" s="48"/>
      <c r="AG121" s="48"/>
      <c r="AH121" s="48"/>
      <c r="AI121" s="48"/>
      <c r="AJ121" s="48"/>
      <c r="AK121" s="48"/>
      <c r="AL121" s="48"/>
      <c r="AM121" s="48"/>
      <c r="AN121" s="48"/>
      <c r="AO121" s="51"/>
      <c r="AP121" s="294" t="str">
        <f>IFERROR(IF(SUM(F121:K121)&lt;&gt;0,SUM(F121:K121),""),"")</f>
        <v/>
      </c>
      <c r="AQ121" s="295" t="str">
        <f>IFERROR(IF(SUM(L121:Q121)&lt;&gt;0,SUM(L121:Q121),""),"")</f>
        <v/>
      </c>
      <c r="AR121" s="294" t="str">
        <f>IFERROR(IF(SUM(R121:W121)&lt;&gt;0,SUM(R121:W121),""),"")</f>
        <v/>
      </c>
      <c r="AS121" s="295" t="str">
        <f>IFERROR(IF(SUM(X121:AC121)&lt;&gt;0,SUM(X121:AC121),""),"")</f>
        <v/>
      </c>
      <c r="AT121" s="294" t="str">
        <f>IFERROR(IF(SUM(AD121:AI121)&lt;&gt;0,SUM(AD121:AI121),""),"")</f>
        <v/>
      </c>
      <c r="AU121" s="295" t="str">
        <f>IFERROR(IF(SUM(AJ121:AO121)&lt;&gt;0,SUM(AJ121:AO121),""),"")</f>
        <v/>
      </c>
      <c r="AV121" s="47"/>
      <c r="AW121" s="51"/>
      <c r="AX121" s="47"/>
      <c r="AY121" s="51"/>
      <c r="AZ121" s="47"/>
      <c r="BA121" s="51"/>
      <c r="BB121" s="47"/>
      <c r="BC121" s="51"/>
      <c r="BD121" s="47"/>
      <c r="BE121" s="263"/>
      <c r="BF121" s="271" t="str">
        <f>IFERROR(IF(AVERAGE(AP121:AQ121)&lt;&gt;0,AVERAGE(AP121:AQ121),""),"")</f>
        <v/>
      </c>
      <c r="BG121" s="271" t="str">
        <f>IFERROR(IF(AVERAGE(AR121:AS121)&lt;&gt;0,AVERAGE(AR121:AS121),""),"")</f>
        <v/>
      </c>
      <c r="BH121" s="271" t="str">
        <f>IFERROR(IF(AVERAGE(AT121:AU121)&lt;&gt;0,AVERAGE(AT121:AU121),""),"")</f>
        <v/>
      </c>
      <c r="BI121" s="271" t="str">
        <f>IFERROR(IF(AVERAGE(AV121:AW121)&lt;&gt;0,AVERAGE(AV121:AW121),""),"")</f>
        <v/>
      </c>
      <c r="BJ121" s="271" t="str">
        <f>IFERROR(IF(AVERAGE(AX121:AY121)&lt;&gt;0,AVERAGE(AX121:AY121),""),"")</f>
        <v/>
      </c>
      <c r="BK121" s="271" t="str">
        <f>IFERROR(IF(AVERAGE(AZ121:BA121)&lt;&gt;0,AVERAGE(AZ121:BA121),""),"")</f>
        <v/>
      </c>
      <c r="BL121" s="271" t="str">
        <f>IFERROR(IF(AVERAGE(BB121:BC121)&lt;&gt;0,AVERAGE(BB121:BC121),""),"")</f>
        <v/>
      </c>
      <c r="BM121" s="271" t="str">
        <f>IFERROR(IF(AVERAGE(BD121:BE121)&lt;&gt;0,AVERAGE(BD121:BE121),""),"")</f>
        <v/>
      </c>
    </row>
    <row r="122" spans="1:65" s="102" customFormat="1" ht="14.25" customHeight="1" outlineLevel="2" x14ac:dyDescent="0.2">
      <c r="A122" s="320" t="s">
        <v>226</v>
      </c>
      <c r="B122" s="347"/>
      <c r="C122" s="350"/>
      <c r="D122" s="344"/>
      <c r="E122" s="279" t="s">
        <v>28</v>
      </c>
      <c r="F122" s="52"/>
      <c r="G122" s="53"/>
      <c r="H122" s="53"/>
      <c r="I122" s="53"/>
      <c r="J122" s="53"/>
      <c r="K122" s="53"/>
      <c r="L122" s="53"/>
      <c r="M122" s="53"/>
      <c r="N122" s="53"/>
      <c r="O122" s="53"/>
      <c r="P122" s="53"/>
      <c r="Q122" s="54"/>
      <c r="R122" s="52"/>
      <c r="S122" s="53"/>
      <c r="T122" s="53"/>
      <c r="U122" s="53"/>
      <c r="V122" s="53"/>
      <c r="W122" s="53"/>
      <c r="X122" s="53"/>
      <c r="Y122" s="53"/>
      <c r="Z122" s="53"/>
      <c r="AA122" s="53"/>
      <c r="AB122" s="53"/>
      <c r="AC122" s="54"/>
      <c r="AD122" s="52"/>
      <c r="AE122" s="53"/>
      <c r="AF122" s="53"/>
      <c r="AG122" s="53"/>
      <c r="AH122" s="53"/>
      <c r="AI122" s="53"/>
      <c r="AJ122" s="53"/>
      <c r="AK122" s="53"/>
      <c r="AL122" s="53"/>
      <c r="AM122" s="53"/>
      <c r="AN122" s="53"/>
      <c r="AO122" s="54"/>
      <c r="AP122" s="225" t="str">
        <f>IFERROR(IF(AVERAGE(F122:K122)&lt;&gt;0,AVERAGE(F122:K122),""),"")</f>
        <v/>
      </c>
      <c r="AQ122" s="226" t="str">
        <f>IFERROR(IF(AVERAGE(L122:Q122)&lt;&gt;0,AVERAGE(L122:Q122),""),"")</f>
        <v/>
      </c>
      <c r="AR122" s="225" t="str">
        <f>IFERROR(IF(AVERAGE(R122:W122)&lt;&gt;0,AVERAGE(R122:W122),""),"")</f>
        <v/>
      </c>
      <c r="AS122" s="226" t="str">
        <f>IFERROR(IF(AVERAGE(X122:AC122)&lt;&gt;0,AVERAGE(X122:AC122),""),"")</f>
        <v/>
      </c>
      <c r="AT122" s="225" t="str">
        <f>IFERROR(IF(AVERAGE(AD122:AI122)&lt;&gt;0,AVERAGE(AD122:AI122),""),"")</f>
        <v/>
      </c>
      <c r="AU122" s="226" t="str">
        <f>IFERROR(IF(AVERAGE(AJ122:AO122)&lt;&gt;0,AVERAGE(AJ122:AO122),""),"")</f>
        <v/>
      </c>
      <c r="AV122" s="70"/>
      <c r="AW122" s="53"/>
      <c r="AX122" s="70"/>
      <c r="AY122" s="53"/>
      <c r="AZ122" s="70"/>
      <c r="BA122" s="53"/>
      <c r="BB122" s="70"/>
      <c r="BC122" s="53"/>
      <c r="BD122" s="70"/>
      <c r="BE122" s="264"/>
      <c r="BF122" s="272" t="str">
        <f>IFERROR(IF(AVERAGE(AP122:AQ122)&lt;&gt;0,AVERAGE(AP122:AQ122),""),"")</f>
        <v/>
      </c>
      <c r="BG122" s="272" t="str">
        <f>IFERROR(IF(AVERAGE(AR122:AS122)&lt;&gt;0,AVERAGE(AR122:AS122),""),"")</f>
        <v/>
      </c>
      <c r="BH122" s="272" t="str">
        <f>IFERROR(IF(AVERAGE(AT122:AU122)&lt;&gt;0,AVERAGE(AT122:AU122),""),"")</f>
        <v/>
      </c>
      <c r="BI122" s="272" t="str">
        <f>IFERROR(IF(AVERAGE(AV122:AW122)&lt;&gt;0,AVERAGE(AV122:AW122),""),"")</f>
        <v/>
      </c>
      <c r="BJ122" s="272" t="str">
        <f>IFERROR(IF(AVERAGE(AX122:AY122)&lt;&gt;0,AVERAGE(AX122:AY122),""),"")</f>
        <v/>
      </c>
      <c r="BK122" s="272" t="str">
        <f>IFERROR(IF(AVERAGE(AZ122:BA122)&lt;&gt;0,AVERAGE(AZ122:BA122),""),"")</f>
        <v/>
      </c>
      <c r="BL122" s="272" t="str">
        <f>IFERROR(IF(AVERAGE(BB122:BC122)&lt;&gt;0,AVERAGE(BB122:BC122),""),"")</f>
        <v/>
      </c>
      <c r="BM122" s="272" t="str">
        <f>IFERROR(IF(AVERAGE(BD122:BE122)&lt;&gt;0,AVERAGE(BD122:BE122),""),"")</f>
        <v/>
      </c>
    </row>
    <row r="123" spans="1:65" s="102" customFormat="1" ht="15" customHeight="1" outlineLevel="2" thickBot="1" x14ac:dyDescent="0.25">
      <c r="A123" s="320" t="s">
        <v>226</v>
      </c>
      <c r="B123" s="347"/>
      <c r="C123" s="350"/>
      <c r="D123" s="344"/>
      <c r="E123" s="278" t="s">
        <v>30</v>
      </c>
      <c r="F123" s="55"/>
      <c r="G123" s="56"/>
      <c r="H123" s="56"/>
      <c r="I123" s="56"/>
      <c r="J123" s="56"/>
      <c r="K123" s="56"/>
      <c r="L123" s="56"/>
      <c r="M123" s="56"/>
      <c r="N123" s="56"/>
      <c r="O123" s="56"/>
      <c r="P123" s="56"/>
      <c r="Q123" s="57"/>
      <c r="R123" s="55"/>
      <c r="S123" s="56"/>
      <c r="T123" s="56"/>
      <c r="U123" s="56"/>
      <c r="V123" s="56"/>
      <c r="W123" s="56"/>
      <c r="X123" s="56"/>
      <c r="Y123" s="56"/>
      <c r="Z123" s="56"/>
      <c r="AA123" s="56"/>
      <c r="AB123" s="56"/>
      <c r="AC123" s="57"/>
      <c r="AD123" s="55"/>
      <c r="AE123" s="56"/>
      <c r="AF123" s="56"/>
      <c r="AG123" s="56"/>
      <c r="AH123" s="56"/>
      <c r="AI123" s="56"/>
      <c r="AJ123" s="56"/>
      <c r="AK123" s="56"/>
      <c r="AL123" s="56"/>
      <c r="AM123" s="56"/>
      <c r="AN123" s="56"/>
      <c r="AO123" s="57"/>
      <c r="AP123" s="227" t="str">
        <f>IFERROR(IF(AVERAGE(F123:K123)&lt;&gt;0,AVERAGE(F123:K123),""),"")</f>
        <v/>
      </c>
      <c r="AQ123" s="228" t="str">
        <f>IFERROR(IF(AVERAGE(L123:Q123)&lt;&gt;0,AVERAGE(L123:Q123),""),"")</f>
        <v/>
      </c>
      <c r="AR123" s="227" t="str">
        <f>IFERROR(IF(AVERAGE(R123:W123)&lt;&gt;0,AVERAGE(R123:W123),""),"")</f>
        <v/>
      </c>
      <c r="AS123" s="228" t="str">
        <f>IFERROR(IF(AVERAGE(X123:AC123)&lt;&gt;0,AVERAGE(X123:AC123),""),"")</f>
        <v/>
      </c>
      <c r="AT123" s="227" t="str">
        <f>IFERROR(IF(AVERAGE(AD123:AI123)&lt;&gt;0,AVERAGE(AD123:AI123),""),"")</f>
        <v/>
      </c>
      <c r="AU123" s="228" t="str">
        <f>IFERROR(IF(AVERAGE(AJ123:AO123)&lt;&gt;0,AVERAGE(AJ123:AO123),""),"")</f>
        <v/>
      </c>
      <c r="AV123" s="71"/>
      <c r="AW123" s="56"/>
      <c r="AX123" s="71"/>
      <c r="AY123" s="56"/>
      <c r="AZ123" s="71"/>
      <c r="BA123" s="56"/>
      <c r="BB123" s="71"/>
      <c r="BC123" s="56"/>
      <c r="BD123" s="71"/>
      <c r="BE123" s="265"/>
      <c r="BF123" s="273" t="str">
        <f>IFERROR(IF(AVERAGE(AP123:AQ123)&lt;&gt;0,AVERAGE(AP123:AQ123),""),"")</f>
        <v/>
      </c>
      <c r="BG123" s="273" t="str">
        <f>IFERROR(IF(AVERAGE(AR123:AS123)&lt;&gt;0,AVERAGE(AR123:AS123),""),"")</f>
        <v/>
      </c>
      <c r="BH123" s="273" t="str">
        <f>IFERROR(IF(AVERAGE(AT123:AU123)&lt;&gt;0,AVERAGE(AT123:AU123),""),"")</f>
        <v/>
      </c>
      <c r="BI123" s="273" t="str">
        <f>IFERROR(IF(AVERAGE(AV123:AW123)&lt;&gt;0,AVERAGE(AV123:AW123),""),"")</f>
        <v/>
      </c>
      <c r="BJ123" s="273" t="str">
        <f>IFERROR(IF(AVERAGE(AX123:AY123)&lt;&gt;0,AVERAGE(AX123:AY123),""),"")</f>
        <v/>
      </c>
      <c r="BK123" s="273" t="str">
        <f>IFERROR(IF(AVERAGE(AZ123:BA123)&lt;&gt;0,AVERAGE(AZ123:BA123),""),"")</f>
        <v/>
      </c>
      <c r="BL123" s="273" t="str">
        <f>IFERROR(IF(AVERAGE(BB123:BC123)&lt;&gt;0,AVERAGE(BB123:BC123),""),"")</f>
        <v/>
      </c>
      <c r="BM123" s="273" t="str">
        <f>IFERROR(IF(AVERAGE(BD123:BE123)&lt;&gt;0,AVERAGE(BD123:BE123),""),"")</f>
        <v/>
      </c>
    </row>
    <row r="124" spans="1:65" s="102" customFormat="1" ht="14.25" customHeight="1" outlineLevel="2" x14ac:dyDescent="0.2">
      <c r="A124" s="320" t="s">
        <v>226</v>
      </c>
      <c r="B124" s="347"/>
      <c r="C124" s="350"/>
      <c r="D124" s="344"/>
      <c r="E124" s="279" t="s">
        <v>25</v>
      </c>
      <c r="F124" s="58"/>
      <c r="G124" s="50"/>
      <c r="H124" s="50"/>
      <c r="I124" s="50"/>
      <c r="J124" s="50"/>
      <c r="K124" s="50"/>
      <c r="L124" s="50"/>
      <c r="M124" s="50"/>
      <c r="N124" s="50"/>
      <c r="O124" s="50"/>
      <c r="P124" s="50"/>
      <c r="Q124" s="59"/>
      <c r="R124" s="58"/>
      <c r="S124" s="50"/>
      <c r="T124" s="50"/>
      <c r="U124" s="50"/>
      <c r="V124" s="50"/>
      <c r="W124" s="50"/>
      <c r="X124" s="50"/>
      <c r="Y124" s="50"/>
      <c r="Z124" s="50"/>
      <c r="AA124" s="50"/>
      <c r="AB124" s="50"/>
      <c r="AC124" s="59"/>
      <c r="AD124" s="58"/>
      <c r="AE124" s="50"/>
      <c r="AF124" s="50"/>
      <c r="AG124" s="50"/>
      <c r="AH124" s="50"/>
      <c r="AI124" s="50"/>
      <c r="AJ124" s="50"/>
      <c r="AK124" s="50"/>
      <c r="AL124" s="50"/>
      <c r="AM124" s="50"/>
      <c r="AN124" s="50"/>
      <c r="AO124" s="59"/>
      <c r="AP124" s="229" t="str">
        <f>IFERROR(IF(SUM(F124:K124)&lt;&gt;0,SUM(F124:K124),""),"")</f>
        <v/>
      </c>
      <c r="AQ124" s="230" t="str">
        <f>IFERROR(IF(SUM(L124:Q124)&lt;&gt;0,SUM(L124:Q124),""),"")</f>
        <v/>
      </c>
      <c r="AR124" s="229" t="str">
        <f>IFERROR(IF(SUM(R124:W124)&lt;&gt;0,SUM(R124:W124),""),"")</f>
        <v/>
      </c>
      <c r="AS124" s="230" t="str">
        <f>IFERROR(IF(SUM(X124:AC124)&lt;&gt;0,SUM(X124:AC124),""),"")</f>
        <v/>
      </c>
      <c r="AT124" s="229" t="str">
        <f>IFERROR(IF(SUM(AD124:AI124)&lt;&gt;0,SUM(AD124:AI124),""),"")</f>
        <v/>
      </c>
      <c r="AU124" s="230" t="str">
        <f>IFERROR(IF(SUM(AJ124:AO124)&lt;&gt;0,SUM(AJ124:AO124),""),"")</f>
        <v/>
      </c>
      <c r="AV124" s="72"/>
      <c r="AW124" s="73"/>
      <c r="AX124" s="72"/>
      <c r="AY124" s="73"/>
      <c r="AZ124" s="72"/>
      <c r="BA124" s="73"/>
      <c r="BB124" s="72"/>
      <c r="BC124" s="73"/>
      <c r="BD124" s="72"/>
      <c r="BE124" s="266"/>
      <c r="BF124" s="286" t="e">
        <f t="shared" ref="BF124:BF127" si="676">IF(SUM(AP124,AQ124)&lt;&gt;0,SUM(AP124,AQ124),#N/A)</f>
        <v>#N/A</v>
      </c>
      <c r="BG124" s="286" t="e">
        <f t="shared" ref="BG124:BG127" si="677">IF(SUM(AR124,AS124)&lt;&gt;0,SUM(AR124,AS124),#N/A)</f>
        <v>#N/A</v>
      </c>
      <c r="BH124" s="286" t="e">
        <f t="shared" ref="BH124:BH127" si="678">IF(SUM(AT124,AU124)&lt;&gt;0,SUM(AT124,AU124),#N/A)</f>
        <v>#N/A</v>
      </c>
      <c r="BI124" s="286" t="e">
        <f t="shared" ref="BI124:BI127" si="679">IF(SUM(AV124,AW124)&lt;&gt;0,SUM(AV124,AW124),#N/A)</f>
        <v>#N/A</v>
      </c>
      <c r="BJ124" s="286" t="e">
        <f t="shared" ref="BJ124:BJ127" si="680">IF(SUM(AX124,AY124)&lt;&gt;0,SUM(AX124,AY124),#N/A)</f>
        <v>#N/A</v>
      </c>
      <c r="BK124" s="286" t="e">
        <f t="shared" ref="BK124:BK127" si="681">IF(SUM(AZ124,BA124)&lt;&gt;0,SUM(AZ124,BA124),#N/A)</f>
        <v>#N/A</v>
      </c>
      <c r="BL124" s="286" t="e">
        <f t="shared" ref="BL124:BL127" si="682">IF(SUM(BB124,BC124)&lt;&gt;0,SUM(BB124,BC124),#N/A)</f>
        <v>#N/A</v>
      </c>
      <c r="BM124" s="286" t="e">
        <f t="shared" ref="BM124:BM127" si="683">IF(SUM(BD124,BE124)&lt;&gt;0,SUM(BD124,BE124),#N/A)</f>
        <v>#N/A</v>
      </c>
    </row>
    <row r="125" spans="1:65" s="102" customFormat="1" ht="14.25" customHeight="1" outlineLevel="2" x14ac:dyDescent="0.2">
      <c r="A125" s="320" t="s">
        <v>226</v>
      </c>
      <c r="B125" s="347"/>
      <c r="C125" s="350"/>
      <c r="D125" s="344"/>
      <c r="E125" s="280" t="s">
        <v>26</v>
      </c>
      <c r="F125" s="60"/>
      <c r="G125" s="61"/>
      <c r="H125" s="61"/>
      <c r="I125" s="61"/>
      <c r="J125" s="61"/>
      <c r="K125" s="61"/>
      <c r="L125" s="61"/>
      <c r="M125" s="61"/>
      <c r="N125" s="61"/>
      <c r="O125" s="61"/>
      <c r="P125" s="61"/>
      <c r="Q125" s="62"/>
      <c r="R125" s="60"/>
      <c r="S125" s="61"/>
      <c r="T125" s="61"/>
      <c r="U125" s="61"/>
      <c r="V125" s="61"/>
      <c r="W125" s="61"/>
      <c r="X125" s="61"/>
      <c r="Y125" s="61"/>
      <c r="Z125" s="61"/>
      <c r="AA125" s="61"/>
      <c r="AB125" s="61"/>
      <c r="AC125" s="62"/>
      <c r="AD125" s="60"/>
      <c r="AE125" s="61"/>
      <c r="AF125" s="61"/>
      <c r="AG125" s="61"/>
      <c r="AH125" s="61"/>
      <c r="AI125" s="61"/>
      <c r="AJ125" s="61"/>
      <c r="AK125" s="61"/>
      <c r="AL125" s="61"/>
      <c r="AM125" s="61"/>
      <c r="AN125" s="61"/>
      <c r="AO125" s="62"/>
      <c r="AP125" s="231" t="str">
        <f>IFERROR(IF(SUM(F125:K125)&lt;&gt;0,SUM(F125:K125),""),"")</f>
        <v/>
      </c>
      <c r="AQ125" s="232" t="str">
        <f>IFERROR(IF(SUM(L125:Q125)&lt;&gt;0,SUM(L125:Q125),""),"")</f>
        <v/>
      </c>
      <c r="AR125" s="231" t="str">
        <f>IFERROR(IF(SUM(R125:W125)&lt;&gt;0,SUM(R125:W125),""),"")</f>
        <v/>
      </c>
      <c r="AS125" s="232" t="str">
        <f>IFERROR(IF(SUM(X125:AC125)&lt;&gt;0,SUM(X125:AC125),""),"")</f>
        <v/>
      </c>
      <c r="AT125" s="231" t="str">
        <f>IFERROR(IF(SUM(AD125:AI125)&lt;&gt;0,SUM(AD125:AI125),""),"")</f>
        <v/>
      </c>
      <c r="AU125" s="232" t="str">
        <f>IFERROR(IF(SUM(AJ125:AO125)&lt;&gt;0,SUM(AJ125:AO125),""),"")</f>
        <v/>
      </c>
      <c r="AV125" s="74"/>
      <c r="AW125" s="61"/>
      <c r="AX125" s="74"/>
      <c r="AY125" s="61"/>
      <c r="AZ125" s="74"/>
      <c r="BA125" s="61"/>
      <c r="BB125" s="74"/>
      <c r="BC125" s="61"/>
      <c r="BD125" s="74"/>
      <c r="BE125" s="267"/>
      <c r="BF125" s="287" t="e">
        <f t="shared" si="676"/>
        <v>#N/A</v>
      </c>
      <c r="BG125" s="287" t="e">
        <f t="shared" si="677"/>
        <v>#N/A</v>
      </c>
      <c r="BH125" s="287" t="e">
        <f t="shared" si="678"/>
        <v>#N/A</v>
      </c>
      <c r="BI125" s="287" t="e">
        <f t="shared" si="679"/>
        <v>#N/A</v>
      </c>
      <c r="BJ125" s="287" t="e">
        <f t="shared" si="680"/>
        <v>#N/A</v>
      </c>
      <c r="BK125" s="287" t="e">
        <f t="shared" si="681"/>
        <v>#N/A</v>
      </c>
      <c r="BL125" s="287" t="e">
        <f t="shared" si="682"/>
        <v>#N/A</v>
      </c>
      <c r="BM125" s="287" t="e">
        <f t="shared" si="683"/>
        <v>#N/A</v>
      </c>
    </row>
    <row r="126" spans="1:65" s="102" customFormat="1" ht="14.25" customHeight="1" outlineLevel="2" x14ac:dyDescent="0.2">
      <c r="A126" s="320" t="s">
        <v>226</v>
      </c>
      <c r="B126" s="347"/>
      <c r="C126" s="350"/>
      <c r="D126" s="344"/>
      <c r="E126" s="280" t="s">
        <v>27</v>
      </c>
      <c r="F126" s="60"/>
      <c r="G126" s="61"/>
      <c r="H126" s="61"/>
      <c r="I126" s="61"/>
      <c r="J126" s="61"/>
      <c r="K126" s="61"/>
      <c r="L126" s="61"/>
      <c r="M126" s="61"/>
      <c r="N126" s="61"/>
      <c r="O126" s="61"/>
      <c r="P126" s="61"/>
      <c r="Q126" s="62"/>
      <c r="R126" s="60"/>
      <c r="S126" s="61"/>
      <c r="T126" s="61"/>
      <c r="U126" s="61"/>
      <c r="V126" s="61"/>
      <c r="W126" s="61"/>
      <c r="X126" s="61"/>
      <c r="Y126" s="61"/>
      <c r="Z126" s="61"/>
      <c r="AA126" s="61"/>
      <c r="AB126" s="61"/>
      <c r="AC126" s="62"/>
      <c r="AD126" s="60"/>
      <c r="AE126" s="61"/>
      <c r="AF126" s="61"/>
      <c r="AG126" s="61"/>
      <c r="AH126" s="61"/>
      <c r="AI126" s="61"/>
      <c r="AJ126" s="61"/>
      <c r="AK126" s="61"/>
      <c r="AL126" s="61"/>
      <c r="AM126" s="61"/>
      <c r="AN126" s="61"/>
      <c r="AO126" s="62"/>
      <c r="AP126" s="231" t="str">
        <f>IFERROR(IF(SUM(F126:K126)&lt;&gt;0,SUM(F126:K126),""),"")</f>
        <v/>
      </c>
      <c r="AQ126" s="232" t="str">
        <f>IFERROR(IF(SUM(L126:Q126)&lt;&gt;0,SUM(L126:Q126),""),"")</f>
        <v/>
      </c>
      <c r="AR126" s="231" t="str">
        <f>IFERROR(IF(SUM(R126:W126)&lt;&gt;0,SUM(R126:W126),""),"")</f>
        <v/>
      </c>
      <c r="AS126" s="232" t="str">
        <f>IFERROR(IF(SUM(X126:AC126)&lt;&gt;0,SUM(X126:AC126),""),"")</f>
        <v/>
      </c>
      <c r="AT126" s="231" t="str">
        <f>IFERROR(IF(SUM(AD126:AI126)&lt;&gt;0,SUM(AD126:AI126),""),"")</f>
        <v/>
      </c>
      <c r="AU126" s="232" t="str">
        <f>IFERROR(IF(SUM(AJ126:AO126)&lt;&gt;0,SUM(AJ126:AO126),""),"")</f>
        <v/>
      </c>
      <c r="AV126" s="74"/>
      <c r="AW126" s="61"/>
      <c r="AX126" s="74"/>
      <c r="AY126" s="61"/>
      <c r="AZ126" s="74"/>
      <c r="BA126" s="61"/>
      <c r="BB126" s="74"/>
      <c r="BC126" s="61"/>
      <c r="BD126" s="74"/>
      <c r="BE126" s="267"/>
      <c r="BF126" s="287" t="e">
        <f t="shared" si="676"/>
        <v>#N/A</v>
      </c>
      <c r="BG126" s="287" t="e">
        <f t="shared" si="677"/>
        <v>#N/A</v>
      </c>
      <c r="BH126" s="287" t="e">
        <f t="shared" si="678"/>
        <v>#N/A</v>
      </c>
      <c r="BI126" s="287" t="e">
        <f t="shared" si="679"/>
        <v>#N/A</v>
      </c>
      <c r="BJ126" s="287" t="e">
        <f t="shared" si="680"/>
        <v>#N/A</v>
      </c>
      <c r="BK126" s="287" t="e">
        <f t="shared" si="681"/>
        <v>#N/A</v>
      </c>
      <c r="BL126" s="287" t="e">
        <f t="shared" si="682"/>
        <v>#N/A</v>
      </c>
      <c r="BM126" s="287" t="e">
        <f t="shared" si="683"/>
        <v>#N/A</v>
      </c>
    </row>
    <row r="127" spans="1:65" s="102" customFormat="1" ht="15" customHeight="1" outlineLevel="2" thickBot="1" x14ac:dyDescent="0.25">
      <c r="A127" s="320" t="s">
        <v>226</v>
      </c>
      <c r="B127" s="347"/>
      <c r="C127" s="350"/>
      <c r="D127" s="344"/>
      <c r="E127" s="281" t="s">
        <v>88</v>
      </c>
      <c r="F127" s="63"/>
      <c r="G127" s="48"/>
      <c r="H127" s="48"/>
      <c r="I127" s="48"/>
      <c r="J127" s="48"/>
      <c r="K127" s="48"/>
      <c r="L127" s="48"/>
      <c r="M127" s="48"/>
      <c r="N127" s="48"/>
      <c r="O127" s="48"/>
      <c r="P127" s="48"/>
      <c r="Q127" s="51"/>
      <c r="R127" s="63"/>
      <c r="S127" s="48"/>
      <c r="T127" s="48"/>
      <c r="U127" s="48"/>
      <c r="V127" s="48"/>
      <c r="W127" s="48"/>
      <c r="X127" s="48"/>
      <c r="Y127" s="48"/>
      <c r="Z127" s="48"/>
      <c r="AA127" s="48"/>
      <c r="AB127" s="48"/>
      <c r="AC127" s="51"/>
      <c r="AD127" s="63"/>
      <c r="AE127" s="48"/>
      <c r="AF127" s="48"/>
      <c r="AG127" s="48"/>
      <c r="AH127" s="48"/>
      <c r="AI127" s="48"/>
      <c r="AJ127" s="48"/>
      <c r="AK127" s="48"/>
      <c r="AL127" s="48"/>
      <c r="AM127" s="48"/>
      <c r="AN127" s="48"/>
      <c r="AO127" s="51"/>
      <c r="AP127" s="233" t="str">
        <f>IFERROR(IF(SUM(F127:K127)&lt;&gt;0,SUM(F127:K127),""),"")</f>
        <v/>
      </c>
      <c r="AQ127" s="234" t="str">
        <f>IFERROR(IF(SUM(L127:Q127)&lt;&gt;0,SUM(L127:Q127),""),"")</f>
        <v/>
      </c>
      <c r="AR127" s="233" t="str">
        <f>IFERROR(IF(SUM(R127:W127)&lt;&gt;0,SUM(R127:W127),""),"")</f>
        <v/>
      </c>
      <c r="AS127" s="234" t="str">
        <f>IFERROR(IF(SUM(X127:AC127)&lt;&gt;0,SUM(X127:AC127),""),"")</f>
        <v/>
      </c>
      <c r="AT127" s="233" t="str">
        <f>IFERROR(IF(SUM(AD127:AI127)&lt;&gt;0,SUM(AD127:AI127),""),"")</f>
        <v/>
      </c>
      <c r="AU127" s="234" t="str">
        <f>IFERROR(IF(SUM(AJ127:AO127)&lt;&gt;0,SUM(AJ127:AO127),""),"")</f>
        <v/>
      </c>
      <c r="AV127" s="75"/>
      <c r="AW127" s="76"/>
      <c r="AX127" s="75"/>
      <c r="AY127" s="76"/>
      <c r="AZ127" s="75"/>
      <c r="BA127" s="76"/>
      <c r="BB127" s="75"/>
      <c r="BC127" s="76"/>
      <c r="BD127" s="75"/>
      <c r="BE127" s="268"/>
      <c r="BF127" s="271" t="e">
        <f t="shared" si="676"/>
        <v>#N/A</v>
      </c>
      <c r="BG127" s="271" t="e">
        <f t="shared" si="677"/>
        <v>#N/A</v>
      </c>
      <c r="BH127" s="271" t="e">
        <f t="shared" si="678"/>
        <v>#N/A</v>
      </c>
      <c r="BI127" s="271" t="e">
        <f t="shared" si="679"/>
        <v>#N/A</v>
      </c>
      <c r="BJ127" s="271" t="e">
        <f t="shared" si="680"/>
        <v>#N/A</v>
      </c>
      <c r="BK127" s="271" t="e">
        <f t="shared" si="681"/>
        <v>#N/A</v>
      </c>
      <c r="BL127" s="271" t="e">
        <f t="shared" si="682"/>
        <v>#N/A</v>
      </c>
      <c r="BM127" s="271" t="e">
        <f t="shared" si="683"/>
        <v>#N/A</v>
      </c>
    </row>
    <row r="128" spans="1:65" s="102" customFormat="1" ht="14.25" customHeight="1" outlineLevel="2" x14ac:dyDescent="0.2">
      <c r="A128" s="320" t="s">
        <v>226</v>
      </c>
      <c r="B128" s="347"/>
      <c r="C128" s="350"/>
      <c r="D128" s="344"/>
      <c r="E128" s="279" t="s">
        <v>32</v>
      </c>
      <c r="F128" s="64"/>
      <c r="G128" s="65"/>
      <c r="H128" s="65"/>
      <c r="I128" s="65"/>
      <c r="J128" s="65"/>
      <c r="K128" s="65"/>
      <c r="L128" s="65"/>
      <c r="M128" s="65"/>
      <c r="N128" s="65"/>
      <c r="O128" s="65"/>
      <c r="P128" s="65"/>
      <c r="Q128" s="66"/>
      <c r="R128" s="64"/>
      <c r="S128" s="65"/>
      <c r="T128" s="65"/>
      <c r="U128" s="65"/>
      <c r="V128" s="65"/>
      <c r="W128" s="65"/>
      <c r="X128" s="65"/>
      <c r="Y128" s="65"/>
      <c r="Z128" s="65"/>
      <c r="AA128" s="65"/>
      <c r="AB128" s="65"/>
      <c r="AC128" s="66"/>
      <c r="AD128" s="64"/>
      <c r="AE128" s="65"/>
      <c r="AF128" s="65"/>
      <c r="AG128" s="65"/>
      <c r="AH128" s="65"/>
      <c r="AI128" s="65"/>
      <c r="AJ128" s="65"/>
      <c r="AK128" s="65"/>
      <c r="AL128" s="65"/>
      <c r="AM128" s="65"/>
      <c r="AN128" s="65"/>
      <c r="AO128" s="66"/>
      <c r="AP128" s="32" t="str">
        <f>IFERROR(IF(AVERAGE(F128:K128)&lt;&gt;0,AVERAGE(F128:K128),""),"")</f>
        <v/>
      </c>
      <c r="AQ128" s="235" t="str">
        <f>IFERROR(IF(AVERAGE(L128:Q128)&lt;&gt;0,AVERAGE(L128:Q128),""),"")</f>
        <v/>
      </c>
      <c r="AR128" s="32" t="str">
        <f>IFERROR(IF(AVERAGE(R128:W128)&lt;&gt;0,AVERAGE(R128:W128),""),"")</f>
        <v/>
      </c>
      <c r="AS128" s="235" t="str">
        <f>IFERROR(IF(AVERAGE(X128:AC128)&lt;&gt;0,AVERAGE(X128:AC128),""),"")</f>
        <v/>
      </c>
      <c r="AT128" s="32" t="str">
        <f>IFERROR(IF(AVERAGE(AD128:AI128)&lt;&gt;0,AVERAGE(AD128:AI128),""),"")</f>
        <v/>
      </c>
      <c r="AU128" s="235" t="str">
        <f>IFERROR(IF(AVERAGE(AJ128:AO128)&lt;&gt;0,AVERAGE(AJ128:AO128),""),"")</f>
        <v/>
      </c>
      <c r="AV128" s="77"/>
      <c r="AW128" s="65"/>
      <c r="AX128" s="77"/>
      <c r="AY128" s="65"/>
      <c r="AZ128" s="77"/>
      <c r="BA128" s="65"/>
      <c r="BB128" s="77"/>
      <c r="BC128" s="65"/>
      <c r="BD128" s="77"/>
      <c r="BE128" s="269"/>
      <c r="BF128" s="272" t="str">
        <f>IFERROR(IF(AVERAGE(AP128:AQ128)&lt;&gt;0,AVERAGE(AP128:AQ128),""),"")</f>
        <v/>
      </c>
      <c r="BG128" s="272" t="str">
        <f>IFERROR(IF(AVERAGE(AR128:AS128)&lt;&gt;0,AVERAGE(AR128:AS128),""),"")</f>
        <v/>
      </c>
      <c r="BH128" s="272" t="str">
        <f>IFERROR(IF(AVERAGE(AT128:AU128)&lt;&gt;0,AVERAGE(AT128:AU128),""),"")</f>
        <v/>
      </c>
      <c r="BI128" s="272" t="str">
        <f>IFERROR(IF(AVERAGE(AV128:AW128)&lt;&gt;0,AVERAGE(AV128:AW128),""),"")</f>
        <v/>
      </c>
      <c r="BJ128" s="272" t="str">
        <f>IFERROR(IF(AVERAGE(AX128:AY128)&lt;&gt;0,AVERAGE(AX128:AY128),""),"")</f>
        <v/>
      </c>
      <c r="BK128" s="272" t="str">
        <f>IFERROR(IF(AVERAGE(AZ128:BA128)&lt;&gt;0,AVERAGE(AZ128:BA128),""),"")</f>
        <v/>
      </c>
      <c r="BL128" s="272" t="str">
        <f>IFERROR(IF(AVERAGE(BB128:BC128)&lt;&gt;0,AVERAGE(BB128:BC128),""),"")</f>
        <v/>
      </c>
      <c r="BM128" s="272" t="str">
        <f>IFERROR(IF(AVERAGE(BD128:BE128)&lt;&gt;0,AVERAGE(BD128:BE128),""),"")</f>
        <v/>
      </c>
    </row>
    <row r="129" spans="1:65" s="102" customFormat="1" ht="15" customHeight="1" outlineLevel="2" thickBot="1" x14ac:dyDescent="0.25">
      <c r="A129" s="320" t="s">
        <v>226</v>
      </c>
      <c r="B129" s="347"/>
      <c r="C129" s="350"/>
      <c r="D129" s="344"/>
      <c r="E129" s="281" t="s">
        <v>2</v>
      </c>
      <c r="F129" s="67"/>
      <c r="G129" s="68"/>
      <c r="H129" s="68"/>
      <c r="I129" s="68"/>
      <c r="J129" s="68"/>
      <c r="K129" s="68"/>
      <c r="L129" s="68"/>
      <c r="M129" s="68"/>
      <c r="N129" s="68"/>
      <c r="O129" s="68"/>
      <c r="P129" s="68"/>
      <c r="Q129" s="69"/>
      <c r="R129" s="67"/>
      <c r="S129" s="68"/>
      <c r="T129" s="68"/>
      <c r="U129" s="68"/>
      <c r="V129" s="68"/>
      <c r="W129" s="68"/>
      <c r="X129" s="68"/>
      <c r="Y129" s="68"/>
      <c r="Z129" s="68"/>
      <c r="AA129" s="68"/>
      <c r="AB129" s="68"/>
      <c r="AC129" s="69"/>
      <c r="AD129" s="67"/>
      <c r="AE129" s="68"/>
      <c r="AF129" s="68"/>
      <c r="AG129" s="68"/>
      <c r="AH129" s="68"/>
      <c r="AI129" s="68"/>
      <c r="AJ129" s="68"/>
      <c r="AK129" s="68"/>
      <c r="AL129" s="68"/>
      <c r="AM129" s="68"/>
      <c r="AN129" s="68"/>
      <c r="AO129" s="69"/>
      <c r="AP129" s="236" t="str">
        <f>IFERROR(IF(AVERAGE(F129:K129)&lt;&gt;0,AVERAGE(F129:K129),""),"")</f>
        <v/>
      </c>
      <c r="AQ129" s="237" t="str">
        <f>IFERROR(IF(AVERAGE(L129:Q129)&lt;&gt;0,AVERAGE(L129:Q129),""),"")</f>
        <v/>
      </c>
      <c r="AR129" s="236" t="str">
        <f>IFERROR(IF(AVERAGE(R129:W129)&lt;&gt;0,AVERAGE(R129:W129),""),"")</f>
        <v/>
      </c>
      <c r="AS129" s="237" t="str">
        <f>IFERROR(IF(AVERAGE(X129:AC129)&lt;&gt;0,AVERAGE(X129:AC129),""),"")</f>
        <v/>
      </c>
      <c r="AT129" s="236" t="str">
        <f>IFERROR(IF(AVERAGE(AD129:AI129)&lt;&gt;0,AVERAGE(AD129:AI129),""),"")</f>
        <v/>
      </c>
      <c r="AU129" s="237" t="str">
        <f>IFERROR(IF(AVERAGE(AJ129:AO129)&lt;&gt;0,AVERAGE(AJ129:AO129),""),"")</f>
        <v/>
      </c>
      <c r="AV129" s="78"/>
      <c r="AW129" s="68"/>
      <c r="AX129" s="78"/>
      <c r="AY129" s="68"/>
      <c r="AZ129" s="78"/>
      <c r="BA129" s="68"/>
      <c r="BB129" s="78"/>
      <c r="BC129" s="68"/>
      <c r="BD129" s="78"/>
      <c r="BE129" s="270"/>
      <c r="BF129" s="288" t="str">
        <f>IFERROR(IF(AVERAGE(AP129:AQ129)&lt;&gt;0,AVERAGE(AP129:AQ129),""),"")</f>
        <v/>
      </c>
      <c r="BG129" s="288" t="str">
        <f>IFERROR(IF(AVERAGE(AR129:AS129)&lt;&gt;0,AVERAGE(AR129:AS129),""),"")</f>
        <v/>
      </c>
      <c r="BH129" s="288" t="str">
        <f>IFERROR(IF(AVERAGE(AT129:AU129)&lt;&gt;0,AVERAGE(AT129:AU129),""),"")</f>
        <v/>
      </c>
      <c r="BI129" s="288" t="str">
        <f>IFERROR(IF(AVERAGE(AV129:AW129)&lt;&gt;0,AVERAGE(AV129:AW129),""),"")</f>
        <v/>
      </c>
      <c r="BJ129" s="288" t="str">
        <f>IFERROR(IF(AVERAGE(AX129:AY129)&lt;&gt;0,AVERAGE(AX129:AY129),""),"")</f>
        <v/>
      </c>
      <c r="BK129" s="288" t="str">
        <f>IFERROR(IF(AVERAGE(AZ129:BA129)&lt;&gt;0,AVERAGE(AZ129:BA129),""),"")</f>
        <v/>
      </c>
      <c r="BL129" s="288" t="str">
        <f>IFERROR(IF(AVERAGE(BB129:BC129)&lt;&gt;0,AVERAGE(BB129:BC129),""),"")</f>
        <v/>
      </c>
      <c r="BM129" s="288" t="str">
        <f>IFERROR(IF(AVERAGE(BD129:BE129)&lt;&gt;0,AVERAGE(BD129:BE129),""),"")</f>
        <v/>
      </c>
    </row>
    <row r="130" spans="1:65" s="102" customFormat="1" ht="14.25" customHeight="1" outlineLevel="1" x14ac:dyDescent="0.2">
      <c r="A130" s="320" t="s">
        <v>226</v>
      </c>
      <c r="B130" s="347"/>
      <c r="C130" s="350"/>
      <c r="D130" s="344"/>
      <c r="E130" s="282" t="s">
        <v>228</v>
      </c>
      <c r="F130" s="283" t="str">
        <f ca="1">IF(IFERROR((F$11*(F122-SUM(F124:F127)/F$11)*F129*3600)/(F128),"")&gt;0,IFERROR((F$11*(F122-SUM(F124:F127)/F$11)*F129*3600)/(F128),""),"")</f>
        <v/>
      </c>
      <c r="G130" s="284" t="str">
        <f t="shared" ref="G130" ca="1" si="684">IF(IFERROR((G$11*(G122-SUM(G124:G127)/G$11)*G129*3600)/(G128),"")&gt;0,IFERROR((G$11*(G122-SUM(G124:G127)/G$11)*G129*3600)/(G128),""),"")</f>
        <v/>
      </c>
      <c r="H130" s="284" t="str">
        <f t="shared" ref="H130" ca="1" si="685">IF(IFERROR((H$11*(H122-SUM(H124:H127)/H$11)*H129*3600)/(H128),"")&gt;0,IFERROR((H$11*(H122-SUM(H124:H127)/H$11)*H129*3600)/(H128),""),"")</f>
        <v/>
      </c>
      <c r="I130" s="284" t="str">
        <f t="shared" ref="I130" ca="1" si="686">IF(IFERROR((I$11*(I122-SUM(I124:I127)/I$11)*I129*3600)/(I128),"")&gt;0,IFERROR((I$11*(I122-SUM(I124:I127)/I$11)*I129*3600)/(I128),""),"")</f>
        <v/>
      </c>
      <c r="J130" s="284" t="str">
        <f t="shared" ref="J130" ca="1" si="687">IF(IFERROR((J$11*(J122-SUM(J124:J127)/J$11)*J129*3600)/(J128),"")&gt;0,IFERROR((J$11*(J122-SUM(J124:J127)/J$11)*J129*3600)/(J128),""),"")</f>
        <v/>
      </c>
      <c r="K130" s="284" t="str">
        <f t="shared" ref="K130" ca="1" si="688">IF(IFERROR((K$11*(K122-SUM(K124:K127)/K$11)*K129*3600)/(K128),"")&gt;0,IFERROR((K$11*(K122-SUM(K124:K127)/K$11)*K129*3600)/(K128),""),"")</f>
        <v/>
      </c>
      <c r="L130" s="284" t="str">
        <f t="shared" ref="L130" ca="1" si="689">IF(IFERROR((L$11*(L122-SUM(L124:L127)/L$11)*L129*3600)/(L128),"")&gt;0,IFERROR((L$11*(L122-SUM(L124:L127)/L$11)*L129*3600)/(L128),""),"")</f>
        <v/>
      </c>
      <c r="M130" s="284" t="str">
        <f t="shared" ref="M130" ca="1" si="690">IF(IFERROR((M$11*(M122-SUM(M124:M127)/M$11)*M129*3600)/(M128),"")&gt;0,IFERROR((M$11*(M122-SUM(M124:M127)/M$11)*M129*3600)/(M128),""),"")</f>
        <v/>
      </c>
      <c r="N130" s="284" t="str">
        <f t="shared" ref="N130" ca="1" si="691">IF(IFERROR((N$11*(N122-SUM(N124:N127)/N$11)*N129*3600)/(N128),"")&gt;0,IFERROR((N$11*(N122-SUM(N124:N127)/N$11)*N129*3600)/(N128),""),"")</f>
        <v/>
      </c>
      <c r="O130" s="284" t="str">
        <f t="shared" ref="O130" ca="1" si="692">IF(IFERROR((O$11*(O122-SUM(O124:O127)/O$11)*O129*3600)/(O128),"")&gt;0,IFERROR((O$11*(O122-SUM(O124:O127)/O$11)*O129*3600)/(O128),""),"")</f>
        <v/>
      </c>
      <c r="P130" s="284" t="str">
        <f t="shared" ref="P130" ca="1" si="693">IF(IFERROR((P$11*(P122-SUM(P124:P127)/P$11)*P129*3600)/(P128),"")&gt;0,IFERROR((P$11*(P122-SUM(P124:P127)/P$11)*P129*3600)/(P128),""),"")</f>
        <v/>
      </c>
      <c r="Q130" s="284" t="str">
        <f t="shared" ref="Q130" ca="1" si="694">IF(IFERROR((Q$11*(Q122-SUM(Q124:Q127)/Q$11)*Q129*3600)/(Q128),"")&gt;0,IFERROR((Q$11*(Q122-SUM(Q124:Q127)/Q$11)*Q129*3600)/(Q128),""),"")</f>
        <v/>
      </c>
      <c r="R130" s="283" t="str">
        <f t="shared" ref="R130" ca="1" si="695">IF(IFERROR((R$11*(R122-SUM(R124:R127)/R$11)*R129*3600)/(R128),"")&gt;0,IFERROR((R$11*(R122-SUM(R124:R127)/R$11)*R129*3600)/(R128),""),"")</f>
        <v/>
      </c>
      <c r="S130" s="284" t="str">
        <f t="shared" ref="S130" ca="1" si="696">IF(IFERROR((S$11*(S122-SUM(S124:S127)/S$11)*S129*3600)/(S128),"")&gt;0,IFERROR((S$11*(S122-SUM(S124:S127)/S$11)*S129*3600)/(S128),""),"")</f>
        <v/>
      </c>
      <c r="T130" s="284" t="str">
        <f t="shared" ref="T130" ca="1" si="697">IF(IFERROR((T$11*(T122-SUM(T124:T127)/T$11)*T129*3600)/(T128),"")&gt;0,IFERROR((T$11*(T122-SUM(T124:T127)/T$11)*T129*3600)/(T128),""),"")</f>
        <v/>
      </c>
      <c r="U130" s="284" t="str">
        <f t="shared" ref="U130" ca="1" si="698">IF(IFERROR((U$11*(U122-SUM(U124:U127)/U$11)*U129*3600)/(U128),"")&gt;0,IFERROR((U$11*(U122-SUM(U124:U127)/U$11)*U129*3600)/(U128),""),"")</f>
        <v/>
      </c>
      <c r="V130" s="284" t="str">
        <f t="shared" ref="V130" ca="1" si="699">IF(IFERROR((V$11*(V122-SUM(V124:V127)/V$11)*V129*3600)/(V128),"")&gt;0,IFERROR((V$11*(V122-SUM(V124:V127)/V$11)*V129*3600)/(V128),""),"")</f>
        <v/>
      </c>
      <c r="W130" s="284" t="str">
        <f t="shared" ref="W130" ca="1" si="700">IF(IFERROR((W$11*(W122-SUM(W124:W127)/W$11)*W129*3600)/(W128),"")&gt;0,IFERROR((W$11*(W122-SUM(W124:W127)/W$11)*W129*3600)/(W128),""),"")</f>
        <v/>
      </c>
      <c r="X130" s="284" t="str">
        <f t="shared" ref="X130" ca="1" si="701">IF(IFERROR((X$11*(X122-SUM(X124:X127)/X$11)*X129*3600)/(X128),"")&gt;0,IFERROR((X$11*(X122-SUM(X124:X127)/X$11)*X129*3600)/(X128),""),"")</f>
        <v/>
      </c>
      <c r="Y130" s="284" t="str">
        <f t="shared" ref="Y130" ca="1" si="702">IF(IFERROR((Y$11*(Y122-SUM(Y124:Y127)/Y$11)*Y129*3600)/(Y128),"")&gt;0,IFERROR((Y$11*(Y122-SUM(Y124:Y127)/Y$11)*Y129*3600)/(Y128),""),"")</f>
        <v/>
      </c>
      <c r="Z130" s="284" t="str">
        <f t="shared" ref="Z130" ca="1" si="703">IF(IFERROR((Z$11*(Z122-SUM(Z124:Z127)/Z$11)*Z129*3600)/(Z128),"")&gt;0,IFERROR((Z$11*(Z122-SUM(Z124:Z127)/Z$11)*Z129*3600)/(Z128),""),"")</f>
        <v/>
      </c>
      <c r="AA130" s="284" t="str">
        <f t="shared" ref="AA130" ca="1" si="704">IF(IFERROR((AA$11*(AA122-SUM(AA124:AA127)/AA$11)*AA129*3600)/(AA128),"")&gt;0,IFERROR((AA$11*(AA122-SUM(AA124:AA127)/AA$11)*AA129*3600)/(AA128),""),"")</f>
        <v/>
      </c>
      <c r="AB130" s="284" t="str">
        <f t="shared" ref="AB130" ca="1" si="705">IF(IFERROR((AB$11*(AB122-SUM(AB124:AB127)/AB$11)*AB129*3600)/(AB128),"")&gt;0,IFERROR((AB$11*(AB122-SUM(AB124:AB127)/AB$11)*AB129*3600)/(AB128),""),"")</f>
        <v/>
      </c>
      <c r="AC130" s="284" t="str">
        <f t="shared" ref="AC130" ca="1" si="706">IF(IFERROR((AC$11*(AC122-SUM(AC124:AC127)/AC$11)*AC129*3600)/(AC128),"")&gt;0,IFERROR((AC$11*(AC122-SUM(AC124:AC127)/AC$11)*AC129*3600)/(AC128),""),"")</f>
        <v/>
      </c>
      <c r="AD130" s="283" t="str">
        <f t="shared" ref="AD130" ca="1" si="707">IF(IFERROR((AD$11*(AD122-SUM(AD124:AD127)/AD$11)*AD129*3600)/(AD128),"")&gt;0,IFERROR((AD$11*(AD122-SUM(AD124:AD127)/AD$11)*AD129*3600)/(AD128),""),"")</f>
        <v/>
      </c>
      <c r="AE130" s="284" t="str">
        <f t="shared" ref="AE130" ca="1" si="708">IF(IFERROR((AE$11*(AE122-SUM(AE124:AE127)/AE$11)*AE129*3600)/(AE128),"")&gt;0,IFERROR((AE$11*(AE122-SUM(AE124:AE127)/AE$11)*AE129*3600)/(AE128),""),"")</f>
        <v/>
      </c>
      <c r="AF130" s="284" t="str">
        <f t="shared" ref="AF130" ca="1" si="709">IF(IFERROR((AF$11*(AF122-SUM(AF124:AF127)/AF$11)*AF129*3600)/(AF128),"")&gt;0,IFERROR((AF$11*(AF122-SUM(AF124:AF127)/AF$11)*AF129*3600)/(AF128),""),"")</f>
        <v/>
      </c>
      <c r="AG130" s="284" t="str">
        <f t="shared" ref="AG130" ca="1" si="710">IF(IFERROR((AG$11*(AG122-SUM(AG124:AG127)/AG$11)*AG129*3600)/(AG128),"")&gt;0,IFERROR((AG$11*(AG122-SUM(AG124:AG127)/AG$11)*AG129*3600)/(AG128),""),"")</f>
        <v/>
      </c>
      <c r="AH130" s="284" t="str">
        <f t="shared" ref="AH130" ca="1" si="711">IF(IFERROR((AH$11*(AH122-SUM(AH124:AH127)/AH$11)*AH129*3600)/(AH128),"")&gt;0,IFERROR((AH$11*(AH122-SUM(AH124:AH127)/AH$11)*AH129*3600)/(AH128),""),"")</f>
        <v/>
      </c>
      <c r="AI130" s="284" t="str">
        <f t="shared" ref="AI130" ca="1" si="712">IF(IFERROR((AI$11*(AI122-SUM(AI124:AI127)/AI$11)*AI129*3600)/(AI128),"")&gt;0,IFERROR((AI$11*(AI122-SUM(AI124:AI127)/AI$11)*AI129*3600)/(AI128),""),"")</f>
        <v/>
      </c>
      <c r="AJ130" s="284" t="str">
        <f t="shared" ref="AJ130" ca="1" si="713">IF(IFERROR((AJ$11*(AJ122-SUM(AJ124:AJ127)/AJ$11)*AJ129*3600)/(AJ128),"")&gt;0,IFERROR((AJ$11*(AJ122-SUM(AJ124:AJ127)/AJ$11)*AJ129*3600)/(AJ128),""),"")</f>
        <v/>
      </c>
      <c r="AK130" s="284" t="str">
        <f t="shared" ref="AK130" ca="1" si="714">IF(IFERROR((AK$11*(AK122-SUM(AK124:AK127)/AK$11)*AK129*3600)/(AK128),"")&gt;0,IFERROR((AK$11*(AK122-SUM(AK124:AK127)/AK$11)*AK129*3600)/(AK128),""),"")</f>
        <v/>
      </c>
      <c r="AL130" s="284" t="str">
        <f t="shared" ref="AL130" ca="1" si="715">IF(IFERROR((AL$11*(AL122-SUM(AL124:AL127)/AL$11)*AL129*3600)/(AL128),"")&gt;0,IFERROR((AL$11*(AL122-SUM(AL124:AL127)/AL$11)*AL129*3600)/(AL128),""),"")</f>
        <v/>
      </c>
      <c r="AM130" s="284" t="str">
        <f t="shared" ref="AM130" ca="1" si="716">IF(IFERROR((AM$11*(AM122-SUM(AM124:AM127)/AM$11)*AM129*3600)/(AM128),"")&gt;0,IFERROR((AM$11*(AM122-SUM(AM124:AM127)/AM$11)*AM129*3600)/(AM128),""),"")</f>
        <v/>
      </c>
      <c r="AN130" s="284" t="str">
        <f t="shared" ref="AN130" ca="1" si="717">IF(IFERROR((AN$11*(AN122-SUM(AN124:AN127)/AN$11)*AN129*3600)/(AN128),"")&gt;0,IFERROR((AN$11*(AN122-SUM(AN124:AN127)/AN$11)*AN129*3600)/(AN128),""),"")</f>
        <v/>
      </c>
      <c r="AO130" s="284" t="str">
        <f t="shared" ref="AO130" ca="1" si="718">IF(IFERROR((AO$11*(AO122-SUM(AO124:AO127)/AO$11)*AO129*3600)/(AO128),"")&gt;0,IFERROR((AO$11*(AO122-SUM(AO124:AO127)/AO$11)*AO129*3600)/(AO128),""),"")</f>
        <v/>
      </c>
      <c r="AP130" s="283" t="e">
        <f t="shared" ref="AP130:AP131" ca="1" si="719">IF(SUM(F130:K130)&lt;&gt;0,SUM(F130:K130),#N/A)</f>
        <v>#N/A</v>
      </c>
      <c r="AQ130" s="284" t="e">
        <f t="shared" ref="AQ130:AQ131" ca="1" si="720">IF(SUM(L130:Q130)&lt;&gt;0,SUM(L130:Q130),#N/A)</f>
        <v>#N/A</v>
      </c>
      <c r="AR130" s="283" t="e">
        <f t="shared" ref="AR130:AR131" ca="1" si="721">IF(SUM(R130:W130)&lt;&gt;0,SUM(R130:W130),#N/A)</f>
        <v>#N/A</v>
      </c>
      <c r="AS130" s="284" t="e">
        <f t="shared" ref="AS130:AS131" ca="1" si="722">IF(SUM(X130:AC130)&lt;&gt;0,SUM(X130:AC130),#N/A)</f>
        <v>#N/A</v>
      </c>
      <c r="AT130" s="283" t="e">
        <f t="shared" ref="AT130:AT131" ca="1" si="723">IF(SUM(AD130:AI130)&lt;&gt;0,SUM(AD130:AI130),#N/A)</f>
        <v>#N/A</v>
      </c>
      <c r="AU130" s="284" t="e">
        <f t="shared" ref="AU130:AU131" ca="1" si="724">IF(SUM(AJ130:AO130)&lt;&gt;0,SUM(AJ130:AO130),#N/A)</f>
        <v>#N/A</v>
      </c>
      <c r="AV130" s="283" t="str">
        <f ca="1">IF(IFERROR((AV$11*(AV122-SUM(AV124:AV127)/AV$11)*AV129*3600)/(AV128),"")&lt;&gt;0,IFERROR((AV$11*(AV122-SUM(AV124:AV127)/AV$11)*AV129*3600)/(AV128),""),"")</f>
        <v/>
      </c>
      <c r="AW130" s="284" t="str">
        <f t="shared" ref="AW130" ca="1" si="725">IF(IFERROR((AW$11*(AW122-SUM(AW124:AW127)/AW$11)*AW129*3600)/(AW128),"")&lt;&gt;0,IFERROR((AW$11*(AW122-SUM(AW124:AW127)/AW$11)*AW129*3600)/(AW128),""),"")</f>
        <v/>
      </c>
      <c r="AX130" s="283" t="str">
        <f t="shared" ref="AX130" ca="1" si="726">IF(IFERROR((AX$11*(AX122-SUM(AX124:AX127)/AX$11)*AX129*3600)/(AX128),"")&lt;&gt;0,IFERROR((AX$11*(AX122-SUM(AX124:AX127)/AX$11)*AX129*3600)/(AX128),""),"")</f>
        <v/>
      </c>
      <c r="AY130" s="284" t="str">
        <f t="shared" ref="AY130" ca="1" si="727">IF(IFERROR((AY$11*(AY122-SUM(AY124:AY127)/AY$11)*AY129*3600)/(AY128),"")&lt;&gt;0,IFERROR((AY$11*(AY122-SUM(AY124:AY127)/AY$11)*AY129*3600)/(AY128),""),"")</f>
        <v/>
      </c>
      <c r="AZ130" s="283" t="str">
        <f t="shared" ref="AZ130" ca="1" si="728">IF(IFERROR((AZ$11*(AZ122-SUM(AZ124:AZ127)/AZ$11)*AZ129*3600)/(AZ128),"")&lt;&gt;0,IFERROR((AZ$11*(AZ122-SUM(AZ124:AZ127)/AZ$11)*AZ129*3600)/(AZ128),""),"")</f>
        <v/>
      </c>
      <c r="BA130" s="284" t="str">
        <f t="shared" ref="BA130" ca="1" si="729">IF(IFERROR((BA$11*(BA122-SUM(BA124:BA127)/BA$11)*BA129*3600)/(BA128),"")&lt;&gt;0,IFERROR((BA$11*(BA122-SUM(BA124:BA127)/BA$11)*BA129*3600)/(BA128),""),"")</f>
        <v/>
      </c>
      <c r="BB130" s="283" t="str">
        <f t="shared" ref="BB130" ca="1" si="730">IF(IFERROR((BB$11*(BB122-SUM(BB124:BB127)/BB$11)*BB129*3600)/(BB128),"")&lt;&gt;0,IFERROR((BB$11*(BB122-SUM(BB124:BB127)/BB$11)*BB129*3600)/(BB128),""),"")</f>
        <v/>
      </c>
      <c r="BC130" s="284" t="str">
        <f t="shared" ref="BC130" ca="1" si="731">IF(IFERROR((BC$11*(BC122-SUM(BC124:BC127)/BC$11)*BC129*3600)/(BC128),"")&lt;&gt;0,IFERROR((BC$11*(BC122-SUM(BC124:BC127)/BC$11)*BC129*3600)/(BC128),""),"")</f>
        <v/>
      </c>
      <c r="BD130" s="283" t="str">
        <f t="shared" ref="BD130" ca="1" si="732">IF(IFERROR((BD$11*(BD122-SUM(BD124:BD127)/BD$11)*BD129*3600)/(BD128),"")&lt;&gt;0,IFERROR((BD$11*(BD122-SUM(BD124:BD127)/BD$11)*BD129*3600)/(BD128),""),"")</f>
        <v/>
      </c>
      <c r="BE130" s="285" t="str">
        <f t="shared" ref="BE130" ca="1" si="733">IF(IFERROR((BE$11*(BE122-SUM(BE124:BE127)/BE$11)*BE129*3600)/(BE128),"")&lt;&gt;0,IFERROR((BE$11*(BE122-SUM(BE124:BE127)/BE$11)*BE129*3600)/(BE128),""),"")</f>
        <v/>
      </c>
      <c r="BF130" s="285" t="e">
        <f t="shared" ref="BF130:BF252" ca="1" si="734">IF(SUM(AP130,AQ130)&lt;&gt;0,SUM(AP130,AQ130),#N/A)</f>
        <v>#N/A</v>
      </c>
      <c r="BG130" s="285" t="e">
        <f t="shared" ref="BG130:BG252" ca="1" si="735">IF(SUM(AR130,AS130)&lt;&gt;0,SUM(AR130,AS130),#N/A)</f>
        <v>#N/A</v>
      </c>
      <c r="BH130" s="285" t="e">
        <f t="shared" ref="BH130:BH252" ca="1" si="736">IF(SUM(AT130,AU130)&lt;&gt;0,SUM(AT130,AU130),#N/A)</f>
        <v>#N/A</v>
      </c>
      <c r="BI130" s="285" t="e">
        <f t="shared" ref="BI130:BI252" ca="1" si="737">IF(SUM(AV130,AW130)&lt;&gt;0,SUM(AV130,AW130),#N/A)</f>
        <v>#N/A</v>
      </c>
      <c r="BJ130" s="285" t="e">
        <f t="shared" ref="BJ130:BJ252" ca="1" si="738">IF(SUM(AX130,AY130)&lt;&gt;0,SUM(AX130,AY130),#N/A)</f>
        <v>#N/A</v>
      </c>
      <c r="BK130" s="285" t="e">
        <f t="shared" ref="BK130:BK252" ca="1" si="739">IF(SUM(AZ130,BA130)&lt;&gt;0,SUM(AZ130,BA130),#N/A)</f>
        <v>#N/A</v>
      </c>
      <c r="BL130" s="285" t="e">
        <f t="shared" ref="BL130:BL252" ca="1" si="740">IF(SUM(BB130,BC130)&lt;&gt;0,SUM(BB130,BC130),#N/A)</f>
        <v>#N/A</v>
      </c>
      <c r="BM130" s="285" t="e">
        <f t="shared" ref="BM130:BM252" ca="1" si="741">IF(SUM(BD130,BE130)&lt;&gt;0,SUM(BD130,BE130),#N/A)</f>
        <v>#N/A</v>
      </c>
    </row>
    <row r="131" spans="1:65" s="102" customFormat="1" ht="15" customHeight="1" outlineLevel="1" thickBot="1" x14ac:dyDescent="0.25">
      <c r="A131" s="320" t="s">
        <v>226</v>
      </c>
      <c r="B131" s="348"/>
      <c r="C131" s="351"/>
      <c r="D131" s="345"/>
      <c r="E131" s="290" t="s">
        <v>225</v>
      </c>
      <c r="F131" s="317" t="str">
        <f ca="1">IFERROR(F130+((F121*F123*F129*3600)/(F128)),"")</f>
        <v/>
      </c>
      <c r="G131" s="318" t="str">
        <f t="shared" ref="G131:AO131" ca="1" si="742">IFERROR(G130+((G121*G123*G129*3600)/(G128)),"")</f>
        <v/>
      </c>
      <c r="H131" s="318" t="str">
        <f t="shared" ca="1" si="742"/>
        <v/>
      </c>
      <c r="I131" s="318" t="str">
        <f t="shared" ca="1" si="742"/>
        <v/>
      </c>
      <c r="J131" s="318" t="str">
        <f t="shared" ca="1" si="742"/>
        <v/>
      </c>
      <c r="K131" s="318" t="str">
        <f t="shared" ca="1" si="742"/>
        <v/>
      </c>
      <c r="L131" s="318" t="str">
        <f t="shared" ca="1" si="742"/>
        <v/>
      </c>
      <c r="M131" s="318" t="str">
        <f t="shared" ca="1" si="742"/>
        <v/>
      </c>
      <c r="N131" s="318" t="str">
        <f t="shared" ca="1" si="742"/>
        <v/>
      </c>
      <c r="O131" s="318" t="str">
        <f t="shared" ca="1" si="742"/>
        <v/>
      </c>
      <c r="P131" s="318" t="str">
        <f t="shared" ca="1" si="742"/>
        <v/>
      </c>
      <c r="Q131" s="318" t="str">
        <f t="shared" ca="1" si="742"/>
        <v/>
      </c>
      <c r="R131" s="317" t="str">
        <f t="shared" ca="1" si="742"/>
        <v/>
      </c>
      <c r="S131" s="318" t="str">
        <f t="shared" ca="1" si="742"/>
        <v/>
      </c>
      <c r="T131" s="318" t="str">
        <f t="shared" ca="1" si="742"/>
        <v/>
      </c>
      <c r="U131" s="318" t="str">
        <f t="shared" ca="1" si="742"/>
        <v/>
      </c>
      <c r="V131" s="318" t="str">
        <f t="shared" ca="1" si="742"/>
        <v/>
      </c>
      <c r="W131" s="318" t="str">
        <f t="shared" ca="1" si="742"/>
        <v/>
      </c>
      <c r="X131" s="318" t="str">
        <f t="shared" ca="1" si="742"/>
        <v/>
      </c>
      <c r="Y131" s="318" t="str">
        <f t="shared" ca="1" si="742"/>
        <v/>
      </c>
      <c r="Z131" s="318" t="str">
        <f t="shared" ca="1" si="742"/>
        <v/>
      </c>
      <c r="AA131" s="318" t="str">
        <f t="shared" ca="1" si="742"/>
        <v/>
      </c>
      <c r="AB131" s="318" t="str">
        <f t="shared" ca="1" si="742"/>
        <v/>
      </c>
      <c r="AC131" s="318" t="str">
        <f t="shared" ca="1" si="742"/>
        <v/>
      </c>
      <c r="AD131" s="317" t="str">
        <f t="shared" ca="1" si="742"/>
        <v/>
      </c>
      <c r="AE131" s="318" t="str">
        <f t="shared" ca="1" si="742"/>
        <v/>
      </c>
      <c r="AF131" s="318" t="str">
        <f t="shared" ca="1" si="742"/>
        <v/>
      </c>
      <c r="AG131" s="318" t="str">
        <f t="shared" ca="1" si="742"/>
        <v/>
      </c>
      <c r="AH131" s="318" t="str">
        <f t="shared" ca="1" si="742"/>
        <v/>
      </c>
      <c r="AI131" s="318" t="str">
        <f t="shared" ca="1" si="742"/>
        <v/>
      </c>
      <c r="AJ131" s="318" t="str">
        <f t="shared" ca="1" si="742"/>
        <v/>
      </c>
      <c r="AK131" s="318" t="str">
        <f t="shared" ca="1" si="742"/>
        <v/>
      </c>
      <c r="AL131" s="318" t="str">
        <f t="shared" ca="1" si="742"/>
        <v/>
      </c>
      <c r="AM131" s="318" t="str">
        <f t="shared" ca="1" si="742"/>
        <v/>
      </c>
      <c r="AN131" s="318" t="str">
        <f t="shared" ca="1" si="742"/>
        <v/>
      </c>
      <c r="AO131" s="318" t="str">
        <f t="shared" ca="1" si="742"/>
        <v/>
      </c>
      <c r="AP131" s="317" t="e">
        <f t="shared" ca="1" si="719"/>
        <v>#N/A</v>
      </c>
      <c r="AQ131" s="318" t="e">
        <f t="shared" ca="1" si="720"/>
        <v>#N/A</v>
      </c>
      <c r="AR131" s="317" t="e">
        <f t="shared" ca="1" si="721"/>
        <v>#N/A</v>
      </c>
      <c r="AS131" s="318" t="e">
        <f t="shared" ca="1" si="722"/>
        <v>#N/A</v>
      </c>
      <c r="AT131" s="317" t="e">
        <f t="shared" ca="1" si="723"/>
        <v>#N/A</v>
      </c>
      <c r="AU131" s="318" t="e">
        <f t="shared" ca="1" si="724"/>
        <v>#N/A</v>
      </c>
      <c r="AV131" s="317" t="str">
        <f t="shared" ref="AV131:BE131" ca="1" si="743">IFERROR(AV130+((AV121*AV123*AV129*3600)/(AV128)),"")</f>
        <v/>
      </c>
      <c r="AW131" s="318" t="str">
        <f t="shared" ca="1" si="743"/>
        <v/>
      </c>
      <c r="AX131" s="317" t="str">
        <f t="shared" ca="1" si="743"/>
        <v/>
      </c>
      <c r="AY131" s="318" t="str">
        <f t="shared" ca="1" si="743"/>
        <v/>
      </c>
      <c r="AZ131" s="317" t="str">
        <f t="shared" ca="1" si="743"/>
        <v/>
      </c>
      <c r="BA131" s="318" t="str">
        <f t="shared" ca="1" si="743"/>
        <v/>
      </c>
      <c r="BB131" s="317" t="str">
        <f t="shared" ca="1" si="743"/>
        <v/>
      </c>
      <c r="BC131" s="318" t="str">
        <f t="shared" ca="1" si="743"/>
        <v/>
      </c>
      <c r="BD131" s="317" t="str">
        <f t="shared" ca="1" si="743"/>
        <v/>
      </c>
      <c r="BE131" s="291" t="str">
        <f t="shared" ca="1" si="743"/>
        <v/>
      </c>
      <c r="BF131" s="291" t="e">
        <f t="shared" ca="1" si="734"/>
        <v>#N/A</v>
      </c>
      <c r="BG131" s="291" t="e">
        <f t="shared" ca="1" si="735"/>
        <v>#N/A</v>
      </c>
      <c r="BH131" s="291" t="e">
        <f t="shared" ca="1" si="736"/>
        <v>#N/A</v>
      </c>
      <c r="BI131" s="291" t="e">
        <f t="shared" ca="1" si="737"/>
        <v>#N/A</v>
      </c>
      <c r="BJ131" s="291" t="e">
        <f t="shared" ca="1" si="738"/>
        <v>#N/A</v>
      </c>
      <c r="BK131" s="291" t="e">
        <f t="shared" ca="1" si="739"/>
        <v>#N/A</v>
      </c>
      <c r="BL131" s="291" t="e">
        <f t="shared" ca="1" si="740"/>
        <v>#N/A</v>
      </c>
      <c r="BM131" s="291" t="e">
        <f t="shared" ca="1" si="741"/>
        <v>#N/A</v>
      </c>
    </row>
    <row r="132" spans="1:65" s="102" customFormat="1" ht="22.5" outlineLevel="2" x14ac:dyDescent="0.2">
      <c r="A132" s="320" t="s">
        <v>226</v>
      </c>
      <c r="B132" s="346"/>
      <c r="C132" s="349" t="str">
        <f t="shared" ref="C132" si="744">IF(AND($B132&lt;&gt;0,$C$9&lt;&gt;0),$C$9,"")</f>
        <v/>
      </c>
      <c r="D132" s="343"/>
      <c r="E132" s="277" t="s">
        <v>40</v>
      </c>
      <c r="F132" s="33">
        <f ca="1">IF(F$11-(SUM(F136:F139)/24)=0,"",F$11-(SUM(F136:F139)/24))</f>
        <v>27</v>
      </c>
      <c r="G132" s="34">
        <f t="shared" ref="G132:AO132" ca="1" si="745">IF(G$11-(SUM(G136:G139)/24)=0,"",G$11-(SUM(G136:G139)/24))</f>
        <v>24</v>
      </c>
      <c r="H132" s="34">
        <f t="shared" ca="1" si="745"/>
        <v>26</v>
      </c>
      <c r="I132" s="34">
        <f t="shared" ca="1" si="745"/>
        <v>26</v>
      </c>
      <c r="J132" s="34">
        <f t="shared" ca="1" si="745"/>
        <v>27</v>
      </c>
      <c r="K132" s="34">
        <f t="shared" ca="1" si="745"/>
        <v>25</v>
      </c>
      <c r="L132" s="34">
        <f t="shared" ca="1" si="745"/>
        <v>27</v>
      </c>
      <c r="M132" s="34">
        <f t="shared" ca="1" si="745"/>
        <v>26</v>
      </c>
      <c r="N132" s="34">
        <f t="shared" ca="1" si="745"/>
        <v>26</v>
      </c>
      <c r="O132" s="34">
        <f t="shared" ca="1" si="745"/>
        <v>27</v>
      </c>
      <c r="P132" s="34">
        <f t="shared" ca="1" si="745"/>
        <v>25</v>
      </c>
      <c r="Q132" s="34">
        <f t="shared" ca="1" si="745"/>
        <v>27</v>
      </c>
      <c r="R132" s="32">
        <f t="shared" ca="1" si="745"/>
        <v>27</v>
      </c>
      <c r="S132" s="29">
        <f t="shared" ca="1" si="745"/>
        <v>24</v>
      </c>
      <c r="T132" s="29">
        <f t="shared" ca="1" si="745"/>
        <v>26</v>
      </c>
      <c r="U132" s="29">
        <f t="shared" ca="1" si="745"/>
        <v>26</v>
      </c>
      <c r="V132" s="29">
        <f t="shared" ca="1" si="745"/>
        <v>26</v>
      </c>
      <c r="W132" s="29">
        <f t="shared" ca="1" si="745"/>
        <v>26</v>
      </c>
      <c r="X132" s="29">
        <f t="shared" ca="1" si="745"/>
        <v>27</v>
      </c>
      <c r="Y132" s="29">
        <f t="shared" ca="1" si="745"/>
        <v>26</v>
      </c>
      <c r="Z132" s="29">
        <f t="shared" ca="1" si="745"/>
        <v>26</v>
      </c>
      <c r="AA132" s="29">
        <f t="shared" ca="1" si="745"/>
        <v>27</v>
      </c>
      <c r="AB132" s="29">
        <f t="shared" ca="1" si="745"/>
        <v>25</v>
      </c>
      <c r="AC132" s="29">
        <f t="shared" ca="1" si="745"/>
        <v>27</v>
      </c>
      <c r="AD132" s="32">
        <f t="shared" ca="1" si="745"/>
        <v>26</v>
      </c>
      <c r="AE132" s="29">
        <f t="shared" ca="1" si="745"/>
        <v>24</v>
      </c>
      <c r="AF132" s="29">
        <f t="shared" ca="1" si="745"/>
        <v>27</v>
      </c>
      <c r="AG132" s="29">
        <f t="shared" ca="1" si="745"/>
        <v>26</v>
      </c>
      <c r="AH132" s="29">
        <f t="shared" ca="1" si="745"/>
        <v>26</v>
      </c>
      <c r="AI132" s="29">
        <f t="shared" ca="1" si="745"/>
        <v>26</v>
      </c>
      <c r="AJ132" s="29">
        <f t="shared" ca="1" si="745"/>
        <v>27</v>
      </c>
      <c r="AK132" s="29">
        <f t="shared" ca="1" si="745"/>
        <v>26</v>
      </c>
      <c r="AL132" s="29">
        <f t="shared" ca="1" si="745"/>
        <v>26</v>
      </c>
      <c r="AM132" s="29">
        <f t="shared" ca="1" si="745"/>
        <v>26</v>
      </c>
      <c r="AN132" s="29">
        <f t="shared" ca="1" si="745"/>
        <v>26</v>
      </c>
      <c r="AO132" s="29">
        <f t="shared" ca="1" si="745"/>
        <v>27</v>
      </c>
      <c r="AP132" s="32">
        <f ca="1">IF(SUM(F132:K132)&lt;&gt;0,SUM(F132:K132),"")</f>
        <v>155</v>
      </c>
      <c r="AQ132" s="29">
        <f ca="1">IF(SUM(L132:Q132)&lt;&gt;0,SUM(L132:Q132),"")</f>
        <v>158</v>
      </c>
      <c r="AR132" s="32">
        <f ca="1">IF(SUM(R132:W132)&lt;&gt;0,SUM(R132:W132),"")</f>
        <v>155</v>
      </c>
      <c r="AS132" s="29">
        <f ca="1">IF(SUM(X132:AC132)&lt;&gt;0,SUM(X132:AC132),"")</f>
        <v>158</v>
      </c>
      <c r="AT132" s="32">
        <f ca="1">IF(SUM(AD132:AI132)&lt;&gt;0,SUM(AD132:AI132),"")</f>
        <v>155</v>
      </c>
      <c r="AU132" s="296">
        <f ca="1">SUM(AJ132:AO132)</f>
        <v>158</v>
      </c>
      <c r="AV132" s="32">
        <f t="shared" ref="AV132:BE132" ca="1" si="746">IF(AV$11-(SUM(AV136:AV139)/24)=0,"",AV$11-(SUM(AV136:AV139)/24))</f>
        <v>156</v>
      </c>
      <c r="AW132" s="29">
        <f t="shared" ca="1" si="746"/>
        <v>157</v>
      </c>
      <c r="AX132" s="32">
        <f t="shared" ca="1" si="746"/>
        <v>156</v>
      </c>
      <c r="AY132" s="29">
        <f t="shared" ca="1" si="746"/>
        <v>158</v>
      </c>
      <c r="AZ132" s="32">
        <f t="shared" ca="1" si="746"/>
        <v>155</v>
      </c>
      <c r="BA132" s="29">
        <f t="shared" ca="1" si="746"/>
        <v>158</v>
      </c>
      <c r="BB132" s="32">
        <f t="shared" ca="1" si="746"/>
        <v>155</v>
      </c>
      <c r="BC132" s="29">
        <f t="shared" ca="1" si="746"/>
        <v>158</v>
      </c>
      <c r="BD132" s="32">
        <f t="shared" ca="1" si="746"/>
        <v>156</v>
      </c>
      <c r="BE132" s="262">
        <f t="shared" ca="1" si="746"/>
        <v>158</v>
      </c>
      <c r="BF132" s="286">
        <f t="shared" ref="BF132" ca="1" si="747">IF(SUM(AP132,AQ132)&lt;&gt;0,SUM(AP132,AQ132),#N/A)</f>
        <v>313</v>
      </c>
      <c r="BG132" s="286">
        <f t="shared" ref="BG132" ca="1" si="748">IF(SUM(AR132,AS132)&lt;&gt;0,SUM(AR132,AS132),#N/A)</f>
        <v>313</v>
      </c>
      <c r="BH132" s="286">
        <f t="shared" ref="BH132" ca="1" si="749">IF(SUM(AT132,AU132)&lt;&gt;0,SUM(AT132,AU132),#N/A)</f>
        <v>313</v>
      </c>
      <c r="BI132" s="286">
        <f t="shared" ref="BI132" ca="1" si="750">IF(SUM(AV132,AW132)&lt;&gt;0,SUM(AV132,AW132),#N/A)</f>
        <v>313</v>
      </c>
      <c r="BJ132" s="286">
        <f t="shared" ref="BJ132" ca="1" si="751">IF(SUM(AX132,AY132)&lt;&gt;0,SUM(AX132,AY132),#N/A)</f>
        <v>314</v>
      </c>
      <c r="BK132" s="286">
        <f t="shared" ref="BK132" ca="1" si="752">IF(SUM(AZ132,BA132)&lt;&gt;0,SUM(AZ132,BA132),#N/A)</f>
        <v>313</v>
      </c>
      <c r="BL132" s="286">
        <f t="shared" ref="BL132" ca="1" si="753">IF(SUM(BB132,BC132)&lt;&gt;0,SUM(BB132,BC132),#N/A)</f>
        <v>313</v>
      </c>
      <c r="BM132" s="286">
        <f t="shared" ref="BM132" ca="1" si="754">IF(SUM(BD132,BE132)&lt;&gt;0,SUM(BD132,BE132),#N/A)</f>
        <v>314</v>
      </c>
    </row>
    <row r="133" spans="1:65" s="102" customFormat="1" ht="15" customHeight="1" outlineLevel="2" thickBot="1" x14ac:dyDescent="0.25">
      <c r="A133" s="320" t="s">
        <v>226</v>
      </c>
      <c r="B133" s="347"/>
      <c r="C133" s="350"/>
      <c r="D133" s="344"/>
      <c r="E133" s="278" t="s">
        <v>29</v>
      </c>
      <c r="F133" s="47"/>
      <c r="G133" s="48"/>
      <c r="H133" s="48"/>
      <c r="I133" s="48"/>
      <c r="J133" s="48"/>
      <c r="K133" s="48"/>
      <c r="L133" s="48"/>
      <c r="M133" s="48"/>
      <c r="N133" s="48"/>
      <c r="O133" s="48"/>
      <c r="P133" s="48"/>
      <c r="Q133" s="51"/>
      <c r="R133" s="47"/>
      <c r="S133" s="48"/>
      <c r="T133" s="48"/>
      <c r="U133" s="48"/>
      <c r="V133" s="48"/>
      <c r="W133" s="48"/>
      <c r="X133" s="48"/>
      <c r="Y133" s="48"/>
      <c r="Z133" s="48"/>
      <c r="AA133" s="48"/>
      <c r="AB133" s="48"/>
      <c r="AC133" s="51"/>
      <c r="AD133" s="263"/>
      <c r="AE133" s="48"/>
      <c r="AF133" s="48"/>
      <c r="AG133" s="48"/>
      <c r="AH133" s="48"/>
      <c r="AI133" s="48"/>
      <c r="AJ133" s="48"/>
      <c r="AK133" s="48"/>
      <c r="AL133" s="48"/>
      <c r="AM133" s="48"/>
      <c r="AN133" s="48"/>
      <c r="AO133" s="51"/>
      <c r="AP133" s="294" t="str">
        <f>IFERROR(IF(SUM(F133:K133)&lt;&gt;0,SUM(F133:K133),""),"")</f>
        <v/>
      </c>
      <c r="AQ133" s="295" t="str">
        <f>IFERROR(IF(SUM(L133:Q133)&lt;&gt;0,SUM(L133:Q133),""),"")</f>
        <v/>
      </c>
      <c r="AR133" s="294" t="str">
        <f>IFERROR(IF(SUM(R133:W133)&lt;&gt;0,SUM(R133:W133),""),"")</f>
        <v/>
      </c>
      <c r="AS133" s="295" t="str">
        <f>IFERROR(IF(SUM(X133:AC133)&lt;&gt;0,SUM(X133:AC133),""),"")</f>
        <v/>
      </c>
      <c r="AT133" s="294" t="str">
        <f>IFERROR(IF(SUM(AD133:AI133)&lt;&gt;0,SUM(AD133:AI133),""),"")</f>
        <v/>
      </c>
      <c r="AU133" s="295" t="str">
        <f>IFERROR(IF(SUM(AJ133:AO133)&lt;&gt;0,SUM(AJ133:AO133),""),"")</f>
        <v/>
      </c>
      <c r="AV133" s="47"/>
      <c r="AW133" s="51"/>
      <c r="AX133" s="47"/>
      <c r="AY133" s="51"/>
      <c r="AZ133" s="47"/>
      <c r="BA133" s="51"/>
      <c r="BB133" s="47"/>
      <c r="BC133" s="51"/>
      <c r="BD133" s="47"/>
      <c r="BE133" s="263"/>
      <c r="BF133" s="271" t="str">
        <f>IFERROR(IF(AVERAGE(AP133:AQ133)&lt;&gt;0,AVERAGE(AP133:AQ133),""),"")</f>
        <v/>
      </c>
      <c r="BG133" s="271" t="str">
        <f>IFERROR(IF(AVERAGE(AR133:AS133)&lt;&gt;0,AVERAGE(AR133:AS133),""),"")</f>
        <v/>
      </c>
      <c r="BH133" s="271" t="str">
        <f>IFERROR(IF(AVERAGE(AT133:AU133)&lt;&gt;0,AVERAGE(AT133:AU133),""),"")</f>
        <v/>
      </c>
      <c r="BI133" s="271" t="str">
        <f>IFERROR(IF(AVERAGE(AV133:AW133)&lt;&gt;0,AVERAGE(AV133:AW133),""),"")</f>
        <v/>
      </c>
      <c r="BJ133" s="271" t="str">
        <f>IFERROR(IF(AVERAGE(AX133:AY133)&lt;&gt;0,AVERAGE(AX133:AY133),""),"")</f>
        <v/>
      </c>
      <c r="BK133" s="271" t="str">
        <f>IFERROR(IF(AVERAGE(AZ133:BA133)&lt;&gt;0,AVERAGE(AZ133:BA133),""),"")</f>
        <v/>
      </c>
      <c r="BL133" s="271" t="str">
        <f>IFERROR(IF(AVERAGE(BB133:BC133)&lt;&gt;0,AVERAGE(BB133:BC133),""),"")</f>
        <v/>
      </c>
      <c r="BM133" s="271" t="str">
        <f>IFERROR(IF(AVERAGE(BD133:BE133)&lt;&gt;0,AVERAGE(BD133:BE133),""),"")</f>
        <v/>
      </c>
    </row>
    <row r="134" spans="1:65" s="102" customFormat="1" ht="14.25" customHeight="1" outlineLevel="2" x14ac:dyDescent="0.2">
      <c r="A134" s="320" t="s">
        <v>226</v>
      </c>
      <c r="B134" s="347"/>
      <c r="C134" s="350"/>
      <c r="D134" s="344"/>
      <c r="E134" s="279" t="s">
        <v>28</v>
      </c>
      <c r="F134" s="52"/>
      <c r="G134" s="53"/>
      <c r="H134" s="53"/>
      <c r="I134" s="53"/>
      <c r="J134" s="53"/>
      <c r="K134" s="53"/>
      <c r="L134" s="53"/>
      <c r="M134" s="53"/>
      <c r="N134" s="53"/>
      <c r="O134" s="53"/>
      <c r="P134" s="53"/>
      <c r="Q134" s="54"/>
      <c r="R134" s="52"/>
      <c r="S134" s="53"/>
      <c r="T134" s="53"/>
      <c r="U134" s="53"/>
      <c r="V134" s="53"/>
      <c r="W134" s="53"/>
      <c r="X134" s="53"/>
      <c r="Y134" s="53"/>
      <c r="Z134" s="53"/>
      <c r="AA134" s="53"/>
      <c r="AB134" s="53"/>
      <c r="AC134" s="54"/>
      <c r="AD134" s="264"/>
      <c r="AE134" s="53"/>
      <c r="AF134" s="53"/>
      <c r="AG134" s="53"/>
      <c r="AH134" s="53"/>
      <c r="AI134" s="53"/>
      <c r="AJ134" s="53"/>
      <c r="AK134" s="53"/>
      <c r="AL134" s="53"/>
      <c r="AM134" s="53"/>
      <c r="AN134" s="53"/>
      <c r="AO134" s="54"/>
      <c r="AP134" s="225" t="str">
        <f>IFERROR(IF(AVERAGE(F134:K134)&lt;&gt;0,AVERAGE(F134:K134),""),"")</f>
        <v/>
      </c>
      <c r="AQ134" s="226" t="str">
        <f>IFERROR(IF(AVERAGE(L134:Q134)&lt;&gt;0,AVERAGE(L134:Q134),""),"")</f>
        <v/>
      </c>
      <c r="AR134" s="225" t="str">
        <f>IFERROR(IF(AVERAGE(R134:W134)&lt;&gt;0,AVERAGE(R134:W134),""),"")</f>
        <v/>
      </c>
      <c r="AS134" s="226" t="str">
        <f>IFERROR(IF(AVERAGE(X134:AC134)&lt;&gt;0,AVERAGE(X134:AC134),""),"")</f>
        <v/>
      </c>
      <c r="AT134" s="225" t="str">
        <f>IFERROR(IF(AVERAGE(AD134:AI134)&lt;&gt;0,AVERAGE(AD134:AI134),""),"")</f>
        <v/>
      </c>
      <c r="AU134" s="226" t="str">
        <f>IFERROR(IF(AVERAGE(AJ134:AO134)&lt;&gt;0,AVERAGE(AJ134:AO134),""),"")</f>
        <v/>
      </c>
      <c r="AV134" s="70"/>
      <c r="AW134" s="53"/>
      <c r="AX134" s="70"/>
      <c r="AY134" s="53"/>
      <c r="AZ134" s="70"/>
      <c r="BA134" s="53"/>
      <c r="BB134" s="70"/>
      <c r="BC134" s="53"/>
      <c r="BD134" s="70"/>
      <c r="BE134" s="264"/>
      <c r="BF134" s="272" t="str">
        <f>IFERROR(IF(AVERAGE(AP134:AQ134)&lt;&gt;0,AVERAGE(AP134:AQ134),""),"")</f>
        <v/>
      </c>
      <c r="BG134" s="272" t="str">
        <f>IFERROR(IF(AVERAGE(AR134:AS134)&lt;&gt;0,AVERAGE(AR134:AS134),""),"")</f>
        <v/>
      </c>
      <c r="BH134" s="272" t="str">
        <f>IFERROR(IF(AVERAGE(AT134:AU134)&lt;&gt;0,AVERAGE(AT134:AU134),""),"")</f>
        <v/>
      </c>
      <c r="BI134" s="272" t="str">
        <f>IFERROR(IF(AVERAGE(AV134:AW134)&lt;&gt;0,AVERAGE(AV134:AW134),""),"")</f>
        <v/>
      </c>
      <c r="BJ134" s="272" t="str">
        <f>IFERROR(IF(AVERAGE(AX134:AY134)&lt;&gt;0,AVERAGE(AX134:AY134),""),"")</f>
        <v/>
      </c>
      <c r="BK134" s="272" t="str">
        <f>IFERROR(IF(AVERAGE(AZ134:BA134)&lt;&gt;0,AVERAGE(AZ134:BA134),""),"")</f>
        <v/>
      </c>
      <c r="BL134" s="272" t="str">
        <f>IFERROR(IF(AVERAGE(BB134:BC134)&lt;&gt;0,AVERAGE(BB134:BC134),""),"")</f>
        <v/>
      </c>
      <c r="BM134" s="272" t="str">
        <f>IFERROR(IF(AVERAGE(BD134:BE134)&lt;&gt;0,AVERAGE(BD134:BE134),""),"")</f>
        <v/>
      </c>
    </row>
    <row r="135" spans="1:65" s="102" customFormat="1" ht="15" customHeight="1" outlineLevel="2" thickBot="1" x14ac:dyDescent="0.25">
      <c r="A135" s="320" t="s">
        <v>226</v>
      </c>
      <c r="B135" s="347"/>
      <c r="C135" s="350"/>
      <c r="D135" s="344"/>
      <c r="E135" s="278" t="s">
        <v>30</v>
      </c>
      <c r="F135" s="55"/>
      <c r="G135" s="56"/>
      <c r="H135" s="56"/>
      <c r="I135" s="56"/>
      <c r="J135" s="56"/>
      <c r="K135" s="56"/>
      <c r="L135" s="56"/>
      <c r="M135" s="56"/>
      <c r="N135" s="56"/>
      <c r="O135" s="56"/>
      <c r="P135" s="56"/>
      <c r="Q135" s="57"/>
      <c r="R135" s="55"/>
      <c r="S135" s="56"/>
      <c r="T135" s="56"/>
      <c r="U135" s="56"/>
      <c r="V135" s="56"/>
      <c r="W135" s="56"/>
      <c r="X135" s="56"/>
      <c r="Y135" s="56"/>
      <c r="Z135" s="56"/>
      <c r="AA135" s="56"/>
      <c r="AB135" s="56"/>
      <c r="AC135" s="57"/>
      <c r="AD135" s="265"/>
      <c r="AE135" s="56"/>
      <c r="AF135" s="56"/>
      <c r="AG135" s="56"/>
      <c r="AH135" s="56"/>
      <c r="AI135" s="56"/>
      <c r="AJ135" s="56"/>
      <c r="AK135" s="56"/>
      <c r="AL135" s="56"/>
      <c r="AM135" s="56"/>
      <c r="AN135" s="56"/>
      <c r="AO135" s="57"/>
      <c r="AP135" s="227" t="str">
        <f>IFERROR(IF(AVERAGE(F135:K135)&lt;&gt;0,AVERAGE(F135:K135),""),"")</f>
        <v/>
      </c>
      <c r="AQ135" s="228" t="str">
        <f>IFERROR(IF(AVERAGE(L135:Q135)&lt;&gt;0,AVERAGE(L135:Q135),""),"")</f>
        <v/>
      </c>
      <c r="AR135" s="227" t="str">
        <f>IFERROR(IF(AVERAGE(R135:W135)&lt;&gt;0,AVERAGE(R135:W135),""),"")</f>
        <v/>
      </c>
      <c r="AS135" s="228" t="str">
        <f>IFERROR(IF(AVERAGE(X135:AC135)&lt;&gt;0,AVERAGE(X135:AC135),""),"")</f>
        <v/>
      </c>
      <c r="AT135" s="227" t="str">
        <f>IFERROR(IF(AVERAGE(AD135:AI135)&lt;&gt;0,AVERAGE(AD135:AI135),""),"")</f>
        <v/>
      </c>
      <c r="AU135" s="228" t="str">
        <f>IFERROR(IF(AVERAGE(AJ135:AO135)&lt;&gt;0,AVERAGE(AJ135:AO135),""),"")</f>
        <v/>
      </c>
      <c r="AV135" s="71"/>
      <c r="AW135" s="56"/>
      <c r="AX135" s="71"/>
      <c r="AY135" s="56"/>
      <c r="AZ135" s="71"/>
      <c r="BA135" s="56"/>
      <c r="BB135" s="71"/>
      <c r="BC135" s="56"/>
      <c r="BD135" s="71"/>
      <c r="BE135" s="265"/>
      <c r="BF135" s="273" t="str">
        <f>IFERROR(IF(AVERAGE(AP135:AQ135)&lt;&gt;0,AVERAGE(AP135:AQ135),""),"")</f>
        <v/>
      </c>
      <c r="BG135" s="273" t="str">
        <f>IFERROR(IF(AVERAGE(AR135:AS135)&lt;&gt;0,AVERAGE(AR135:AS135),""),"")</f>
        <v/>
      </c>
      <c r="BH135" s="273" t="str">
        <f>IFERROR(IF(AVERAGE(AT135:AU135)&lt;&gt;0,AVERAGE(AT135:AU135),""),"")</f>
        <v/>
      </c>
      <c r="BI135" s="273" t="str">
        <f>IFERROR(IF(AVERAGE(AV135:AW135)&lt;&gt;0,AVERAGE(AV135:AW135),""),"")</f>
        <v/>
      </c>
      <c r="BJ135" s="273" t="str">
        <f>IFERROR(IF(AVERAGE(AX135:AY135)&lt;&gt;0,AVERAGE(AX135:AY135),""),"")</f>
        <v/>
      </c>
      <c r="BK135" s="273" t="str">
        <f>IFERROR(IF(AVERAGE(AZ135:BA135)&lt;&gt;0,AVERAGE(AZ135:BA135),""),"")</f>
        <v/>
      </c>
      <c r="BL135" s="273" t="str">
        <f>IFERROR(IF(AVERAGE(BB135:BC135)&lt;&gt;0,AVERAGE(BB135:BC135),""),"")</f>
        <v/>
      </c>
      <c r="BM135" s="273" t="str">
        <f>IFERROR(IF(AVERAGE(BD135:BE135)&lt;&gt;0,AVERAGE(BD135:BE135),""),"")</f>
        <v/>
      </c>
    </row>
    <row r="136" spans="1:65" s="102" customFormat="1" ht="14.25" customHeight="1" outlineLevel="2" x14ac:dyDescent="0.2">
      <c r="A136" s="320" t="s">
        <v>226</v>
      </c>
      <c r="B136" s="347"/>
      <c r="C136" s="350"/>
      <c r="D136" s="344"/>
      <c r="E136" s="279" t="s">
        <v>25</v>
      </c>
      <c r="F136" s="58"/>
      <c r="G136" s="50"/>
      <c r="H136" s="50"/>
      <c r="I136" s="50"/>
      <c r="J136" s="50"/>
      <c r="K136" s="50"/>
      <c r="L136" s="50"/>
      <c r="M136" s="50"/>
      <c r="N136" s="50"/>
      <c r="O136" s="50"/>
      <c r="P136" s="50"/>
      <c r="Q136" s="59"/>
      <c r="R136" s="58"/>
      <c r="S136" s="50"/>
      <c r="T136" s="50"/>
      <c r="U136" s="50"/>
      <c r="V136" s="50"/>
      <c r="W136" s="50"/>
      <c r="X136" s="50"/>
      <c r="Y136" s="50"/>
      <c r="Z136" s="50"/>
      <c r="AA136" s="50"/>
      <c r="AB136" s="50"/>
      <c r="AC136" s="59"/>
      <c r="AD136" s="319"/>
      <c r="AE136" s="50"/>
      <c r="AF136" s="50"/>
      <c r="AG136" s="50"/>
      <c r="AH136" s="50"/>
      <c r="AI136" s="50"/>
      <c r="AJ136" s="50"/>
      <c r="AK136" s="50"/>
      <c r="AL136" s="50"/>
      <c r="AM136" s="50"/>
      <c r="AN136" s="50"/>
      <c r="AO136" s="59"/>
      <c r="AP136" s="229" t="str">
        <f>IFERROR(IF(SUM(F136:K136)&lt;&gt;0,SUM(F136:K136),""),"")</f>
        <v/>
      </c>
      <c r="AQ136" s="230" t="str">
        <f>IFERROR(IF(SUM(L136:Q136)&lt;&gt;0,SUM(L136:Q136),""),"")</f>
        <v/>
      </c>
      <c r="AR136" s="229" t="str">
        <f>IFERROR(IF(SUM(R136:W136)&lt;&gt;0,SUM(R136:W136),""),"")</f>
        <v/>
      </c>
      <c r="AS136" s="230" t="str">
        <f>IFERROR(IF(SUM(X136:AC136)&lt;&gt;0,SUM(X136:AC136),""),"")</f>
        <v/>
      </c>
      <c r="AT136" s="229" t="str">
        <f>IFERROR(IF(SUM(AD136:AI136)&lt;&gt;0,SUM(AD136:AI136),""),"")</f>
        <v/>
      </c>
      <c r="AU136" s="230" t="str">
        <f>IFERROR(IF(SUM(AJ136:AO136)&lt;&gt;0,SUM(AJ136:AO136),""),"")</f>
        <v/>
      </c>
      <c r="AV136" s="72"/>
      <c r="AW136" s="73"/>
      <c r="AX136" s="72"/>
      <c r="AY136" s="73"/>
      <c r="AZ136" s="72"/>
      <c r="BA136" s="73"/>
      <c r="BB136" s="72"/>
      <c r="BC136" s="73"/>
      <c r="BD136" s="72"/>
      <c r="BE136" s="266"/>
      <c r="BF136" s="286" t="e">
        <f t="shared" ref="BF136:BF139" si="755">IF(SUM(AP136,AQ136)&lt;&gt;0,SUM(AP136,AQ136),#N/A)</f>
        <v>#N/A</v>
      </c>
      <c r="BG136" s="286" t="e">
        <f t="shared" ref="BG136:BG139" si="756">IF(SUM(AR136,AS136)&lt;&gt;0,SUM(AR136,AS136),#N/A)</f>
        <v>#N/A</v>
      </c>
      <c r="BH136" s="286" t="e">
        <f t="shared" ref="BH136:BH139" si="757">IF(SUM(AT136,AU136)&lt;&gt;0,SUM(AT136,AU136),#N/A)</f>
        <v>#N/A</v>
      </c>
      <c r="BI136" s="286" t="e">
        <f t="shared" ref="BI136:BI139" si="758">IF(SUM(AV136,AW136)&lt;&gt;0,SUM(AV136,AW136),#N/A)</f>
        <v>#N/A</v>
      </c>
      <c r="BJ136" s="286" t="e">
        <f t="shared" ref="BJ136:BJ139" si="759">IF(SUM(AX136,AY136)&lt;&gt;0,SUM(AX136,AY136),#N/A)</f>
        <v>#N/A</v>
      </c>
      <c r="BK136" s="286" t="e">
        <f t="shared" ref="BK136:BK139" si="760">IF(SUM(AZ136,BA136)&lt;&gt;0,SUM(AZ136,BA136),#N/A)</f>
        <v>#N/A</v>
      </c>
      <c r="BL136" s="286" t="e">
        <f t="shared" ref="BL136:BL139" si="761">IF(SUM(BB136,BC136)&lt;&gt;0,SUM(BB136,BC136),#N/A)</f>
        <v>#N/A</v>
      </c>
      <c r="BM136" s="286" t="e">
        <f t="shared" ref="BM136:BM139" si="762">IF(SUM(BD136,BE136)&lt;&gt;0,SUM(BD136,BE136),#N/A)</f>
        <v>#N/A</v>
      </c>
    </row>
    <row r="137" spans="1:65" s="102" customFormat="1" ht="14.25" customHeight="1" outlineLevel="2" x14ac:dyDescent="0.2">
      <c r="A137" s="320" t="s">
        <v>226</v>
      </c>
      <c r="B137" s="347"/>
      <c r="C137" s="350"/>
      <c r="D137" s="344"/>
      <c r="E137" s="280" t="s">
        <v>26</v>
      </c>
      <c r="F137" s="60"/>
      <c r="G137" s="61"/>
      <c r="H137" s="61"/>
      <c r="I137" s="61"/>
      <c r="J137" s="61"/>
      <c r="K137" s="61"/>
      <c r="L137" s="61"/>
      <c r="M137" s="61"/>
      <c r="N137" s="61"/>
      <c r="O137" s="61"/>
      <c r="P137" s="61"/>
      <c r="Q137" s="62"/>
      <c r="R137" s="60"/>
      <c r="S137" s="61"/>
      <c r="T137" s="61"/>
      <c r="U137" s="61"/>
      <c r="V137" s="61"/>
      <c r="W137" s="61"/>
      <c r="X137" s="61"/>
      <c r="Y137" s="61"/>
      <c r="Z137" s="61"/>
      <c r="AA137" s="61"/>
      <c r="AB137" s="61"/>
      <c r="AC137" s="62"/>
      <c r="AD137" s="267"/>
      <c r="AE137" s="61"/>
      <c r="AF137" s="61"/>
      <c r="AG137" s="61"/>
      <c r="AH137" s="61"/>
      <c r="AI137" s="61"/>
      <c r="AJ137" s="61"/>
      <c r="AK137" s="61"/>
      <c r="AL137" s="61"/>
      <c r="AM137" s="61"/>
      <c r="AN137" s="61"/>
      <c r="AO137" s="62"/>
      <c r="AP137" s="231" t="str">
        <f>IFERROR(IF(SUM(F137:K137)&lt;&gt;0,SUM(F137:K137),""),"")</f>
        <v/>
      </c>
      <c r="AQ137" s="232" t="str">
        <f>IFERROR(IF(SUM(L137:Q137)&lt;&gt;0,SUM(L137:Q137),""),"")</f>
        <v/>
      </c>
      <c r="AR137" s="231" t="str">
        <f>IFERROR(IF(SUM(R137:W137)&lt;&gt;0,SUM(R137:W137),""),"")</f>
        <v/>
      </c>
      <c r="AS137" s="232" t="str">
        <f>IFERROR(IF(SUM(X137:AC137)&lt;&gt;0,SUM(X137:AC137),""),"")</f>
        <v/>
      </c>
      <c r="AT137" s="231" t="str">
        <f>IFERROR(IF(SUM(AD137:AI137)&lt;&gt;0,SUM(AD137:AI137),""),"")</f>
        <v/>
      </c>
      <c r="AU137" s="232" t="str">
        <f>IFERROR(IF(SUM(AJ137:AO137)&lt;&gt;0,SUM(AJ137:AO137),""),"")</f>
        <v/>
      </c>
      <c r="AV137" s="74"/>
      <c r="AW137" s="61"/>
      <c r="AX137" s="74"/>
      <c r="AY137" s="61"/>
      <c r="AZ137" s="74"/>
      <c r="BA137" s="61"/>
      <c r="BB137" s="74"/>
      <c r="BC137" s="61"/>
      <c r="BD137" s="74"/>
      <c r="BE137" s="267"/>
      <c r="BF137" s="287" t="e">
        <f t="shared" si="755"/>
        <v>#N/A</v>
      </c>
      <c r="BG137" s="287" t="e">
        <f t="shared" si="756"/>
        <v>#N/A</v>
      </c>
      <c r="BH137" s="287" t="e">
        <f t="shared" si="757"/>
        <v>#N/A</v>
      </c>
      <c r="BI137" s="287" t="e">
        <f t="shared" si="758"/>
        <v>#N/A</v>
      </c>
      <c r="BJ137" s="287" t="e">
        <f t="shared" si="759"/>
        <v>#N/A</v>
      </c>
      <c r="BK137" s="287" t="e">
        <f t="shared" si="760"/>
        <v>#N/A</v>
      </c>
      <c r="BL137" s="287" t="e">
        <f t="shared" si="761"/>
        <v>#N/A</v>
      </c>
      <c r="BM137" s="287" t="e">
        <f t="shared" si="762"/>
        <v>#N/A</v>
      </c>
    </row>
    <row r="138" spans="1:65" s="102" customFormat="1" ht="14.25" customHeight="1" outlineLevel="2" x14ac:dyDescent="0.2">
      <c r="A138" s="320" t="s">
        <v>226</v>
      </c>
      <c r="B138" s="347"/>
      <c r="C138" s="350"/>
      <c r="D138" s="344"/>
      <c r="E138" s="280" t="s">
        <v>27</v>
      </c>
      <c r="F138" s="60"/>
      <c r="G138" s="61"/>
      <c r="H138" s="61"/>
      <c r="I138" s="61"/>
      <c r="J138" s="61"/>
      <c r="K138" s="61"/>
      <c r="L138" s="61"/>
      <c r="M138" s="61"/>
      <c r="N138" s="61"/>
      <c r="O138" s="61"/>
      <c r="P138" s="61"/>
      <c r="Q138" s="62"/>
      <c r="R138" s="60"/>
      <c r="S138" s="61"/>
      <c r="T138" s="61"/>
      <c r="U138" s="61"/>
      <c r="V138" s="61"/>
      <c r="W138" s="61"/>
      <c r="X138" s="61"/>
      <c r="Y138" s="61"/>
      <c r="Z138" s="61"/>
      <c r="AA138" s="61"/>
      <c r="AB138" s="61"/>
      <c r="AC138" s="62"/>
      <c r="AD138" s="267"/>
      <c r="AE138" s="61"/>
      <c r="AF138" s="61"/>
      <c r="AG138" s="61"/>
      <c r="AH138" s="61"/>
      <c r="AI138" s="61"/>
      <c r="AJ138" s="61"/>
      <c r="AK138" s="61"/>
      <c r="AL138" s="61"/>
      <c r="AM138" s="61"/>
      <c r="AN138" s="61"/>
      <c r="AO138" s="62"/>
      <c r="AP138" s="231" t="str">
        <f>IFERROR(IF(SUM(F138:K138)&lt;&gt;0,SUM(F138:K138),""),"")</f>
        <v/>
      </c>
      <c r="AQ138" s="232" t="str">
        <f>IFERROR(IF(SUM(L138:Q138)&lt;&gt;0,SUM(L138:Q138),""),"")</f>
        <v/>
      </c>
      <c r="AR138" s="231" t="str">
        <f>IFERROR(IF(SUM(R138:W138)&lt;&gt;0,SUM(R138:W138),""),"")</f>
        <v/>
      </c>
      <c r="AS138" s="232" t="str">
        <f>IFERROR(IF(SUM(X138:AC138)&lt;&gt;0,SUM(X138:AC138),""),"")</f>
        <v/>
      </c>
      <c r="AT138" s="231" t="str">
        <f>IFERROR(IF(SUM(AD138:AI138)&lt;&gt;0,SUM(AD138:AI138),""),"")</f>
        <v/>
      </c>
      <c r="AU138" s="232" t="str">
        <f>IFERROR(IF(SUM(AJ138:AO138)&lt;&gt;0,SUM(AJ138:AO138),""),"")</f>
        <v/>
      </c>
      <c r="AV138" s="74"/>
      <c r="AW138" s="61"/>
      <c r="AX138" s="74"/>
      <c r="AY138" s="61"/>
      <c r="AZ138" s="74"/>
      <c r="BA138" s="61"/>
      <c r="BB138" s="74"/>
      <c r="BC138" s="61"/>
      <c r="BD138" s="74"/>
      <c r="BE138" s="267"/>
      <c r="BF138" s="287" t="e">
        <f t="shared" si="755"/>
        <v>#N/A</v>
      </c>
      <c r="BG138" s="287" t="e">
        <f t="shared" si="756"/>
        <v>#N/A</v>
      </c>
      <c r="BH138" s="287" t="e">
        <f t="shared" si="757"/>
        <v>#N/A</v>
      </c>
      <c r="BI138" s="287" t="e">
        <f t="shared" si="758"/>
        <v>#N/A</v>
      </c>
      <c r="BJ138" s="287" t="e">
        <f t="shared" si="759"/>
        <v>#N/A</v>
      </c>
      <c r="BK138" s="287" t="e">
        <f t="shared" si="760"/>
        <v>#N/A</v>
      </c>
      <c r="BL138" s="287" t="e">
        <f t="shared" si="761"/>
        <v>#N/A</v>
      </c>
      <c r="BM138" s="287" t="e">
        <f t="shared" si="762"/>
        <v>#N/A</v>
      </c>
    </row>
    <row r="139" spans="1:65" s="102" customFormat="1" ht="15" customHeight="1" outlineLevel="2" thickBot="1" x14ac:dyDescent="0.25">
      <c r="A139" s="320" t="s">
        <v>226</v>
      </c>
      <c r="B139" s="347"/>
      <c r="C139" s="350"/>
      <c r="D139" s="344"/>
      <c r="E139" s="281" t="s">
        <v>88</v>
      </c>
      <c r="F139" s="63"/>
      <c r="G139" s="48"/>
      <c r="H139" s="48"/>
      <c r="I139" s="48"/>
      <c r="J139" s="48"/>
      <c r="K139" s="48"/>
      <c r="L139" s="48"/>
      <c r="M139" s="48"/>
      <c r="N139" s="48"/>
      <c r="O139" s="48"/>
      <c r="P139" s="48"/>
      <c r="Q139" s="51"/>
      <c r="R139" s="63"/>
      <c r="S139" s="48"/>
      <c r="T139" s="48"/>
      <c r="U139" s="48"/>
      <c r="V139" s="48"/>
      <c r="W139" s="48"/>
      <c r="X139" s="48"/>
      <c r="Y139" s="48"/>
      <c r="Z139" s="48"/>
      <c r="AA139" s="48"/>
      <c r="AB139" s="48"/>
      <c r="AC139" s="51"/>
      <c r="AD139" s="263"/>
      <c r="AE139" s="48"/>
      <c r="AF139" s="48"/>
      <c r="AG139" s="48"/>
      <c r="AH139" s="48"/>
      <c r="AI139" s="48"/>
      <c r="AJ139" s="48"/>
      <c r="AK139" s="48"/>
      <c r="AL139" s="48"/>
      <c r="AM139" s="48"/>
      <c r="AN139" s="48"/>
      <c r="AO139" s="51"/>
      <c r="AP139" s="233" t="str">
        <f>IFERROR(IF(SUM(F139:K139)&lt;&gt;0,SUM(F139:K139),""),"")</f>
        <v/>
      </c>
      <c r="AQ139" s="234" t="str">
        <f>IFERROR(IF(SUM(L139:Q139)&lt;&gt;0,SUM(L139:Q139),""),"")</f>
        <v/>
      </c>
      <c r="AR139" s="233" t="str">
        <f>IFERROR(IF(SUM(R139:W139)&lt;&gt;0,SUM(R139:W139),""),"")</f>
        <v/>
      </c>
      <c r="AS139" s="234" t="str">
        <f>IFERROR(IF(SUM(X139:AC139)&lt;&gt;0,SUM(X139:AC139),""),"")</f>
        <v/>
      </c>
      <c r="AT139" s="233" t="str">
        <f>IFERROR(IF(SUM(AD139:AI139)&lt;&gt;0,SUM(AD139:AI139),""),"")</f>
        <v/>
      </c>
      <c r="AU139" s="234" t="str">
        <f>IFERROR(IF(SUM(AJ139:AO139)&lt;&gt;0,SUM(AJ139:AO139),""),"")</f>
        <v/>
      </c>
      <c r="AV139" s="75"/>
      <c r="AW139" s="76"/>
      <c r="AX139" s="75"/>
      <c r="AY139" s="76"/>
      <c r="AZ139" s="75"/>
      <c r="BA139" s="76"/>
      <c r="BB139" s="75"/>
      <c r="BC139" s="76"/>
      <c r="BD139" s="75"/>
      <c r="BE139" s="268"/>
      <c r="BF139" s="271" t="e">
        <f t="shared" si="755"/>
        <v>#N/A</v>
      </c>
      <c r="BG139" s="271" t="e">
        <f t="shared" si="756"/>
        <v>#N/A</v>
      </c>
      <c r="BH139" s="271" t="e">
        <f t="shared" si="757"/>
        <v>#N/A</v>
      </c>
      <c r="BI139" s="271" t="e">
        <f t="shared" si="758"/>
        <v>#N/A</v>
      </c>
      <c r="BJ139" s="271" t="e">
        <f t="shared" si="759"/>
        <v>#N/A</v>
      </c>
      <c r="BK139" s="271" t="e">
        <f t="shared" si="760"/>
        <v>#N/A</v>
      </c>
      <c r="BL139" s="271" t="e">
        <f t="shared" si="761"/>
        <v>#N/A</v>
      </c>
      <c r="BM139" s="271" t="e">
        <f t="shared" si="762"/>
        <v>#N/A</v>
      </c>
    </row>
    <row r="140" spans="1:65" s="102" customFormat="1" ht="14.25" customHeight="1" outlineLevel="2" x14ac:dyDescent="0.2">
      <c r="A140" s="320" t="s">
        <v>226</v>
      </c>
      <c r="B140" s="347"/>
      <c r="C140" s="350"/>
      <c r="D140" s="344"/>
      <c r="E140" s="279" t="s">
        <v>32</v>
      </c>
      <c r="F140" s="64"/>
      <c r="G140" s="65"/>
      <c r="H140" s="65"/>
      <c r="I140" s="65"/>
      <c r="J140" s="65"/>
      <c r="K140" s="65"/>
      <c r="L140" s="65"/>
      <c r="M140" s="65"/>
      <c r="N140" s="65"/>
      <c r="O140" s="65"/>
      <c r="P140" s="65"/>
      <c r="Q140" s="66"/>
      <c r="R140" s="64"/>
      <c r="S140" s="65"/>
      <c r="T140" s="65"/>
      <c r="U140" s="65"/>
      <c r="V140" s="65"/>
      <c r="W140" s="65"/>
      <c r="X140" s="65"/>
      <c r="Y140" s="65"/>
      <c r="Z140" s="65"/>
      <c r="AA140" s="65"/>
      <c r="AB140" s="65"/>
      <c r="AC140" s="66"/>
      <c r="AD140" s="269"/>
      <c r="AE140" s="65"/>
      <c r="AF140" s="65"/>
      <c r="AG140" s="65"/>
      <c r="AH140" s="65"/>
      <c r="AI140" s="65"/>
      <c r="AJ140" s="65"/>
      <c r="AK140" s="65"/>
      <c r="AL140" s="65"/>
      <c r="AM140" s="65"/>
      <c r="AN140" s="65"/>
      <c r="AO140" s="66"/>
      <c r="AP140" s="32" t="str">
        <f>IFERROR(IF(AVERAGE(F140:K140)&lt;&gt;0,AVERAGE(F140:K140),""),"")</f>
        <v/>
      </c>
      <c r="AQ140" s="235" t="str">
        <f>IFERROR(IF(AVERAGE(L140:Q140)&lt;&gt;0,AVERAGE(L140:Q140),""),"")</f>
        <v/>
      </c>
      <c r="AR140" s="32" t="str">
        <f>IFERROR(IF(AVERAGE(R140:W140)&lt;&gt;0,AVERAGE(R140:W140),""),"")</f>
        <v/>
      </c>
      <c r="AS140" s="235" t="str">
        <f>IFERROR(IF(AVERAGE(X140:AC140)&lt;&gt;0,AVERAGE(X140:AC140),""),"")</f>
        <v/>
      </c>
      <c r="AT140" s="32" t="str">
        <f>IFERROR(IF(AVERAGE(AD140:AI140)&lt;&gt;0,AVERAGE(AD140:AI140),""),"")</f>
        <v/>
      </c>
      <c r="AU140" s="235" t="str">
        <f>IFERROR(IF(AVERAGE(AJ140:AO140)&lt;&gt;0,AVERAGE(AJ140:AO140),""),"")</f>
        <v/>
      </c>
      <c r="AV140" s="77"/>
      <c r="AW140" s="65"/>
      <c r="AX140" s="77"/>
      <c r="AY140" s="65"/>
      <c r="AZ140" s="77"/>
      <c r="BA140" s="65"/>
      <c r="BB140" s="77"/>
      <c r="BC140" s="65"/>
      <c r="BD140" s="77"/>
      <c r="BE140" s="269"/>
      <c r="BF140" s="272" t="str">
        <f>IFERROR(IF(AVERAGE(AP140:AQ140)&lt;&gt;0,AVERAGE(AP140:AQ140),""),"")</f>
        <v/>
      </c>
      <c r="BG140" s="272" t="str">
        <f>IFERROR(IF(AVERAGE(AR140:AS140)&lt;&gt;0,AVERAGE(AR140:AS140),""),"")</f>
        <v/>
      </c>
      <c r="BH140" s="272" t="str">
        <f>IFERROR(IF(AVERAGE(AT140:AU140)&lt;&gt;0,AVERAGE(AT140:AU140),""),"")</f>
        <v/>
      </c>
      <c r="BI140" s="272" t="str">
        <f>IFERROR(IF(AVERAGE(AV140:AW140)&lt;&gt;0,AVERAGE(AV140:AW140),""),"")</f>
        <v/>
      </c>
      <c r="BJ140" s="272" t="str">
        <f>IFERROR(IF(AVERAGE(AX140:AY140)&lt;&gt;0,AVERAGE(AX140:AY140),""),"")</f>
        <v/>
      </c>
      <c r="BK140" s="272" t="str">
        <f>IFERROR(IF(AVERAGE(AZ140:BA140)&lt;&gt;0,AVERAGE(AZ140:BA140),""),"")</f>
        <v/>
      </c>
      <c r="BL140" s="272" t="str">
        <f>IFERROR(IF(AVERAGE(BB140:BC140)&lt;&gt;0,AVERAGE(BB140:BC140),""),"")</f>
        <v/>
      </c>
      <c r="BM140" s="272" t="str">
        <f>IFERROR(IF(AVERAGE(BD140:BE140)&lt;&gt;0,AVERAGE(BD140:BE140),""),"")</f>
        <v/>
      </c>
    </row>
    <row r="141" spans="1:65" s="102" customFormat="1" ht="15" customHeight="1" outlineLevel="2" thickBot="1" x14ac:dyDescent="0.25">
      <c r="A141" s="320" t="s">
        <v>226</v>
      </c>
      <c r="B141" s="347"/>
      <c r="C141" s="350"/>
      <c r="D141" s="344"/>
      <c r="E141" s="281" t="s">
        <v>2</v>
      </c>
      <c r="F141" s="67"/>
      <c r="G141" s="68"/>
      <c r="H141" s="68"/>
      <c r="I141" s="68"/>
      <c r="J141" s="68"/>
      <c r="K141" s="68"/>
      <c r="L141" s="68"/>
      <c r="M141" s="68"/>
      <c r="N141" s="68"/>
      <c r="O141" s="68"/>
      <c r="P141" s="68"/>
      <c r="Q141" s="69"/>
      <c r="R141" s="67"/>
      <c r="S141" s="68"/>
      <c r="T141" s="68"/>
      <c r="U141" s="68"/>
      <c r="V141" s="68"/>
      <c r="W141" s="68"/>
      <c r="X141" s="68"/>
      <c r="Y141" s="68"/>
      <c r="Z141" s="68"/>
      <c r="AA141" s="68"/>
      <c r="AB141" s="68"/>
      <c r="AC141" s="69"/>
      <c r="AD141" s="270"/>
      <c r="AE141" s="68"/>
      <c r="AF141" s="68"/>
      <c r="AG141" s="68"/>
      <c r="AH141" s="68"/>
      <c r="AI141" s="68"/>
      <c r="AJ141" s="68"/>
      <c r="AK141" s="68"/>
      <c r="AL141" s="68"/>
      <c r="AM141" s="68"/>
      <c r="AN141" s="68"/>
      <c r="AO141" s="69"/>
      <c r="AP141" s="236" t="str">
        <f>IFERROR(IF(AVERAGE(F141:K141)&lt;&gt;0,AVERAGE(F141:K141),""),"")</f>
        <v/>
      </c>
      <c r="AQ141" s="237" t="str">
        <f>IFERROR(IF(AVERAGE(L141:Q141)&lt;&gt;0,AVERAGE(L141:Q141),""),"")</f>
        <v/>
      </c>
      <c r="AR141" s="236" t="str">
        <f>IFERROR(IF(AVERAGE(R141:W141)&lt;&gt;0,AVERAGE(R141:W141),""),"")</f>
        <v/>
      </c>
      <c r="AS141" s="237" t="str">
        <f>IFERROR(IF(AVERAGE(X141:AC141)&lt;&gt;0,AVERAGE(X141:AC141),""),"")</f>
        <v/>
      </c>
      <c r="AT141" s="236" t="str">
        <f>IFERROR(IF(AVERAGE(AD141:AI141)&lt;&gt;0,AVERAGE(AD141:AI141),""),"")</f>
        <v/>
      </c>
      <c r="AU141" s="237" t="str">
        <f>IFERROR(IF(AVERAGE(AJ141:AO141)&lt;&gt;0,AVERAGE(AJ141:AO141),""),"")</f>
        <v/>
      </c>
      <c r="AV141" s="78"/>
      <c r="AW141" s="68"/>
      <c r="AX141" s="78"/>
      <c r="AY141" s="68"/>
      <c r="AZ141" s="78"/>
      <c r="BA141" s="68"/>
      <c r="BB141" s="78"/>
      <c r="BC141" s="68"/>
      <c r="BD141" s="78"/>
      <c r="BE141" s="270"/>
      <c r="BF141" s="288" t="str">
        <f>IFERROR(IF(AVERAGE(AP141:AQ141)&lt;&gt;0,AVERAGE(AP141:AQ141),""),"")</f>
        <v/>
      </c>
      <c r="BG141" s="288" t="str">
        <f>IFERROR(IF(AVERAGE(AR141:AS141)&lt;&gt;0,AVERAGE(AR141:AS141),""),"")</f>
        <v/>
      </c>
      <c r="BH141" s="288" t="str">
        <f>IFERROR(IF(AVERAGE(AT141:AU141)&lt;&gt;0,AVERAGE(AT141:AU141),""),"")</f>
        <v/>
      </c>
      <c r="BI141" s="288" t="str">
        <f>IFERROR(IF(AVERAGE(AV141:AW141)&lt;&gt;0,AVERAGE(AV141:AW141),""),"")</f>
        <v/>
      </c>
      <c r="BJ141" s="288" t="str">
        <f>IFERROR(IF(AVERAGE(AX141:AY141)&lt;&gt;0,AVERAGE(AX141:AY141),""),"")</f>
        <v/>
      </c>
      <c r="BK141" s="288" t="str">
        <f>IFERROR(IF(AVERAGE(AZ141:BA141)&lt;&gt;0,AVERAGE(AZ141:BA141),""),"")</f>
        <v/>
      </c>
      <c r="BL141" s="288" t="str">
        <f>IFERROR(IF(AVERAGE(BB141:BC141)&lt;&gt;0,AVERAGE(BB141:BC141),""),"")</f>
        <v/>
      </c>
      <c r="BM141" s="288" t="str">
        <f>IFERROR(IF(AVERAGE(BD141:BE141)&lt;&gt;0,AVERAGE(BD141:BE141),""),"")</f>
        <v/>
      </c>
    </row>
    <row r="142" spans="1:65" s="102" customFormat="1" ht="14.25" customHeight="1" outlineLevel="1" x14ac:dyDescent="0.2">
      <c r="A142" s="320" t="s">
        <v>226</v>
      </c>
      <c r="B142" s="347"/>
      <c r="C142" s="350"/>
      <c r="D142" s="344"/>
      <c r="E142" s="282" t="s">
        <v>228</v>
      </c>
      <c r="F142" s="283" t="str">
        <f ca="1">IF(IFERROR((F$11*(F134-SUM(F136:F139)/F$11)*F141*3600)/(F140),"")&gt;0,IFERROR((F$11*(F134-SUM(F136:F139)/F$11)*F141*3600)/(F140),""),"")</f>
        <v/>
      </c>
      <c r="G142" s="284" t="str">
        <f t="shared" ref="G142:AO142" ca="1" si="763">IF(IFERROR((G$11*(G134-SUM(G136:G139)/G$11)*G141*3600)/(G140),"")&gt;0,IFERROR((G$11*(G134-SUM(G136:G139)/G$11)*G141*3600)/(G140),""),"")</f>
        <v/>
      </c>
      <c r="H142" s="284" t="str">
        <f t="shared" ca="1" si="763"/>
        <v/>
      </c>
      <c r="I142" s="284" t="str">
        <f t="shared" ca="1" si="763"/>
        <v/>
      </c>
      <c r="J142" s="284" t="str">
        <f t="shared" ca="1" si="763"/>
        <v/>
      </c>
      <c r="K142" s="284" t="str">
        <f t="shared" ca="1" si="763"/>
        <v/>
      </c>
      <c r="L142" s="284" t="str">
        <f t="shared" ca="1" si="763"/>
        <v/>
      </c>
      <c r="M142" s="284" t="str">
        <f t="shared" ca="1" si="763"/>
        <v/>
      </c>
      <c r="N142" s="284" t="str">
        <f t="shared" ca="1" si="763"/>
        <v/>
      </c>
      <c r="O142" s="284" t="str">
        <f t="shared" ca="1" si="763"/>
        <v/>
      </c>
      <c r="P142" s="284" t="str">
        <f t="shared" ca="1" si="763"/>
        <v/>
      </c>
      <c r="Q142" s="284" t="str">
        <f t="shared" ca="1" si="763"/>
        <v/>
      </c>
      <c r="R142" s="283" t="str">
        <f t="shared" ca="1" si="763"/>
        <v/>
      </c>
      <c r="S142" s="284" t="str">
        <f t="shared" ca="1" si="763"/>
        <v/>
      </c>
      <c r="T142" s="284" t="str">
        <f t="shared" ca="1" si="763"/>
        <v/>
      </c>
      <c r="U142" s="284" t="str">
        <f t="shared" ca="1" si="763"/>
        <v/>
      </c>
      <c r="V142" s="284" t="str">
        <f t="shared" ca="1" si="763"/>
        <v/>
      </c>
      <c r="W142" s="284" t="str">
        <f t="shared" ca="1" si="763"/>
        <v/>
      </c>
      <c r="X142" s="284" t="str">
        <f t="shared" ca="1" si="763"/>
        <v/>
      </c>
      <c r="Y142" s="284" t="str">
        <f t="shared" ca="1" si="763"/>
        <v/>
      </c>
      <c r="Z142" s="284" t="str">
        <f t="shared" ca="1" si="763"/>
        <v/>
      </c>
      <c r="AA142" s="284" t="str">
        <f t="shared" ca="1" si="763"/>
        <v/>
      </c>
      <c r="AB142" s="284" t="str">
        <f t="shared" ca="1" si="763"/>
        <v/>
      </c>
      <c r="AC142" s="284" t="str">
        <f t="shared" ca="1" si="763"/>
        <v/>
      </c>
      <c r="AD142" s="283" t="str">
        <f t="shared" ca="1" si="763"/>
        <v/>
      </c>
      <c r="AE142" s="284" t="str">
        <f t="shared" ca="1" si="763"/>
        <v/>
      </c>
      <c r="AF142" s="284" t="str">
        <f t="shared" ca="1" si="763"/>
        <v/>
      </c>
      <c r="AG142" s="284" t="str">
        <f t="shared" ca="1" si="763"/>
        <v/>
      </c>
      <c r="AH142" s="284" t="str">
        <f t="shared" ca="1" si="763"/>
        <v/>
      </c>
      <c r="AI142" s="284" t="str">
        <f t="shared" ca="1" si="763"/>
        <v/>
      </c>
      <c r="AJ142" s="284" t="str">
        <f t="shared" ca="1" si="763"/>
        <v/>
      </c>
      <c r="AK142" s="284" t="str">
        <f t="shared" ca="1" si="763"/>
        <v/>
      </c>
      <c r="AL142" s="284" t="str">
        <f t="shared" ca="1" si="763"/>
        <v/>
      </c>
      <c r="AM142" s="284" t="str">
        <f t="shared" ca="1" si="763"/>
        <v/>
      </c>
      <c r="AN142" s="284" t="str">
        <f t="shared" ca="1" si="763"/>
        <v/>
      </c>
      <c r="AO142" s="284" t="str">
        <f t="shared" ca="1" si="763"/>
        <v/>
      </c>
      <c r="AP142" s="283" t="e">
        <f t="shared" ref="AP142:AP143" ca="1" si="764">IF(SUM(F142:K142)&lt;&gt;0,SUM(F142:K142),#N/A)</f>
        <v>#N/A</v>
      </c>
      <c r="AQ142" s="284" t="e">
        <f t="shared" ref="AQ142:AQ143" ca="1" si="765">IF(SUM(L142:Q142)&lt;&gt;0,SUM(L142:Q142),#N/A)</f>
        <v>#N/A</v>
      </c>
      <c r="AR142" s="283" t="e">
        <f t="shared" ref="AR142:AR143" ca="1" si="766">IF(SUM(R142:W142)&lt;&gt;0,SUM(R142:W142),#N/A)</f>
        <v>#N/A</v>
      </c>
      <c r="AS142" s="284" t="e">
        <f t="shared" ref="AS142:AS143" ca="1" si="767">IF(SUM(X142:AC142)&lt;&gt;0,SUM(X142:AC142),#N/A)</f>
        <v>#N/A</v>
      </c>
      <c r="AT142" s="283" t="e">
        <f t="shared" ref="AT142:AT143" ca="1" si="768">IF(SUM(AD142:AI142)&lt;&gt;0,SUM(AD142:AI142),#N/A)</f>
        <v>#N/A</v>
      </c>
      <c r="AU142" s="284" t="e">
        <f t="shared" ref="AU142:AU143" ca="1" si="769">IF(SUM(AJ142:AO142)&lt;&gt;0,SUM(AJ142:AO142),#N/A)</f>
        <v>#N/A</v>
      </c>
      <c r="AV142" s="283" t="str">
        <f ca="1">IF(IFERROR((AV$11*(AV134-SUM(AV136:AV139)/AV$11)*AV141*3600)/(AV140),"")&lt;&gt;0,IFERROR((AV$11*(AV134-SUM(AV136:AV139)/AV$11)*AV141*3600)/(AV140),""),"")</f>
        <v/>
      </c>
      <c r="AW142" s="284" t="str">
        <f t="shared" ref="AW142:BE142" ca="1" si="770">IF(IFERROR((AW$11*(AW134-SUM(AW136:AW139)/AW$11)*AW141*3600)/(AW140),"")&lt;&gt;0,IFERROR((AW$11*(AW134-SUM(AW136:AW139)/AW$11)*AW141*3600)/(AW140),""),"")</f>
        <v/>
      </c>
      <c r="AX142" s="283" t="str">
        <f t="shared" ca="1" si="770"/>
        <v/>
      </c>
      <c r="AY142" s="284" t="str">
        <f t="shared" ca="1" si="770"/>
        <v/>
      </c>
      <c r="AZ142" s="283" t="str">
        <f t="shared" ca="1" si="770"/>
        <v/>
      </c>
      <c r="BA142" s="284" t="str">
        <f t="shared" ca="1" si="770"/>
        <v/>
      </c>
      <c r="BB142" s="283" t="str">
        <f t="shared" ca="1" si="770"/>
        <v/>
      </c>
      <c r="BC142" s="284" t="str">
        <f t="shared" ca="1" si="770"/>
        <v/>
      </c>
      <c r="BD142" s="283" t="str">
        <f t="shared" ca="1" si="770"/>
        <v/>
      </c>
      <c r="BE142" s="285" t="str">
        <f t="shared" ca="1" si="770"/>
        <v/>
      </c>
      <c r="BF142" s="285" t="e">
        <f t="shared" ref="BF142:BF144" ca="1" si="771">IF(SUM(AP142,AQ142)&lt;&gt;0,SUM(AP142,AQ142),#N/A)</f>
        <v>#N/A</v>
      </c>
      <c r="BG142" s="285" t="e">
        <f t="shared" ref="BG142:BG144" ca="1" si="772">IF(SUM(AR142,AS142)&lt;&gt;0,SUM(AR142,AS142),#N/A)</f>
        <v>#N/A</v>
      </c>
      <c r="BH142" s="285" t="e">
        <f t="shared" ref="BH142:BH144" ca="1" si="773">IF(SUM(AT142,AU142)&lt;&gt;0,SUM(AT142,AU142),#N/A)</f>
        <v>#N/A</v>
      </c>
      <c r="BI142" s="285" t="e">
        <f t="shared" ref="BI142:BI144" ca="1" si="774">IF(SUM(AV142,AW142)&lt;&gt;0,SUM(AV142,AW142),#N/A)</f>
        <v>#N/A</v>
      </c>
      <c r="BJ142" s="285" t="e">
        <f t="shared" ref="BJ142:BJ144" ca="1" si="775">IF(SUM(AX142,AY142)&lt;&gt;0,SUM(AX142,AY142),#N/A)</f>
        <v>#N/A</v>
      </c>
      <c r="BK142" s="285" t="e">
        <f t="shared" ref="BK142:BK144" ca="1" si="776">IF(SUM(AZ142,BA142)&lt;&gt;0,SUM(AZ142,BA142),#N/A)</f>
        <v>#N/A</v>
      </c>
      <c r="BL142" s="285" t="e">
        <f t="shared" ref="BL142:BL144" ca="1" si="777">IF(SUM(BB142,BC142)&lt;&gt;0,SUM(BB142,BC142),#N/A)</f>
        <v>#N/A</v>
      </c>
      <c r="BM142" s="285" t="e">
        <f t="shared" ref="BM142:BM144" ca="1" si="778">IF(SUM(BD142,BE142)&lt;&gt;0,SUM(BD142,BE142),#N/A)</f>
        <v>#N/A</v>
      </c>
    </row>
    <row r="143" spans="1:65" s="102" customFormat="1" ht="15" customHeight="1" outlineLevel="1" thickBot="1" x14ac:dyDescent="0.25">
      <c r="A143" s="320" t="s">
        <v>226</v>
      </c>
      <c r="B143" s="348"/>
      <c r="C143" s="351"/>
      <c r="D143" s="345"/>
      <c r="E143" s="104" t="s">
        <v>225</v>
      </c>
      <c r="F143" s="317" t="str">
        <f ca="1">IFERROR(F142+((F133*F135*F141*3600)/(F140)),"")</f>
        <v/>
      </c>
      <c r="G143" s="318" t="str">
        <f t="shared" ref="G143:AO143" ca="1" si="779">IFERROR(G142+((G133*G135*G141*3600)/(G140)),"")</f>
        <v/>
      </c>
      <c r="H143" s="318" t="str">
        <f t="shared" ca="1" si="779"/>
        <v/>
      </c>
      <c r="I143" s="318" t="str">
        <f t="shared" ca="1" si="779"/>
        <v/>
      </c>
      <c r="J143" s="318" t="str">
        <f t="shared" ca="1" si="779"/>
        <v/>
      </c>
      <c r="K143" s="318" t="str">
        <f t="shared" ca="1" si="779"/>
        <v/>
      </c>
      <c r="L143" s="318" t="str">
        <f t="shared" ca="1" si="779"/>
        <v/>
      </c>
      <c r="M143" s="318" t="str">
        <f t="shared" ca="1" si="779"/>
        <v/>
      </c>
      <c r="N143" s="318" t="str">
        <f t="shared" ca="1" si="779"/>
        <v/>
      </c>
      <c r="O143" s="318" t="str">
        <f t="shared" ca="1" si="779"/>
        <v/>
      </c>
      <c r="P143" s="318" t="str">
        <f t="shared" ca="1" si="779"/>
        <v/>
      </c>
      <c r="Q143" s="318" t="str">
        <f t="shared" ca="1" si="779"/>
        <v/>
      </c>
      <c r="R143" s="317" t="str">
        <f t="shared" ca="1" si="779"/>
        <v/>
      </c>
      <c r="S143" s="318" t="str">
        <f t="shared" ca="1" si="779"/>
        <v/>
      </c>
      <c r="T143" s="318" t="str">
        <f t="shared" ca="1" si="779"/>
        <v/>
      </c>
      <c r="U143" s="318" t="str">
        <f t="shared" ca="1" si="779"/>
        <v/>
      </c>
      <c r="V143" s="318" t="str">
        <f t="shared" ca="1" si="779"/>
        <v/>
      </c>
      <c r="W143" s="318" t="str">
        <f t="shared" ca="1" si="779"/>
        <v/>
      </c>
      <c r="X143" s="318" t="str">
        <f t="shared" ca="1" si="779"/>
        <v/>
      </c>
      <c r="Y143" s="318" t="str">
        <f t="shared" ca="1" si="779"/>
        <v/>
      </c>
      <c r="Z143" s="318" t="str">
        <f t="shared" ca="1" si="779"/>
        <v/>
      </c>
      <c r="AA143" s="318" t="str">
        <f t="shared" ca="1" si="779"/>
        <v/>
      </c>
      <c r="AB143" s="318" t="str">
        <f t="shared" ca="1" si="779"/>
        <v/>
      </c>
      <c r="AC143" s="318" t="str">
        <f t="shared" ca="1" si="779"/>
        <v/>
      </c>
      <c r="AD143" s="317" t="str">
        <f t="shared" ca="1" si="779"/>
        <v/>
      </c>
      <c r="AE143" s="318" t="str">
        <f t="shared" ca="1" si="779"/>
        <v/>
      </c>
      <c r="AF143" s="318" t="str">
        <f t="shared" ca="1" si="779"/>
        <v/>
      </c>
      <c r="AG143" s="318" t="str">
        <f t="shared" ca="1" si="779"/>
        <v/>
      </c>
      <c r="AH143" s="318" t="str">
        <f t="shared" ca="1" si="779"/>
        <v/>
      </c>
      <c r="AI143" s="318" t="str">
        <f t="shared" ca="1" si="779"/>
        <v/>
      </c>
      <c r="AJ143" s="318" t="str">
        <f t="shared" ca="1" si="779"/>
        <v/>
      </c>
      <c r="AK143" s="318" t="str">
        <f t="shared" ca="1" si="779"/>
        <v/>
      </c>
      <c r="AL143" s="318" t="str">
        <f t="shared" ca="1" si="779"/>
        <v/>
      </c>
      <c r="AM143" s="318" t="str">
        <f t="shared" ca="1" si="779"/>
        <v/>
      </c>
      <c r="AN143" s="318" t="str">
        <f t="shared" ca="1" si="779"/>
        <v/>
      </c>
      <c r="AO143" s="318" t="str">
        <f t="shared" ca="1" si="779"/>
        <v/>
      </c>
      <c r="AP143" s="317" t="e">
        <f t="shared" ca="1" si="764"/>
        <v>#N/A</v>
      </c>
      <c r="AQ143" s="318" t="e">
        <f t="shared" ca="1" si="765"/>
        <v>#N/A</v>
      </c>
      <c r="AR143" s="317" t="e">
        <f t="shared" ca="1" si="766"/>
        <v>#N/A</v>
      </c>
      <c r="AS143" s="318" t="e">
        <f t="shared" ca="1" si="767"/>
        <v>#N/A</v>
      </c>
      <c r="AT143" s="317" t="e">
        <f t="shared" ca="1" si="768"/>
        <v>#N/A</v>
      </c>
      <c r="AU143" s="318" t="e">
        <f t="shared" ca="1" si="769"/>
        <v>#N/A</v>
      </c>
      <c r="AV143" s="317" t="str">
        <f t="shared" ref="AV143:BE143" ca="1" si="780">IFERROR(AV142+((AV133*AV135*AV141*3600)/(AV140)),"")</f>
        <v/>
      </c>
      <c r="AW143" s="318" t="str">
        <f t="shared" ca="1" si="780"/>
        <v/>
      </c>
      <c r="AX143" s="317" t="str">
        <f t="shared" ca="1" si="780"/>
        <v/>
      </c>
      <c r="AY143" s="318" t="str">
        <f t="shared" ca="1" si="780"/>
        <v/>
      </c>
      <c r="AZ143" s="317" t="str">
        <f t="shared" ca="1" si="780"/>
        <v/>
      </c>
      <c r="BA143" s="318" t="str">
        <f t="shared" ca="1" si="780"/>
        <v/>
      </c>
      <c r="BB143" s="317" t="str">
        <f t="shared" ca="1" si="780"/>
        <v/>
      </c>
      <c r="BC143" s="318" t="str">
        <f t="shared" ca="1" si="780"/>
        <v/>
      </c>
      <c r="BD143" s="317" t="str">
        <f t="shared" ca="1" si="780"/>
        <v/>
      </c>
      <c r="BE143" s="291" t="str">
        <f t="shared" ca="1" si="780"/>
        <v/>
      </c>
      <c r="BF143" s="291" t="e">
        <f t="shared" ca="1" si="771"/>
        <v>#N/A</v>
      </c>
      <c r="BG143" s="291" t="e">
        <f t="shared" ca="1" si="772"/>
        <v>#N/A</v>
      </c>
      <c r="BH143" s="291" t="e">
        <f t="shared" ca="1" si="773"/>
        <v>#N/A</v>
      </c>
      <c r="BI143" s="291" t="e">
        <f t="shared" ca="1" si="774"/>
        <v>#N/A</v>
      </c>
      <c r="BJ143" s="291" t="e">
        <f t="shared" ca="1" si="775"/>
        <v>#N/A</v>
      </c>
      <c r="BK143" s="291" t="e">
        <f t="shared" ca="1" si="776"/>
        <v>#N/A</v>
      </c>
      <c r="BL143" s="291" t="e">
        <f t="shared" ca="1" si="777"/>
        <v>#N/A</v>
      </c>
      <c r="BM143" s="291" t="e">
        <f t="shared" ca="1" si="778"/>
        <v>#N/A</v>
      </c>
    </row>
    <row r="144" spans="1:65" s="102" customFormat="1" ht="22.5" outlineLevel="2" x14ac:dyDescent="0.2">
      <c r="A144" s="320" t="s">
        <v>226</v>
      </c>
      <c r="B144" s="346"/>
      <c r="C144" s="349" t="str">
        <f t="shared" ref="C144" si="781">IF(AND($B144&lt;&gt;0,$C$9&lt;&gt;0),$C$9,"")</f>
        <v/>
      </c>
      <c r="D144" s="343"/>
      <c r="E144" s="277" t="s">
        <v>40</v>
      </c>
      <c r="F144" s="33">
        <f t="shared" ref="F144:AO144" ca="1" si="782">IF(F$11-(SUM(F148:F151)/24)=0,"",F$11-(SUM(F148:F151)/24))</f>
        <v>27</v>
      </c>
      <c r="G144" s="34">
        <f t="shared" ca="1" si="782"/>
        <v>24</v>
      </c>
      <c r="H144" s="34">
        <f t="shared" ca="1" si="782"/>
        <v>26</v>
      </c>
      <c r="I144" s="34">
        <f t="shared" ca="1" si="782"/>
        <v>26</v>
      </c>
      <c r="J144" s="34">
        <f t="shared" ca="1" si="782"/>
        <v>27</v>
      </c>
      <c r="K144" s="34">
        <f t="shared" ca="1" si="782"/>
        <v>25</v>
      </c>
      <c r="L144" s="34">
        <f t="shared" ca="1" si="782"/>
        <v>27</v>
      </c>
      <c r="M144" s="34">
        <f t="shared" ca="1" si="782"/>
        <v>26</v>
      </c>
      <c r="N144" s="34">
        <f t="shared" ca="1" si="782"/>
        <v>26</v>
      </c>
      <c r="O144" s="34">
        <f t="shared" ca="1" si="782"/>
        <v>27</v>
      </c>
      <c r="P144" s="34">
        <f t="shared" ca="1" si="782"/>
        <v>25</v>
      </c>
      <c r="Q144" s="34">
        <f t="shared" ca="1" si="782"/>
        <v>27</v>
      </c>
      <c r="R144" s="32">
        <f t="shared" ca="1" si="782"/>
        <v>27</v>
      </c>
      <c r="S144" s="29">
        <f t="shared" ca="1" si="782"/>
        <v>24</v>
      </c>
      <c r="T144" s="29">
        <f t="shared" ca="1" si="782"/>
        <v>26</v>
      </c>
      <c r="U144" s="29">
        <f t="shared" ca="1" si="782"/>
        <v>26</v>
      </c>
      <c r="V144" s="29">
        <f t="shared" ca="1" si="782"/>
        <v>26</v>
      </c>
      <c r="W144" s="29">
        <f t="shared" ca="1" si="782"/>
        <v>26</v>
      </c>
      <c r="X144" s="29">
        <f t="shared" ca="1" si="782"/>
        <v>27</v>
      </c>
      <c r="Y144" s="29">
        <f t="shared" ca="1" si="782"/>
        <v>26</v>
      </c>
      <c r="Z144" s="29">
        <f t="shared" ca="1" si="782"/>
        <v>26</v>
      </c>
      <c r="AA144" s="29">
        <f t="shared" ca="1" si="782"/>
        <v>27</v>
      </c>
      <c r="AB144" s="29">
        <f t="shared" ca="1" si="782"/>
        <v>25</v>
      </c>
      <c r="AC144" s="29">
        <f t="shared" ca="1" si="782"/>
        <v>27</v>
      </c>
      <c r="AD144" s="32">
        <f t="shared" ca="1" si="782"/>
        <v>26</v>
      </c>
      <c r="AE144" s="29">
        <f t="shared" ca="1" si="782"/>
        <v>24</v>
      </c>
      <c r="AF144" s="29">
        <f t="shared" ca="1" si="782"/>
        <v>27</v>
      </c>
      <c r="AG144" s="29">
        <f t="shared" ca="1" si="782"/>
        <v>26</v>
      </c>
      <c r="AH144" s="29">
        <f t="shared" ca="1" si="782"/>
        <v>26</v>
      </c>
      <c r="AI144" s="29">
        <f t="shared" ca="1" si="782"/>
        <v>26</v>
      </c>
      <c r="AJ144" s="29">
        <f t="shared" ca="1" si="782"/>
        <v>27</v>
      </c>
      <c r="AK144" s="29">
        <f t="shared" ca="1" si="782"/>
        <v>26</v>
      </c>
      <c r="AL144" s="29">
        <f t="shared" ca="1" si="782"/>
        <v>26</v>
      </c>
      <c r="AM144" s="29">
        <f t="shared" ca="1" si="782"/>
        <v>26</v>
      </c>
      <c r="AN144" s="29">
        <f t="shared" ca="1" si="782"/>
        <v>26</v>
      </c>
      <c r="AO144" s="29">
        <f t="shared" ca="1" si="782"/>
        <v>27</v>
      </c>
      <c r="AP144" s="32">
        <f ca="1">IF(SUM(F144:K144)&lt;&gt;0,SUM(F144:K144),"")</f>
        <v>155</v>
      </c>
      <c r="AQ144" s="29">
        <f ca="1">IF(SUM(L144:Q144)&lt;&gt;0,SUM(L144:Q144),"")</f>
        <v>158</v>
      </c>
      <c r="AR144" s="32">
        <f ca="1">IF(SUM(R144:W144)&lt;&gt;0,SUM(R144:W144),"")</f>
        <v>155</v>
      </c>
      <c r="AS144" s="29">
        <f ca="1">IF(SUM(X144:AC144)&lt;&gt;0,SUM(X144:AC144),"")</f>
        <v>158</v>
      </c>
      <c r="AT144" s="32">
        <f ca="1">IF(SUM(AD144:AI144)&lt;&gt;0,SUM(AD144:AI144),"")</f>
        <v>155</v>
      </c>
      <c r="AU144" s="296">
        <f ca="1">SUM(AJ144:AO144)</f>
        <v>158</v>
      </c>
      <c r="AV144" s="32">
        <f t="shared" ref="AV144:BE144" ca="1" si="783">IF(AV$11-(SUM(AV148:AV151)/24)=0,"",AV$11-(SUM(AV148:AV151)/24))</f>
        <v>156</v>
      </c>
      <c r="AW144" s="29">
        <f t="shared" ca="1" si="783"/>
        <v>157</v>
      </c>
      <c r="AX144" s="32">
        <f t="shared" ca="1" si="783"/>
        <v>156</v>
      </c>
      <c r="AY144" s="29">
        <f t="shared" ca="1" si="783"/>
        <v>158</v>
      </c>
      <c r="AZ144" s="32">
        <f t="shared" ca="1" si="783"/>
        <v>155</v>
      </c>
      <c r="BA144" s="29">
        <f t="shared" ca="1" si="783"/>
        <v>158</v>
      </c>
      <c r="BB144" s="32">
        <f t="shared" ca="1" si="783"/>
        <v>155</v>
      </c>
      <c r="BC144" s="29">
        <f t="shared" ca="1" si="783"/>
        <v>158</v>
      </c>
      <c r="BD144" s="32">
        <f t="shared" ca="1" si="783"/>
        <v>156</v>
      </c>
      <c r="BE144" s="262">
        <f t="shared" ca="1" si="783"/>
        <v>158</v>
      </c>
      <c r="BF144" s="286">
        <f t="shared" ca="1" si="771"/>
        <v>313</v>
      </c>
      <c r="BG144" s="286">
        <f t="shared" ca="1" si="772"/>
        <v>313</v>
      </c>
      <c r="BH144" s="286">
        <f t="shared" ca="1" si="773"/>
        <v>313</v>
      </c>
      <c r="BI144" s="286">
        <f t="shared" ca="1" si="774"/>
        <v>313</v>
      </c>
      <c r="BJ144" s="286">
        <f t="shared" ca="1" si="775"/>
        <v>314</v>
      </c>
      <c r="BK144" s="286">
        <f t="shared" ca="1" si="776"/>
        <v>313</v>
      </c>
      <c r="BL144" s="286">
        <f t="shared" ca="1" si="777"/>
        <v>313</v>
      </c>
      <c r="BM144" s="286">
        <f t="shared" ca="1" si="778"/>
        <v>314</v>
      </c>
    </row>
    <row r="145" spans="1:65" s="102" customFormat="1" ht="15" customHeight="1" outlineLevel="2" thickBot="1" x14ac:dyDescent="0.25">
      <c r="A145" s="320" t="s">
        <v>226</v>
      </c>
      <c r="B145" s="347"/>
      <c r="C145" s="350"/>
      <c r="D145" s="344"/>
      <c r="E145" s="278" t="s">
        <v>29</v>
      </c>
      <c r="F145" s="47"/>
      <c r="G145" s="48"/>
      <c r="H145" s="48"/>
      <c r="I145" s="48"/>
      <c r="J145" s="48"/>
      <c r="K145" s="48"/>
      <c r="L145" s="48"/>
      <c r="M145" s="48"/>
      <c r="N145" s="48"/>
      <c r="O145" s="48"/>
      <c r="P145" s="48"/>
      <c r="Q145" s="51"/>
      <c r="R145" s="47"/>
      <c r="S145" s="48"/>
      <c r="T145" s="48"/>
      <c r="U145" s="48"/>
      <c r="V145" s="48"/>
      <c r="W145" s="48"/>
      <c r="X145" s="48"/>
      <c r="Y145" s="48"/>
      <c r="Z145" s="48"/>
      <c r="AA145" s="48"/>
      <c r="AB145" s="48"/>
      <c r="AC145" s="51"/>
      <c r="AD145" s="47"/>
      <c r="AE145" s="48"/>
      <c r="AF145" s="48"/>
      <c r="AG145" s="48"/>
      <c r="AH145" s="48"/>
      <c r="AI145" s="48"/>
      <c r="AJ145" s="48"/>
      <c r="AK145" s="48"/>
      <c r="AL145" s="48"/>
      <c r="AM145" s="48"/>
      <c r="AN145" s="48"/>
      <c r="AO145" s="51"/>
      <c r="AP145" s="294" t="str">
        <f>IFERROR(IF(SUM(F145:K145)&lt;&gt;0,SUM(F145:K145),""),"")</f>
        <v/>
      </c>
      <c r="AQ145" s="295" t="str">
        <f>IFERROR(IF(SUM(L145:Q145)&lt;&gt;0,SUM(L145:Q145),""),"")</f>
        <v/>
      </c>
      <c r="AR145" s="294" t="str">
        <f>IFERROR(IF(SUM(R145:W145)&lt;&gt;0,SUM(R145:W145),""),"")</f>
        <v/>
      </c>
      <c r="AS145" s="295" t="str">
        <f>IFERROR(IF(SUM(X145:AC145)&lt;&gt;0,SUM(X145:AC145),""),"")</f>
        <v/>
      </c>
      <c r="AT145" s="294" t="str">
        <f>IFERROR(IF(SUM(AD145:AI145)&lt;&gt;0,SUM(AD145:AI145),""),"")</f>
        <v/>
      </c>
      <c r="AU145" s="295" t="str">
        <f>IFERROR(IF(SUM(AJ145:AO145)&lt;&gt;0,SUM(AJ145:AO145),""),"")</f>
        <v/>
      </c>
      <c r="AV145" s="47"/>
      <c r="AW145" s="51"/>
      <c r="AX145" s="47"/>
      <c r="AY145" s="51"/>
      <c r="AZ145" s="47"/>
      <c r="BA145" s="51"/>
      <c r="BB145" s="47"/>
      <c r="BC145" s="51"/>
      <c r="BD145" s="47"/>
      <c r="BE145" s="263"/>
      <c r="BF145" s="271" t="str">
        <f>IFERROR(IF(AVERAGE(AP145:AQ145)&lt;&gt;0,AVERAGE(AP145:AQ145),""),"")</f>
        <v/>
      </c>
      <c r="BG145" s="271" t="str">
        <f>IFERROR(IF(AVERAGE(AR145:AS145)&lt;&gt;0,AVERAGE(AR145:AS145),""),"")</f>
        <v/>
      </c>
      <c r="BH145" s="271" t="str">
        <f>IFERROR(IF(AVERAGE(AT145:AU145)&lt;&gt;0,AVERAGE(AT145:AU145),""),"")</f>
        <v/>
      </c>
      <c r="BI145" s="271" t="str">
        <f>IFERROR(IF(AVERAGE(AV145:AW145)&lt;&gt;0,AVERAGE(AV145:AW145),""),"")</f>
        <v/>
      </c>
      <c r="BJ145" s="271" t="str">
        <f>IFERROR(IF(AVERAGE(AX145:AY145)&lt;&gt;0,AVERAGE(AX145:AY145),""),"")</f>
        <v/>
      </c>
      <c r="BK145" s="271" t="str">
        <f>IFERROR(IF(AVERAGE(AZ145:BA145)&lt;&gt;0,AVERAGE(AZ145:BA145),""),"")</f>
        <v/>
      </c>
      <c r="BL145" s="271" t="str">
        <f>IFERROR(IF(AVERAGE(BB145:BC145)&lt;&gt;0,AVERAGE(BB145:BC145),""),"")</f>
        <v/>
      </c>
      <c r="BM145" s="271" t="str">
        <f>IFERROR(IF(AVERAGE(BD145:BE145)&lt;&gt;0,AVERAGE(BD145:BE145),""),"")</f>
        <v/>
      </c>
    </row>
    <row r="146" spans="1:65" s="102" customFormat="1" ht="14.25" customHeight="1" outlineLevel="2" x14ac:dyDescent="0.2">
      <c r="A146" s="320" t="s">
        <v>226</v>
      </c>
      <c r="B146" s="347"/>
      <c r="C146" s="350"/>
      <c r="D146" s="344"/>
      <c r="E146" s="279" t="s">
        <v>28</v>
      </c>
      <c r="F146" s="52"/>
      <c r="G146" s="53"/>
      <c r="H146" s="53"/>
      <c r="I146" s="53"/>
      <c r="J146" s="53"/>
      <c r="K146" s="53"/>
      <c r="L146" s="53"/>
      <c r="M146" s="53"/>
      <c r="N146" s="53"/>
      <c r="O146" s="53"/>
      <c r="P146" s="53"/>
      <c r="Q146" s="54"/>
      <c r="R146" s="52"/>
      <c r="S146" s="53"/>
      <c r="T146" s="53"/>
      <c r="U146" s="53"/>
      <c r="V146" s="53"/>
      <c r="W146" s="53"/>
      <c r="X146" s="53"/>
      <c r="Y146" s="53"/>
      <c r="Z146" s="53"/>
      <c r="AA146" s="53"/>
      <c r="AB146" s="53"/>
      <c r="AC146" s="54"/>
      <c r="AD146" s="52"/>
      <c r="AE146" s="53"/>
      <c r="AF146" s="53"/>
      <c r="AG146" s="53"/>
      <c r="AH146" s="53"/>
      <c r="AI146" s="53"/>
      <c r="AJ146" s="53"/>
      <c r="AK146" s="53"/>
      <c r="AL146" s="53"/>
      <c r="AM146" s="53"/>
      <c r="AN146" s="53"/>
      <c r="AO146" s="54"/>
      <c r="AP146" s="225" t="str">
        <f>IFERROR(IF(AVERAGE(F146:K146)&lt;&gt;0,AVERAGE(F146:K146),""),"")</f>
        <v/>
      </c>
      <c r="AQ146" s="226" t="str">
        <f>IFERROR(IF(AVERAGE(L146:Q146)&lt;&gt;0,AVERAGE(L146:Q146),""),"")</f>
        <v/>
      </c>
      <c r="AR146" s="225" t="str">
        <f>IFERROR(IF(AVERAGE(R146:W146)&lt;&gt;0,AVERAGE(R146:W146),""),"")</f>
        <v/>
      </c>
      <c r="AS146" s="226" t="str">
        <f>IFERROR(IF(AVERAGE(X146:AC146)&lt;&gt;0,AVERAGE(X146:AC146),""),"")</f>
        <v/>
      </c>
      <c r="AT146" s="225" t="str">
        <f>IFERROR(IF(AVERAGE(AD146:AI146)&lt;&gt;0,AVERAGE(AD146:AI146),""),"")</f>
        <v/>
      </c>
      <c r="AU146" s="226" t="str">
        <f>IFERROR(IF(AVERAGE(AJ146:AO146)&lt;&gt;0,AVERAGE(AJ146:AO146),""),"")</f>
        <v/>
      </c>
      <c r="AV146" s="70"/>
      <c r="AW146" s="53"/>
      <c r="AX146" s="70"/>
      <c r="AY146" s="53"/>
      <c r="AZ146" s="70"/>
      <c r="BA146" s="53"/>
      <c r="BB146" s="70"/>
      <c r="BC146" s="53"/>
      <c r="BD146" s="70"/>
      <c r="BE146" s="264"/>
      <c r="BF146" s="272" t="str">
        <f>IFERROR(IF(AVERAGE(AP146:AQ146)&lt;&gt;0,AVERAGE(AP146:AQ146),""),"")</f>
        <v/>
      </c>
      <c r="BG146" s="272" t="str">
        <f>IFERROR(IF(AVERAGE(AR146:AS146)&lt;&gt;0,AVERAGE(AR146:AS146),""),"")</f>
        <v/>
      </c>
      <c r="BH146" s="272" t="str">
        <f>IFERROR(IF(AVERAGE(AT146:AU146)&lt;&gt;0,AVERAGE(AT146:AU146),""),"")</f>
        <v/>
      </c>
      <c r="BI146" s="272" t="str">
        <f>IFERROR(IF(AVERAGE(AV146:AW146)&lt;&gt;0,AVERAGE(AV146:AW146),""),"")</f>
        <v/>
      </c>
      <c r="BJ146" s="272" t="str">
        <f>IFERROR(IF(AVERAGE(AX146:AY146)&lt;&gt;0,AVERAGE(AX146:AY146),""),"")</f>
        <v/>
      </c>
      <c r="BK146" s="272" t="str">
        <f>IFERROR(IF(AVERAGE(AZ146:BA146)&lt;&gt;0,AVERAGE(AZ146:BA146),""),"")</f>
        <v/>
      </c>
      <c r="BL146" s="272" t="str">
        <f>IFERROR(IF(AVERAGE(BB146:BC146)&lt;&gt;0,AVERAGE(BB146:BC146),""),"")</f>
        <v/>
      </c>
      <c r="BM146" s="272" t="str">
        <f>IFERROR(IF(AVERAGE(BD146:BE146)&lt;&gt;0,AVERAGE(BD146:BE146),""),"")</f>
        <v/>
      </c>
    </row>
    <row r="147" spans="1:65" s="102" customFormat="1" ht="15" customHeight="1" outlineLevel="2" thickBot="1" x14ac:dyDescent="0.25">
      <c r="A147" s="320" t="s">
        <v>226</v>
      </c>
      <c r="B147" s="347"/>
      <c r="C147" s="350"/>
      <c r="D147" s="344"/>
      <c r="E147" s="278" t="s">
        <v>30</v>
      </c>
      <c r="F147" s="55"/>
      <c r="G147" s="56"/>
      <c r="H147" s="56"/>
      <c r="I147" s="56"/>
      <c r="J147" s="56"/>
      <c r="K147" s="56"/>
      <c r="L147" s="56"/>
      <c r="M147" s="56"/>
      <c r="N147" s="56"/>
      <c r="O147" s="56"/>
      <c r="P147" s="56"/>
      <c r="Q147" s="57"/>
      <c r="R147" s="55"/>
      <c r="S147" s="56"/>
      <c r="T147" s="56"/>
      <c r="U147" s="56"/>
      <c r="V147" s="56"/>
      <c r="W147" s="56"/>
      <c r="X147" s="56"/>
      <c r="Y147" s="56"/>
      <c r="Z147" s="56"/>
      <c r="AA147" s="56"/>
      <c r="AB147" s="56"/>
      <c r="AC147" s="57"/>
      <c r="AD147" s="55"/>
      <c r="AE147" s="56"/>
      <c r="AF147" s="56"/>
      <c r="AG147" s="56"/>
      <c r="AH147" s="56"/>
      <c r="AI147" s="56"/>
      <c r="AJ147" s="56"/>
      <c r="AK147" s="56"/>
      <c r="AL147" s="56"/>
      <c r="AM147" s="56"/>
      <c r="AN147" s="56"/>
      <c r="AO147" s="57"/>
      <c r="AP147" s="227" t="str">
        <f>IFERROR(IF(AVERAGE(F147:K147)&lt;&gt;0,AVERAGE(F147:K147),""),"")</f>
        <v/>
      </c>
      <c r="AQ147" s="228" t="str">
        <f>IFERROR(IF(AVERAGE(L147:Q147)&lt;&gt;0,AVERAGE(L147:Q147),""),"")</f>
        <v/>
      </c>
      <c r="AR147" s="227" t="str">
        <f>IFERROR(IF(AVERAGE(R147:W147)&lt;&gt;0,AVERAGE(R147:W147),""),"")</f>
        <v/>
      </c>
      <c r="AS147" s="228" t="str">
        <f>IFERROR(IF(AVERAGE(X147:AC147)&lt;&gt;0,AVERAGE(X147:AC147),""),"")</f>
        <v/>
      </c>
      <c r="AT147" s="227" t="str">
        <f>IFERROR(IF(AVERAGE(AD147:AI147)&lt;&gt;0,AVERAGE(AD147:AI147),""),"")</f>
        <v/>
      </c>
      <c r="AU147" s="228" t="str">
        <f>IFERROR(IF(AVERAGE(AJ147:AO147)&lt;&gt;0,AVERAGE(AJ147:AO147),""),"")</f>
        <v/>
      </c>
      <c r="AV147" s="71"/>
      <c r="AW147" s="56"/>
      <c r="AX147" s="71"/>
      <c r="AY147" s="56"/>
      <c r="AZ147" s="71"/>
      <c r="BA147" s="56"/>
      <c r="BB147" s="71"/>
      <c r="BC147" s="56"/>
      <c r="BD147" s="71"/>
      <c r="BE147" s="265"/>
      <c r="BF147" s="273" t="str">
        <f>IFERROR(IF(AVERAGE(AP147:AQ147)&lt;&gt;0,AVERAGE(AP147:AQ147),""),"")</f>
        <v/>
      </c>
      <c r="BG147" s="273" t="str">
        <f>IFERROR(IF(AVERAGE(AR147:AS147)&lt;&gt;0,AVERAGE(AR147:AS147),""),"")</f>
        <v/>
      </c>
      <c r="BH147" s="273" t="str">
        <f>IFERROR(IF(AVERAGE(AT147:AU147)&lt;&gt;0,AVERAGE(AT147:AU147),""),"")</f>
        <v/>
      </c>
      <c r="BI147" s="273" t="str">
        <f>IFERROR(IF(AVERAGE(AV147:AW147)&lt;&gt;0,AVERAGE(AV147:AW147),""),"")</f>
        <v/>
      </c>
      <c r="BJ147" s="273" t="str">
        <f>IFERROR(IF(AVERAGE(AX147:AY147)&lt;&gt;0,AVERAGE(AX147:AY147),""),"")</f>
        <v/>
      </c>
      <c r="BK147" s="273" t="str">
        <f>IFERROR(IF(AVERAGE(AZ147:BA147)&lt;&gt;0,AVERAGE(AZ147:BA147),""),"")</f>
        <v/>
      </c>
      <c r="BL147" s="273" t="str">
        <f>IFERROR(IF(AVERAGE(BB147:BC147)&lt;&gt;0,AVERAGE(BB147:BC147),""),"")</f>
        <v/>
      </c>
      <c r="BM147" s="273" t="str">
        <f>IFERROR(IF(AVERAGE(BD147:BE147)&lt;&gt;0,AVERAGE(BD147:BE147),""),"")</f>
        <v/>
      </c>
    </row>
    <row r="148" spans="1:65" s="102" customFormat="1" ht="14.25" customHeight="1" outlineLevel="2" x14ac:dyDescent="0.2">
      <c r="A148" s="320" t="s">
        <v>226</v>
      </c>
      <c r="B148" s="347"/>
      <c r="C148" s="350"/>
      <c r="D148" s="344"/>
      <c r="E148" s="279" t="s">
        <v>25</v>
      </c>
      <c r="F148" s="58"/>
      <c r="G148" s="50"/>
      <c r="H148" s="50"/>
      <c r="I148" s="50"/>
      <c r="J148" s="50"/>
      <c r="K148" s="50"/>
      <c r="L148" s="50"/>
      <c r="M148" s="50"/>
      <c r="N148" s="50"/>
      <c r="O148" s="50"/>
      <c r="P148" s="50"/>
      <c r="Q148" s="59"/>
      <c r="R148" s="58"/>
      <c r="S148" s="50"/>
      <c r="T148" s="50"/>
      <c r="U148" s="50"/>
      <c r="V148" s="50"/>
      <c r="W148" s="50"/>
      <c r="X148" s="50"/>
      <c r="Y148" s="50"/>
      <c r="Z148" s="50"/>
      <c r="AA148" s="50"/>
      <c r="AB148" s="50"/>
      <c r="AC148" s="59"/>
      <c r="AD148" s="58"/>
      <c r="AE148" s="50"/>
      <c r="AF148" s="50"/>
      <c r="AG148" s="50"/>
      <c r="AH148" s="50"/>
      <c r="AI148" s="50"/>
      <c r="AJ148" s="50"/>
      <c r="AK148" s="50"/>
      <c r="AL148" s="50"/>
      <c r="AM148" s="50"/>
      <c r="AN148" s="50"/>
      <c r="AO148" s="59"/>
      <c r="AP148" s="229" t="str">
        <f>IFERROR(IF(SUM(F148:K148)&lt;&gt;0,SUM(F148:K148),""),"")</f>
        <v/>
      </c>
      <c r="AQ148" s="230" t="str">
        <f>IFERROR(IF(SUM(L148:Q148)&lt;&gt;0,SUM(L148:Q148),""),"")</f>
        <v/>
      </c>
      <c r="AR148" s="229" t="str">
        <f>IFERROR(IF(SUM(R148:W148)&lt;&gt;0,SUM(R148:W148),""),"")</f>
        <v/>
      </c>
      <c r="AS148" s="230" t="str">
        <f>IFERROR(IF(SUM(X148:AC148)&lt;&gt;0,SUM(X148:AC148),""),"")</f>
        <v/>
      </c>
      <c r="AT148" s="229" t="str">
        <f>IFERROR(IF(SUM(AD148:AI148)&lt;&gt;0,SUM(AD148:AI148),""),"")</f>
        <v/>
      </c>
      <c r="AU148" s="230" t="str">
        <f>IFERROR(IF(SUM(AJ148:AO148)&lt;&gt;0,SUM(AJ148:AO148),""),"")</f>
        <v/>
      </c>
      <c r="AV148" s="72"/>
      <c r="AW148" s="73"/>
      <c r="AX148" s="72"/>
      <c r="AY148" s="73"/>
      <c r="AZ148" s="72"/>
      <c r="BA148" s="73"/>
      <c r="BB148" s="72"/>
      <c r="BC148" s="73"/>
      <c r="BD148" s="72"/>
      <c r="BE148" s="266"/>
      <c r="BF148" s="286" t="e">
        <f t="shared" ref="BF148:BF151" si="784">IF(SUM(AP148,AQ148)&lt;&gt;0,SUM(AP148,AQ148),#N/A)</f>
        <v>#N/A</v>
      </c>
      <c r="BG148" s="286" t="e">
        <f t="shared" ref="BG148:BG151" si="785">IF(SUM(AR148,AS148)&lt;&gt;0,SUM(AR148,AS148),#N/A)</f>
        <v>#N/A</v>
      </c>
      <c r="BH148" s="286" t="e">
        <f t="shared" ref="BH148:BH151" si="786">IF(SUM(AT148,AU148)&lt;&gt;0,SUM(AT148,AU148),#N/A)</f>
        <v>#N/A</v>
      </c>
      <c r="BI148" s="286" t="e">
        <f t="shared" ref="BI148:BI151" si="787">IF(SUM(AV148,AW148)&lt;&gt;0,SUM(AV148,AW148),#N/A)</f>
        <v>#N/A</v>
      </c>
      <c r="BJ148" s="286" t="e">
        <f t="shared" ref="BJ148:BJ151" si="788">IF(SUM(AX148,AY148)&lt;&gt;0,SUM(AX148,AY148),#N/A)</f>
        <v>#N/A</v>
      </c>
      <c r="BK148" s="286" t="e">
        <f t="shared" ref="BK148:BK151" si="789">IF(SUM(AZ148,BA148)&lt;&gt;0,SUM(AZ148,BA148),#N/A)</f>
        <v>#N/A</v>
      </c>
      <c r="BL148" s="286" t="e">
        <f t="shared" ref="BL148:BL151" si="790">IF(SUM(BB148,BC148)&lt;&gt;0,SUM(BB148,BC148),#N/A)</f>
        <v>#N/A</v>
      </c>
      <c r="BM148" s="286" t="e">
        <f t="shared" ref="BM148:BM151" si="791">IF(SUM(BD148,BE148)&lt;&gt;0,SUM(BD148,BE148),#N/A)</f>
        <v>#N/A</v>
      </c>
    </row>
    <row r="149" spans="1:65" s="102" customFormat="1" ht="14.25" customHeight="1" outlineLevel="2" x14ac:dyDescent="0.2">
      <c r="A149" s="320" t="s">
        <v>226</v>
      </c>
      <c r="B149" s="347"/>
      <c r="C149" s="350"/>
      <c r="D149" s="344"/>
      <c r="E149" s="280" t="s">
        <v>26</v>
      </c>
      <c r="F149" s="60"/>
      <c r="G149" s="61"/>
      <c r="H149" s="61"/>
      <c r="I149" s="61"/>
      <c r="J149" s="61"/>
      <c r="K149" s="61"/>
      <c r="L149" s="61"/>
      <c r="M149" s="61"/>
      <c r="N149" s="61"/>
      <c r="O149" s="61"/>
      <c r="P149" s="61"/>
      <c r="Q149" s="62"/>
      <c r="R149" s="60"/>
      <c r="S149" s="61"/>
      <c r="T149" s="61"/>
      <c r="U149" s="61"/>
      <c r="V149" s="61"/>
      <c r="W149" s="61"/>
      <c r="X149" s="61"/>
      <c r="Y149" s="61"/>
      <c r="Z149" s="61"/>
      <c r="AA149" s="61"/>
      <c r="AB149" s="61"/>
      <c r="AC149" s="62"/>
      <c r="AD149" s="60"/>
      <c r="AE149" s="61"/>
      <c r="AF149" s="61"/>
      <c r="AG149" s="61"/>
      <c r="AH149" s="61"/>
      <c r="AI149" s="61"/>
      <c r="AJ149" s="61"/>
      <c r="AK149" s="61"/>
      <c r="AL149" s="61"/>
      <c r="AM149" s="61"/>
      <c r="AN149" s="61"/>
      <c r="AO149" s="62"/>
      <c r="AP149" s="231" t="str">
        <f>IFERROR(IF(SUM(F149:K149)&lt;&gt;0,SUM(F149:K149),""),"")</f>
        <v/>
      </c>
      <c r="AQ149" s="232" t="str">
        <f>IFERROR(IF(SUM(L149:Q149)&lt;&gt;0,SUM(L149:Q149),""),"")</f>
        <v/>
      </c>
      <c r="AR149" s="231" t="str">
        <f>IFERROR(IF(SUM(R149:W149)&lt;&gt;0,SUM(R149:W149),""),"")</f>
        <v/>
      </c>
      <c r="AS149" s="232" t="str">
        <f>IFERROR(IF(SUM(X149:AC149)&lt;&gt;0,SUM(X149:AC149),""),"")</f>
        <v/>
      </c>
      <c r="AT149" s="231" t="str">
        <f>IFERROR(IF(SUM(AD149:AI149)&lt;&gt;0,SUM(AD149:AI149),""),"")</f>
        <v/>
      </c>
      <c r="AU149" s="232" t="str">
        <f>IFERROR(IF(SUM(AJ149:AO149)&lt;&gt;0,SUM(AJ149:AO149),""),"")</f>
        <v/>
      </c>
      <c r="AV149" s="74"/>
      <c r="AW149" s="61"/>
      <c r="AX149" s="74"/>
      <c r="AY149" s="61"/>
      <c r="AZ149" s="74"/>
      <c r="BA149" s="61"/>
      <c r="BB149" s="74"/>
      <c r="BC149" s="61"/>
      <c r="BD149" s="74"/>
      <c r="BE149" s="267"/>
      <c r="BF149" s="287" t="e">
        <f t="shared" si="784"/>
        <v>#N/A</v>
      </c>
      <c r="BG149" s="287" t="e">
        <f t="shared" si="785"/>
        <v>#N/A</v>
      </c>
      <c r="BH149" s="287" t="e">
        <f t="shared" si="786"/>
        <v>#N/A</v>
      </c>
      <c r="BI149" s="287" t="e">
        <f t="shared" si="787"/>
        <v>#N/A</v>
      </c>
      <c r="BJ149" s="287" t="e">
        <f t="shared" si="788"/>
        <v>#N/A</v>
      </c>
      <c r="BK149" s="287" t="e">
        <f t="shared" si="789"/>
        <v>#N/A</v>
      </c>
      <c r="BL149" s="287" t="e">
        <f t="shared" si="790"/>
        <v>#N/A</v>
      </c>
      <c r="BM149" s="287" t="e">
        <f t="shared" si="791"/>
        <v>#N/A</v>
      </c>
    </row>
    <row r="150" spans="1:65" s="102" customFormat="1" ht="14.25" customHeight="1" outlineLevel="2" x14ac:dyDescent="0.2">
      <c r="A150" s="320" t="s">
        <v>226</v>
      </c>
      <c r="B150" s="347"/>
      <c r="C150" s="350"/>
      <c r="D150" s="344"/>
      <c r="E150" s="280" t="s">
        <v>27</v>
      </c>
      <c r="F150" s="60"/>
      <c r="G150" s="61"/>
      <c r="H150" s="61"/>
      <c r="I150" s="61"/>
      <c r="J150" s="61"/>
      <c r="K150" s="61"/>
      <c r="L150" s="61"/>
      <c r="M150" s="61"/>
      <c r="N150" s="61"/>
      <c r="O150" s="61"/>
      <c r="P150" s="61"/>
      <c r="Q150" s="62"/>
      <c r="R150" s="60"/>
      <c r="S150" s="61"/>
      <c r="T150" s="61"/>
      <c r="U150" s="61"/>
      <c r="V150" s="61"/>
      <c r="W150" s="61"/>
      <c r="X150" s="61"/>
      <c r="Y150" s="61"/>
      <c r="Z150" s="61"/>
      <c r="AA150" s="61"/>
      <c r="AB150" s="61"/>
      <c r="AC150" s="62"/>
      <c r="AD150" s="60"/>
      <c r="AE150" s="61"/>
      <c r="AF150" s="61"/>
      <c r="AG150" s="61"/>
      <c r="AH150" s="61"/>
      <c r="AI150" s="61"/>
      <c r="AJ150" s="61"/>
      <c r="AK150" s="61"/>
      <c r="AL150" s="61"/>
      <c r="AM150" s="61"/>
      <c r="AN150" s="61"/>
      <c r="AO150" s="62"/>
      <c r="AP150" s="231" t="str">
        <f>IFERROR(IF(SUM(F150:K150)&lt;&gt;0,SUM(F150:K150),""),"")</f>
        <v/>
      </c>
      <c r="AQ150" s="232" t="str">
        <f>IFERROR(IF(SUM(L150:Q150)&lt;&gt;0,SUM(L150:Q150),""),"")</f>
        <v/>
      </c>
      <c r="AR150" s="231" t="str">
        <f>IFERROR(IF(SUM(R150:W150)&lt;&gt;0,SUM(R150:W150),""),"")</f>
        <v/>
      </c>
      <c r="AS150" s="232" t="str">
        <f>IFERROR(IF(SUM(X150:AC150)&lt;&gt;0,SUM(X150:AC150),""),"")</f>
        <v/>
      </c>
      <c r="AT150" s="231" t="str">
        <f>IFERROR(IF(SUM(AD150:AI150)&lt;&gt;0,SUM(AD150:AI150),""),"")</f>
        <v/>
      </c>
      <c r="AU150" s="232" t="str">
        <f>IFERROR(IF(SUM(AJ150:AO150)&lt;&gt;0,SUM(AJ150:AO150),""),"")</f>
        <v/>
      </c>
      <c r="AV150" s="74"/>
      <c r="AW150" s="61"/>
      <c r="AX150" s="74"/>
      <c r="AY150" s="61"/>
      <c r="AZ150" s="74"/>
      <c r="BA150" s="61"/>
      <c r="BB150" s="74"/>
      <c r="BC150" s="61"/>
      <c r="BD150" s="74"/>
      <c r="BE150" s="267"/>
      <c r="BF150" s="287" t="e">
        <f t="shared" si="784"/>
        <v>#N/A</v>
      </c>
      <c r="BG150" s="287" t="e">
        <f t="shared" si="785"/>
        <v>#N/A</v>
      </c>
      <c r="BH150" s="287" t="e">
        <f t="shared" si="786"/>
        <v>#N/A</v>
      </c>
      <c r="BI150" s="287" t="e">
        <f t="shared" si="787"/>
        <v>#N/A</v>
      </c>
      <c r="BJ150" s="287" t="e">
        <f t="shared" si="788"/>
        <v>#N/A</v>
      </c>
      <c r="BK150" s="287" t="e">
        <f t="shared" si="789"/>
        <v>#N/A</v>
      </c>
      <c r="BL150" s="287" t="e">
        <f t="shared" si="790"/>
        <v>#N/A</v>
      </c>
      <c r="BM150" s="287" t="e">
        <f t="shared" si="791"/>
        <v>#N/A</v>
      </c>
    </row>
    <row r="151" spans="1:65" s="102" customFormat="1" ht="15" customHeight="1" outlineLevel="2" thickBot="1" x14ac:dyDescent="0.25">
      <c r="A151" s="320" t="s">
        <v>226</v>
      </c>
      <c r="B151" s="347"/>
      <c r="C151" s="350"/>
      <c r="D151" s="344"/>
      <c r="E151" s="281" t="s">
        <v>88</v>
      </c>
      <c r="F151" s="63"/>
      <c r="G151" s="48"/>
      <c r="H151" s="48"/>
      <c r="I151" s="48"/>
      <c r="J151" s="48"/>
      <c r="K151" s="48"/>
      <c r="L151" s="48"/>
      <c r="M151" s="48"/>
      <c r="N151" s="48"/>
      <c r="O151" s="48"/>
      <c r="P151" s="48"/>
      <c r="Q151" s="51"/>
      <c r="R151" s="63"/>
      <c r="S151" s="48"/>
      <c r="T151" s="48"/>
      <c r="U151" s="48"/>
      <c r="V151" s="48"/>
      <c r="W151" s="48"/>
      <c r="X151" s="48"/>
      <c r="Y151" s="48"/>
      <c r="Z151" s="48"/>
      <c r="AA151" s="48"/>
      <c r="AB151" s="48"/>
      <c r="AC151" s="51"/>
      <c r="AD151" s="63"/>
      <c r="AE151" s="48"/>
      <c r="AF151" s="48"/>
      <c r="AG151" s="48"/>
      <c r="AH151" s="48"/>
      <c r="AI151" s="48"/>
      <c r="AJ151" s="48"/>
      <c r="AK151" s="48"/>
      <c r="AL151" s="48"/>
      <c r="AM151" s="48"/>
      <c r="AN151" s="48"/>
      <c r="AO151" s="51"/>
      <c r="AP151" s="233" t="str">
        <f>IFERROR(IF(SUM(F151:K151)&lt;&gt;0,SUM(F151:K151),""),"")</f>
        <v/>
      </c>
      <c r="AQ151" s="234" t="str">
        <f>IFERROR(IF(SUM(L151:Q151)&lt;&gt;0,SUM(L151:Q151),""),"")</f>
        <v/>
      </c>
      <c r="AR151" s="233" t="str">
        <f>IFERROR(IF(SUM(R151:W151)&lt;&gt;0,SUM(R151:W151),""),"")</f>
        <v/>
      </c>
      <c r="AS151" s="234" t="str">
        <f>IFERROR(IF(SUM(X151:AC151)&lt;&gt;0,SUM(X151:AC151),""),"")</f>
        <v/>
      </c>
      <c r="AT151" s="233" t="str">
        <f>IFERROR(IF(SUM(AD151:AI151)&lt;&gt;0,SUM(AD151:AI151),""),"")</f>
        <v/>
      </c>
      <c r="AU151" s="234" t="str">
        <f>IFERROR(IF(SUM(AJ151:AO151)&lt;&gt;0,SUM(AJ151:AO151),""),"")</f>
        <v/>
      </c>
      <c r="AV151" s="75"/>
      <c r="AW151" s="76"/>
      <c r="AX151" s="75"/>
      <c r="AY151" s="76"/>
      <c r="AZ151" s="75"/>
      <c r="BA151" s="76"/>
      <c r="BB151" s="75"/>
      <c r="BC151" s="76"/>
      <c r="BD151" s="75"/>
      <c r="BE151" s="268"/>
      <c r="BF151" s="271" t="e">
        <f t="shared" si="784"/>
        <v>#N/A</v>
      </c>
      <c r="BG151" s="271" t="e">
        <f t="shared" si="785"/>
        <v>#N/A</v>
      </c>
      <c r="BH151" s="271" t="e">
        <f t="shared" si="786"/>
        <v>#N/A</v>
      </c>
      <c r="BI151" s="271" t="e">
        <f t="shared" si="787"/>
        <v>#N/A</v>
      </c>
      <c r="BJ151" s="271" t="e">
        <f t="shared" si="788"/>
        <v>#N/A</v>
      </c>
      <c r="BK151" s="271" t="e">
        <f t="shared" si="789"/>
        <v>#N/A</v>
      </c>
      <c r="BL151" s="271" t="e">
        <f t="shared" si="790"/>
        <v>#N/A</v>
      </c>
      <c r="BM151" s="271" t="e">
        <f t="shared" si="791"/>
        <v>#N/A</v>
      </c>
    </row>
    <row r="152" spans="1:65" s="102" customFormat="1" ht="14.25" customHeight="1" outlineLevel="2" x14ac:dyDescent="0.2">
      <c r="A152" s="320" t="s">
        <v>226</v>
      </c>
      <c r="B152" s="347"/>
      <c r="C152" s="350"/>
      <c r="D152" s="344"/>
      <c r="E152" s="279" t="s">
        <v>32</v>
      </c>
      <c r="F152" s="64"/>
      <c r="G152" s="65"/>
      <c r="H152" s="65"/>
      <c r="I152" s="65"/>
      <c r="J152" s="65"/>
      <c r="K152" s="65"/>
      <c r="L152" s="65"/>
      <c r="M152" s="65"/>
      <c r="N152" s="65"/>
      <c r="O152" s="65"/>
      <c r="P152" s="65"/>
      <c r="Q152" s="66"/>
      <c r="R152" s="64"/>
      <c r="S152" s="65"/>
      <c r="T152" s="65"/>
      <c r="U152" s="65"/>
      <c r="V152" s="65"/>
      <c r="W152" s="65"/>
      <c r="X152" s="65"/>
      <c r="Y152" s="65"/>
      <c r="Z152" s="65"/>
      <c r="AA152" s="65"/>
      <c r="AB152" s="65"/>
      <c r="AC152" s="66"/>
      <c r="AD152" s="64"/>
      <c r="AE152" s="65"/>
      <c r="AF152" s="65"/>
      <c r="AG152" s="65"/>
      <c r="AH152" s="65"/>
      <c r="AI152" s="65"/>
      <c r="AJ152" s="65"/>
      <c r="AK152" s="65"/>
      <c r="AL152" s="65"/>
      <c r="AM152" s="65"/>
      <c r="AN152" s="65"/>
      <c r="AO152" s="66"/>
      <c r="AP152" s="32" t="str">
        <f>IFERROR(IF(AVERAGE(F152:K152)&lt;&gt;0,AVERAGE(F152:K152),""),"")</f>
        <v/>
      </c>
      <c r="AQ152" s="235" t="str">
        <f>IFERROR(IF(AVERAGE(L152:Q152)&lt;&gt;0,AVERAGE(L152:Q152),""),"")</f>
        <v/>
      </c>
      <c r="AR152" s="32" t="str">
        <f>IFERROR(IF(AVERAGE(R152:W152)&lt;&gt;0,AVERAGE(R152:W152),""),"")</f>
        <v/>
      </c>
      <c r="AS152" s="235" t="str">
        <f>IFERROR(IF(AVERAGE(X152:AC152)&lt;&gt;0,AVERAGE(X152:AC152),""),"")</f>
        <v/>
      </c>
      <c r="AT152" s="32" t="str">
        <f>IFERROR(IF(AVERAGE(AD152:AI152)&lt;&gt;0,AVERAGE(AD152:AI152),""),"")</f>
        <v/>
      </c>
      <c r="AU152" s="235" t="str">
        <f>IFERROR(IF(AVERAGE(AJ152:AO152)&lt;&gt;0,AVERAGE(AJ152:AO152),""),"")</f>
        <v/>
      </c>
      <c r="AV152" s="77"/>
      <c r="AW152" s="65"/>
      <c r="AX152" s="77"/>
      <c r="AY152" s="65"/>
      <c r="AZ152" s="77"/>
      <c r="BA152" s="65"/>
      <c r="BB152" s="77"/>
      <c r="BC152" s="65"/>
      <c r="BD152" s="77"/>
      <c r="BE152" s="269"/>
      <c r="BF152" s="272" t="str">
        <f>IFERROR(IF(AVERAGE(AP152:AQ152)&lt;&gt;0,AVERAGE(AP152:AQ152),""),"")</f>
        <v/>
      </c>
      <c r="BG152" s="272" t="str">
        <f>IFERROR(IF(AVERAGE(AR152:AS152)&lt;&gt;0,AVERAGE(AR152:AS152),""),"")</f>
        <v/>
      </c>
      <c r="BH152" s="272" t="str">
        <f>IFERROR(IF(AVERAGE(AT152:AU152)&lt;&gt;0,AVERAGE(AT152:AU152),""),"")</f>
        <v/>
      </c>
      <c r="BI152" s="272" t="str">
        <f>IFERROR(IF(AVERAGE(AV152:AW152)&lt;&gt;0,AVERAGE(AV152:AW152),""),"")</f>
        <v/>
      </c>
      <c r="BJ152" s="272" t="str">
        <f>IFERROR(IF(AVERAGE(AX152:AY152)&lt;&gt;0,AVERAGE(AX152:AY152),""),"")</f>
        <v/>
      </c>
      <c r="BK152" s="272" t="str">
        <f>IFERROR(IF(AVERAGE(AZ152:BA152)&lt;&gt;0,AVERAGE(AZ152:BA152),""),"")</f>
        <v/>
      </c>
      <c r="BL152" s="272" t="str">
        <f>IFERROR(IF(AVERAGE(BB152:BC152)&lt;&gt;0,AVERAGE(BB152:BC152),""),"")</f>
        <v/>
      </c>
      <c r="BM152" s="272" t="str">
        <f>IFERROR(IF(AVERAGE(BD152:BE152)&lt;&gt;0,AVERAGE(BD152:BE152),""),"")</f>
        <v/>
      </c>
    </row>
    <row r="153" spans="1:65" s="102" customFormat="1" ht="15" customHeight="1" outlineLevel="2" thickBot="1" x14ac:dyDescent="0.25">
      <c r="A153" s="320" t="s">
        <v>226</v>
      </c>
      <c r="B153" s="347"/>
      <c r="C153" s="350"/>
      <c r="D153" s="344"/>
      <c r="E153" s="281" t="s">
        <v>2</v>
      </c>
      <c r="F153" s="67"/>
      <c r="G153" s="68"/>
      <c r="H153" s="68"/>
      <c r="I153" s="68"/>
      <c r="J153" s="68"/>
      <c r="K153" s="68"/>
      <c r="L153" s="68"/>
      <c r="M153" s="68"/>
      <c r="N153" s="68"/>
      <c r="O153" s="68"/>
      <c r="P153" s="68"/>
      <c r="Q153" s="69"/>
      <c r="R153" s="67"/>
      <c r="S153" s="68"/>
      <c r="T153" s="68"/>
      <c r="U153" s="68"/>
      <c r="V153" s="68"/>
      <c r="W153" s="68"/>
      <c r="X153" s="68"/>
      <c r="Y153" s="68"/>
      <c r="Z153" s="68"/>
      <c r="AA153" s="68"/>
      <c r="AB153" s="68"/>
      <c r="AC153" s="69"/>
      <c r="AD153" s="67"/>
      <c r="AE153" s="68"/>
      <c r="AF153" s="68"/>
      <c r="AG153" s="68"/>
      <c r="AH153" s="68"/>
      <c r="AI153" s="68"/>
      <c r="AJ153" s="68"/>
      <c r="AK153" s="68"/>
      <c r="AL153" s="68"/>
      <c r="AM153" s="68"/>
      <c r="AN153" s="68"/>
      <c r="AO153" s="69"/>
      <c r="AP153" s="236" t="str">
        <f>IFERROR(IF(AVERAGE(F153:K153)&lt;&gt;0,AVERAGE(F153:K153),""),"")</f>
        <v/>
      </c>
      <c r="AQ153" s="237" t="str">
        <f>IFERROR(IF(AVERAGE(L153:Q153)&lt;&gt;0,AVERAGE(L153:Q153),""),"")</f>
        <v/>
      </c>
      <c r="AR153" s="236" t="str">
        <f>IFERROR(IF(AVERAGE(R153:W153)&lt;&gt;0,AVERAGE(R153:W153),""),"")</f>
        <v/>
      </c>
      <c r="AS153" s="237" t="str">
        <f>IFERROR(IF(AVERAGE(X153:AC153)&lt;&gt;0,AVERAGE(X153:AC153),""),"")</f>
        <v/>
      </c>
      <c r="AT153" s="236" t="str">
        <f>IFERROR(IF(AVERAGE(AD153:AI153)&lt;&gt;0,AVERAGE(AD153:AI153),""),"")</f>
        <v/>
      </c>
      <c r="AU153" s="237" t="str">
        <f>IFERROR(IF(AVERAGE(AJ153:AO153)&lt;&gt;0,AVERAGE(AJ153:AO153),""),"")</f>
        <v/>
      </c>
      <c r="AV153" s="78"/>
      <c r="AW153" s="68"/>
      <c r="AX153" s="78"/>
      <c r="AY153" s="68"/>
      <c r="AZ153" s="78"/>
      <c r="BA153" s="68"/>
      <c r="BB153" s="78"/>
      <c r="BC153" s="68"/>
      <c r="BD153" s="78"/>
      <c r="BE153" s="270"/>
      <c r="BF153" s="288" t="str">
        <f>IFERROR(IF(AVERAGE(AP153:AQ153)&lt;&gt;0,AVERAGE(AP153:AQ153),""),"")</f>
        <v/>
      </c>
      <c r="BG153" s="288" t="str">
        <f>IFERROR(IF(AVERAGE(AR153:AS153)&lt;&gt;0,AVERAGE(AR153:AS153),""),"")</f>
        <v/>
      </c>
      <c r="BH153" s="288" t="str">
        <f>IFERROR(IF(AVERAGE(AT153:AU153)&lt;&gt;0,AVERAGE(AT153:AU153),""),"")</f>
        <v/>
      </c>
      <c r="BI153" s="288" t="str">
        <f>IFERROR(IF(AVERAGE(AV153:AW153)&lt;&gt;0,AVERAGE(AV153:AW153),""),"")</f>
        <v/>
      </c>
      <c r="BJ153" s="288" t="str">
        <f>IFERROR(IF(AVERAGE(AX153:AY153)&lt;&gt;0,AVERAGE(AX153:AY153),""),"")</f>
        <v/>
      </c>
      <c r="BK153" s="288" t="str">
        <f>IFERROR(IF(AVERAGE(AZ153:BA153)&lt;&gt;0,AVERAGE(AZ153:BA153),""),"")</f>
        <v/>
      </c>
      <c r="BL153" s="288" t="str">
        <f>IFERROR(IF(AVERAGE(BB153:BC153)&lt;&gt;0,AVERAGE(BB153:BC153),""),"")</f>
        <v/>
      </c>
      <c r="BM153" s="288" t="str">
        <f>IFERROR(IF(AVERAGE(BD153:BE153)&lt;&gt;0,AVERAGE(BD153:BE153),""),"")</f>
        <v/>
      </c>
    </row>
    <row r="154" spans="1:65" s="102" customFormat="1" ht="14.25" customHeight="1" outlineLevel="1" x14ac:dyDescent="0.2">
      <c r="A154" s="320" t="s">
        <v>226</v>
      </c>
      <c r="B154" s="347"/>
      <c r="C154" s="350"/>
      <c r="D154" s="344"/>
      <c r="E154" s="282" t="s">
        <v>228</v>
      </c>
      <c r="F154" s="283" t="str">
        <f ca="1">IF(IFERROR((F$11*(F146-SUM(F148:F151)/F$11)*F153*3600)/(F152),"")&gt;0,IFERROR((F$11*(F146-SUM(F148:F151)/F$11)*F153*3600)/(F152),""),"")</f>
        <v/>
      </c>
      <c r="G154" s="284" t="str">
        <f t="shared" ref="G154:AO154" ca="1" si="792">IF(IFERROR((G$11*(G146-SUM(G148:G151)/G$11)*G153*3600)/(G152),"")&gt;0,IFERROR((G$11*(G146-SUM(G148:G151)/G$11)*G153*3600)/(G152),""),"")</f>
        <v/>
      </c>
      <c r="H154" s="284" t="str">
        <f t="shared" ca="1" si="792"/>
        <v/>
      </c>
      <c r="I154" s="284" t="str">
        <f t="shared" ca="1" si="792"/>
        <v/>
      </c>
      <c r="J154" s="284" t="str">
        <f t="shared" ca="1" si="792"/>
        <v/>
      </c>
      <c r="K154" s="284" t="str">
        <f t="shared" ca="1" si="792"/>
        <v/>
      </c>
      <c r="L154" s="284" t="str">
        <f t="shared" ca="1" si="792"/>
        <v/>
      </c>
      <c r="M154" s="284" t="str">
        <f t="shared" ca="1" si="792"/>
        <v/>
      </c>
      <c r="N154" s="284" t="str">
        <f t="shared" ca="1" si="792"/>
        <v/>
      </c>
      <c r="O154" s="284" t="str">
        <f t="shared" ca="1" si="792"/>
        <v/>
      </c>
      <c r="P154" s="284" t="str">
        <f t="shared" ca="1" si="792"/>
        <v/>
      </c>
      <c r="Q154" s="284" t="str">
        <f t="shared" ca="1" si="792"/>
        <v/>
      </c>
      <c r="R154" s="283" t="str">
        <f t="shared" ca="1" si="792"/>
        <v/>
      </c>
      <c r="S154" s="284" t="str">
        <f t="shared" ca="1" si="792"/>
        <v/>
      </c>
      <c r="T154" s="284" t="str">
        <f t="shared" ca="1" si="792"/>
        <v/>
      </c>
      <c r="U154" s="284" t="str">
        <f t="shared" ca="1" si="792"/>
        <v/>
      </c>
      <c r="V154" s="284" t="str">
        <f t="shared" ca="1" si="792"/>
        <v/>
      </c>
      <c r="W154" s="284" t="str">
        <f t="shared" ca="1" si="792"/>
        <v/>
      </c>
      <c r="X154" s="284" t="str">
        <f t="shared" ca="1" si="792"/>
        <v/>
      </c>
      <c r="Y154" s="284" t="str">
        <f t="shared" ca="1" si="792"/>
        <v/>
      </c>
      <c r="Z154" s="284" t="str">
        <f t="shared" ca="1" si="792"/>
        <v/>
      </c>
      <c r="AA154" s="284" t="str">
        <f t="shared" ca="1" si="792"/>
        <v/>
      </c>
      <c r="AB154" s="284" t="str">
        <f t="shared" ca="1" si="792"/>
        <v/>
      </c>
      <c r="AC154" s="284" t="str">
        <f t="shared" ca="1" si="792"/>
        <v/>
      </c>
      <c r="AD154" s="283" t="str">
        <f t="shared" ca="1" si="792"/>
        <v/>
      </c>
      <c r="AE154" s="284" t="str">
        <f t="shared" ca="1" si="792"/>
        <v/>
      </c>
      <c r="AF154" s="284" t="str">
        <f t="shared" ca="1" si="792"/>
        <v/>
      </c>
      <c r="AG154" s="284" t="str">
        <f t="shared" ca="1" si="792"/>
        <v/>
      </c>
      <c r="AH154" s="284" t="str">
        <f t="shared" ca="1" si="792"/>
        <v/>
      </c>
      <c r="AI154" s="284" t="str">
        <f t="shared" ca="1" si="792"/>
        <v/>
      </c>
      <c r="AJ154" s="284" t="str">
        <f t="shared" ca="1" si="792"/>
        <v/>
      </c>
      <c r="AK154" s="284" t="str">
        <f t="shared" ca="1" si="792"/>
        <v/>
      </c>
      <c r="AL154" s="284" t="str">
        <f t="shared" ca="1" si="792"/>
        <v/>
      </c>
      <c r="AM154" s="284" t="str">
        <f t="shared" ca="1" si="792"/>
        <v/>
      </c>
      <c r="AN154" s="284" t="str">
        <f t="shared" ca="1" si="792"/>
        <v/>
      </c>
      <c r="AO154" s="284" t="str">
        <f t="shared" ca="1" si="792"/>
        <v/>
      </c>
      <c r="AP154" s="283" t="e">
        <f t="shared" ref="AP154:AP155" ca="1" si="793">IF(SUM(F154:K154)&lt;&gt;0,SUM(F154:K154),#N/A)</f>
        <v>#N/A</v>
      </c>
      <c r="AQ154" s="284" t="e">
        <f t="shared" ref="AQ154:AQ155" ca="1" si="794">IF(SUM(L154:Q154)&lt;&gt;0,SUM(L154:Q154),#N/A)</f>
        <v>#N/A</v>
      </c>
      <c r="AR154" s="283" t="e">
        <f t="shared" ref="AR154:AR155" ca="1" si="795">IF(SUM(R154:W154)&lt;&gt;0,SUM(R154:W154),#N/A)</f>
        <v>#N/A</v>
      </c>
      <c r="AS154" s="284" t="e">
        <f t="shared" ref="AS154:AS155" ca="1" si="796">IF(SUM(X154:AC154)&lt;&gt;0,SUM(X154:AC154),#N/A)</f>
        <v>#N/A</v>
      </c>
      <c r="AT154" s="283" t="e">
        <f t="shared" ref="AT154:AT155" ca="1" si="797">IF(SUM(AD154:AI154)&lt;&gt;0,SUM(AD154:AI154),#N/A)</f>
        <v>#N/A</v>
      </c>
      <c r="AU154" s="284" t="e">
        <f t="shared" ref="AU154:AU155" ca="1" si="798">IF(SUM(AJ154:AO154)&lt;&gt;0,SUM(AJ154:AO154),#N/A)</f>
        <v>#N/A</v>
      </c>
      <c r="AV154" s="283" t="str">
        <f ca="1">IF(IFERROR((AV$11*(AV146-SUM(AV148:AV151)/AV$11)*AV153*3600)/(AV152),"")&lt;&gt;0,IFERROR((AV$11*(AV146-SUM(AV148:AV151)/AV$11)*AV153*3600)/(AV152),""),"")</f>
        <v/>
      </c>
      <c r="AW154" s="284" t="str">
        <f t="shared" ref="AW154:BE154" ca="1" si="799">IF(IFERROR((AW$11*(AW146-SUM(AW148:AW151)/AW$11)*AW153*3600)/(AW152),"")&lt;&gt;0,IFERROR((AW$11*(AW146-SUM(AW148:AW151)/AW$11)*AW153*3600)/(AW152),""),"")</f>
        <v/>
      </c>
      <c r="AX154" s="283" t="str">
        <f t="shared" ca="1" si="799"/>
        <v/>
      </c>
      <c r="AY154" s="284" t="str">
        <f t="shared" ca="1" si="799"/>
        <v/>
      </c>
      <c r="AZ154" s="283" t="str">
        <f t="shared" ca="1" si="799"/>
        <v/>
      </c>
      <c r="BA154" s="284" t="str">
        <f t="shared" ca="1" si="799"/>
        <v/>
      </c>
      <c r="BB154" s="283" t="str">
        <f t="shared" ca="1" si="799"/>
        <v/>
      </c>
      <c r="BC154" s="284" t="str">
        <f t="shared" ca="1" si="799"/>
        <v/>
      </c>
      <c r="BD154" s="283" t="str">
        <f t="shared" ca="1" si="799"/>
        <v/>
      </c>
      <c r="BE154" s="285" t="str">
        <f t="shared" ca="1" si="799"/>
        <v/>
      </c>
      <c r="BF154" s="285" t="e">
        <f t="shared" ref="BF154:BF156" ca="1" si="800">IF(SUM(AP154,AQ154)&lt;&gt;0,SUM(AP154,AQ154),#N/A)</f>
        <v>#N/A</v>
      </c>
      <c r="BG154" s="285" t="e">
        <f t="shared" ref="BG154:BG156" ca="1" si="801">IF(SUM(AR154,AS154)&lt;&gt;0,SUM(AR154,AS154),#N/A)</f>
        <v>#N/A</v>
      </c>
      <c r="BH154" s="285" t="e">
        <f t="shared" ref="BH154:BH156" ca="1" si="802">IF(SUM(AT154,AU154)&lt;&gt;0,SUM(AT154,AU154),#N/A)</f>
        <v>#N/A</v>
      </c>
      <c r="BI154" s="285" t="e">
        <f t="shared" ref="BI154:BI156" ca="1" si="803">IF(SUM(AV154,AW154)&lt;&gt;0,SUM(AV154,AW154),#N/A)</f>
        <v>#N/A</v>
      </c>
      <c r="BJ154" s="285" t="e">
        <f t="shared" ref="BJ154:BJ156" ca="1" si="804">IF(SUM(AX154,AY154)&lt;&gt;0,SUM(AX154,AY154),#N/A)</f>
        <v>#N/A</v>
      </c>
      <c r="BK154" s="285" t="e">
        <f t="shared" ref="BK154:BK156" ca="1" si="805">IF(SUM(AZ154,BA154)&lt;&gt;0,SUM(AZ154,BA154),#N/A)</f>
        <v>#N/A</v>
      </c>
      <c r="BL154" s="285" t="e">
        <f t="shared" ref="BL154:BL156" ca="1" si="806">IF(SUM(BB154,BC154)&lt;&gt;0,SUM(BB154,BC154),#N/A)</f>
        <v>#N/A</v>
      </c>
      <c r="BM154" s="285" t="e">
        <f t="shared" ref="BM154:BM156" ca="1" si="807">IF(SUM(BD154,BE154)&lt;&gt;0,SUM(BD154,BE154),#N/A)</f>
        <v>#N/A</v>
      </c>
    </row>
    <row r="155" spans="1:65" s="102" customFormat="1" ht="15" customHeight="1" outlineLevel="1" thickBot="1" x14ac:dyDescent="0.25">
      <c r="A155" s="320" t="s">
        <v>226</v>
      </c>
      <c r="B155" s="348"/>
      <c r="C155" s="351"/>
      <c r="D155" s="345"/>
      <c r="E155" s="104" t="s">
        <v>225</v>
      </c>
      <c r="F155" s="317" t="str">
        <f ca="1">IFERROR(F154+((F145*F147*F153*3600)/(F152)),"")</f>
        <v/>
      </c>
      <c r="G155" s="318" t="str">
        <f t="shared" ref="G155:AO155" ca="1" si="808">IFERROR(G154+((G145*G147*G153*3600)/(G152)),"")</f>
        <v/>
      </c>
      <c r="H155" s="318" t="str">
        <f t="shared" ca="1" si="808"/>
        <v/>
      </c>
      <c r="I155" s="318" t="str">
        <f t="shared" ca="1" si="808"/>
        <v/>
      </c>
      <c r="J155" s="318" t="str">
        <f t="shared" ca="1" si="808"/>
        <v/>
      </c>
      <c r="K155" s="318" t="str">
        <f t="shared" ca="1" si="808"/>
        <v/>
      </c>
      <c r="L155" s="318" t="str">
        <f t="shared" ca="1" si="808"/>
        <v/>
      </c>
      <c r="M155" s="318" t="str">
        <f t="shared" ca="1" si="808"/>
        <v/>
      </c>
      <c r="N155" s="318" t="str">
        <f t="shared" ca="1" si="808"/>
        <v/>
      </c>
      <c r="O155" s="318" t="str">
        <f t="shared" ca="1" si="808"/>
        <v/>
      </c>
      <c r="P155" s="318" t="str">
        <f t="shared" ca="1" si="808"/>
        <v/>
      </c>
      <c r="Q155" s="318" t="str">
        <f t="shared" ca="1" si="808"/>
        <v/>
      </c>
      <c r="R155" s="317" t="str">
        <f t="shared" ca="1" si="808"/>
        <v/>
      </c>
      <c r="S155" s="318" t="str">
        <f t="shared" ca="1" si="808"/>
        <v/>
      </c>
      <c r="T155" s="318" t="str">
        <f t="shared" ca="1" si="808"/>
        <v/>
      </c>
      <c r="U155" s="318" t="str">
        <f t="shared" ca="1" si="808"/>
        <v/>
      </c>
      <c r="V155" s="318" t="str">
        <f t="shared" ca="1" si="808"/>
        <v/>
      </c>
      <c r="W155" s="318" t="str">
        <f t="shared" ca="1" si="808"/>
        <v/>
      </c>
      <c r="X155" s="318" t="str">
        <f t="shared" ca="1" si="808"/>
        <v/>
      </c>
      <c r="Y155" s="318" t="str">
        <f t="shared" ca="1" si="808"/>
        <v/>
      </c>
      <c r="Z155" s="318" t="str">
        <f t="shared" ca="1" si="808"/>
        <v/>
      </c>
      <c r="AA155" s="318" t="str">
        <f t="shared" ca="1" si="808"/>
        <v/>
      </c>
      <c r="AB155" s="318" t="str">
        <f t="shared" ca="1" si="808"/>
        <v/>
      </c>
      <c r="AC155" s="318" t="str">
        <f t="shared" ca="1" si="808"/>
        <v/>
      </c>
      <c r="AD155" s="317" t="str">
        <f t="shared" ca="1" si="808"/>
        <v/>
      </c>
      <c r="AE155" s="318" t="str">
        <f t="shared" ca="1" si="808"/>
        <v/>
      </c>
      <c r="AF155" s="318" t="str">
        <f t="shared" ca="1" si="808"/>
        <v/>
      </c>
      <c r="AG155" s="318" t="str">
        <f t="shared" ca="1" si="808"/>
        <v/>
      </c>
      <c r="AH155" s="318" t="str">
        <f t="shared" ca="1" si="808"/>
        <v/>
      </c>
      <c r="AI155" s="318" t="str">
        <f t="shared" ca="1" si="808"/>
        <v/>
      </c>
      <c r="AJ155" s="318" t="str">
        <f t="shared" ca="1" si="808"/>
        <v/>
      </c>
      <c r="AK155" s="318" t="str">
        <f t="shared" ca="1" si="808"/>
        <v/>
      </c>
      <c r="AL155" s="318" t="str">
        <f t="shared" ca="1" si="808"/>
        <v/>
      </c>
      <c r="AM155" s="318" t="str">
        <f t="shared" ca="1" si="808"/>
        <v/>
      </c>
      <c r="AN155" s="318" t="str">
        <f t="shared" ca="1" si="808"/>
        <v/>
      </c>
      <c r="AO155" s="318" t="str">
        <f t="shared" ca="1" si="808"/>
        <v/>
      </c>
      <c r="AP155" s="317" t="e">
        <f t="shared" ca="1" si="793"/>
        <v>#N/A</v>
      </c>
      <c r="AQ155" s="318" t="e">
        <f t="shared" ca="1" si="794"/>
        <v>#N/A</v>
      </c>
      <c r="AR155" s="317" t="e">
        <f t="shared" ca="1" si="795"/>
        <v>#N/A</v>
      </c>
      <c r="AS155" s="318" t="e">
        <f t="shared" ca="1" si="796"/>
        <v>#N/A</v>
      </c>
      <c r="AT155" s="317" t="e">
        <f t="shared" ca="1" si="797"/>
        <v>#N/A</v>
      </c>
      <c r="AU155" s="318" t="e">
        <f t="shared" ca="1" si="798"/>
        <v>#N/A</v>
      </c>
      <c r="AV155" s="317" t="str">
        <f t="shared" ref="AV155:BE155" ca="1" si="809">IFERROR(AV154+((AV145*AV147*AV153*3600)/(AV152)),"")</f>
        <v/>
      </c>
      <c r="AW155" s="318" t="str">
        <f t="shared" ca="1" si="809"/>
        <v/>
      </c>
      <c r="AX155" s="317" t="str">
        <f t="shared" ca="1" si="809"/>
        <v/>
      </c>
      <c r="AY155" s="318" t="str">
        <f t="shared" ca="1" si="809"/>
        <v/>
      </c>
      <c r="AZ155" s="317" t="str">
        <f t="shared" ca="1" si="809"/>
        <v/>
      </c>
      <c r="BA155" s="318" t="str">
        <f t="shared" ca="1" si="809"/>
        <v/>
      </c>
      <c r="BB155" s="317" t="str">
        <f t="shared" ca="1" si="809"/>
        <v/>
      </c>
      <c r="BC155" s="318" t="str">
        <f t="shared" ca="1" si="809"/>
        <v/>
      </c>
      <c r="BD155" s="317" t="str">
        <f t="shared" ca="1" si="809"/>
        <v/>
      </c>
      <c r="BE155" s="291" t="str">
        <f t="shared" ca="1" si="809"/>
        <v/>
      </c>
      <c r="BF155" s="291" t="e">
        <f t="shared" ca="1" si="800"/>
        <v>#N/A</v>
      </c>
      <c r="BG155" s="291" t="e">
        <f t="shared" ca="1" si="801"/>
        <v>#N/A</v>
      </c>
      <c r="BH155" s="291" t="e">
        <f t="shared" ca="1" si="802"/>
        <v>#N/A</v>
      </c>
      <c r="BI155" s="291" t="e">
        <f t="shared" ca="1" si="803"/>
        <v>#N/A</v>
      </c>
      <c r="BJ155" s="291" t="e">
        <f t="shared" ca="1" si="804"/>
        <v>#N/A</v>
      </c>
      <c r="BK155" s="291" t="e">
        <f t="shared" ca="1" si="805"/>
        <v>#N/A</v>
      </c>
      <c r="BL155" s="291" t="e">
        <f t="shared" ca="1" si="806"/>
        <v>#N/A</v>
      </c>
      <c r="BM155" s="291" t="e">
        <f t="shared" ca="1" si="807"/>
        <v>#N/A</v>
      </c>
    </row>
    <row r="156" spans="1:65" s="102" customFormat="1" ht="22.5" outlineLevel="2" x14ac:dyDescent="0.2">
      <c r="A156" s="320" t="s">
        <v>226</v>
      </c>
      <c r="B156" s="346"/>
      <c r="C156" s="349" t="str">
        <f t="shared" ref="C156" si="810">IF(AND($B156&lt;&gt;0,$C$9&lt;&gt;0),$C$9,"")</f>
        <v/>
      </c>
      <c r="D156" s="343"/>
      <c r="E156" s="277" t="s">
        <v>40</v>
      </c>
      <c r="F156" s="33">
        <f ca="1">IF(F$11-(SUM(F160:F163)/24)=0,"",F$11-(SUM(F160:F163)/24))</f>
        <v>27</v>
      </c>
      <c r="G156" s="34">
        <f t="shared" ref="G156:AO156" ca="1" si="811">IF(G$11-(SUM(G160:G163)/24)=0,"",G$11-(SUM(G160:G163)/24))</f>
        <v>24</v>
      </c>
      <c r="H156" s="34">
        <f t="shared" ca="1" si="811"/>
        <v>26</v>
      </c>
      <c r="I156" s="34">
        <f t="shared" ca="1" si="811"/>
        <v>26</v>
      </c>
      <c r="J156" s="34">
        <f t="shared" ca="1" si="811"/>
        <v>27</v>
      </c>
      <c r="K156" s="34">
        <f t="shared" ca="1" si="811"/>
        <v>25</v>
      </c>
      <c r="L156" s="34">
        <f t="shared" ca="1" si="811"/>
        <v>27</v>
      </c>
      <c r="M156" s="34">
        <f t="shared" ca="1" si="811"/>
        <v>26</v>
      </c>
      <c r="N156" s="34">
        <f t="shared" ca="1" si="811"/>
        <v>26</v>
      </c>
      <c r="O156" s="34">
        <f t="shared" ca="1" si="811"/>
        <v>27</v>
      </c>
      <c r="P156" s="34">
        <f t="shared" ca="1" si="811"/>
        <v>25</v>
      </c>
      <c r="Q156" s="34">
        <f t="shared" ca="1" si="811"/>
        <v>27</v>
      </c>
      <c r="R156" s="32">
        <f t="shared" ca="1" si="811"/>
        <v>27</v>
      </c>
      <c r="S156" s="29">
        <f t="shared" ca="1" si="811"/>
        <v>24</v>
      </c>
      <c r="T156" s="29">
        <f t="shared" ca="1" si="811"/>
        <v>26</v>
      </c>
      <c r="U156" s="29">
        <f t="shared" ca="1" si="811"/>
        <v>26</v>
      </c>
      <c r="V156" s="29">
        <f t="shared" ca="1" si="811"/>
        <v>26</v>
      </c>
      <c r="W156" s="29">
        <f t="shared" ca="1" si="811"/>
        <v>26</v>
      </c>
      <c r="X156" s="29">
        <f t="shared" ca="1" si="811"/>
        <v>27</v>
      </c>
      <c r="Y156" s="29">
        <f t="shared" ca="1" si="811"/>
        <v>26</v>
      </c>
      <c r="Z156" s="29">
        <f t="shared" ca="1" si="811"/>
        <v>26</v>
      </c>
      <c r="AA156" s="29">
        <f t="shared" ca="1" si="811"/>
        <v>27</v>
      </c>
      <c r="AB156" s="29">
        <f t="shared" ca="1" si="811"/>
        <v>25</v>
      </c>
      <c r="AC156" s="29">
        <f t="shared" ca="1" si="811"/>
        <v>27</v>
      </c>
      <c r="AD156" s="32">
        <f t="shared" ca="1" si="811"/>
        <v>26</v>
      </c>
      <c r="AE156" s="29">
        <f t="shared" ca="1" si="811"/>
        <v>24</v>
      </c>
      <c r="AF156" s="29">
        <f t="shared" ca="1" si="811"/>
        <v>27</v>
      </c>
      <c r="AG156" s="29">
        <f t="shared" ca="1" si="811"/>
        <v>26</v>
      </c>
      <c r="AH156" s="29">
        <f t="shared" ca="1" si="811"/>
        <v>26</v>
      </c>
      <c r="AI156" s="29">
        <f t="shared" ca="1" si="811"/>
        <v>26</v>
      </c>
      <c r="AJ156" s="29">
        <f t="shared" ca="1" si="811"/>
        <v>27</v>
      </c>
      <c r="AK156" s="29">
        <f t="shared" ca="1" si="811"/>
        <v>26</v>
      </c>
      <c r="AL156" s="29">
        <f t="shared" ca="1" si="811"/>
        <v>26</v>
      </c>
      <c r="AM156" s="29">
        <f t="shared" ca="1" si="811"/>
        <v>26</v>
      </c>
      <c r="AN156" s="29">
        <f t="shared" ca="1" si="811"/>
        <v>26</v>
      </c>
      <c r="AO156" s="29">
        <f t="shared" ca="1" si="811"/>
        <v>27</v>
      </c>
      <c r="AP156" s="32">
        <f ca="1">IF(SUM(F156:K156)&lt;&gt;0,SUM(F156:K156),"")</f>
        <v>155</v>
      </c>
      <c r="AQ156" s="29">
        <f ca="1">IF(SUM(L156:Q156)&lt;&gt;0,SUM(L156:Q156),"")</f>
        <v>158</v>
      </c>
      <c r="AR156" s="32">
        <f ca="1">IF(SUM(R156:W156)&lt;&gt;0,SUM(R156:W156),"")</f>
        <v>155</v>
      </c>
      <c r="AS156" s="29">
        <f ca="1">IF(SUM(X156:AC156)&lt;&gt;0,SUM(X156:AC156),"")</f>
        <v>158</v>
      </c>
      <c r="AT156" s="32">
        <f ca="1">IF(SUM(AD156:AI156)&lt;&gt;0,SUM(AD156:AI156),"")</f>
        <v>155</v>
      </c>
      <c r="AU156" s="296">
        <f ca="1">SUM(AJ156:AO156)</f>
        <v>158</v>
      </c>
      <c r="AV156" s="32">
        <f t="shared" ref="AV156:BE156" ca="1" si="812">IF(AV$11-(SUM(AV160:AV163)/24)=0,"",AV$11-(SUM(AV160:AV163)/24))</f>
        <v>156</v>
      </c>
      <c r="AW156" s="29">
        <f t="shared" ca="1" si="812"/>
        <v>157</v>
      </c>
      <c r="AX156" s="32">
        <f t="shared" ca="1" si="812"/>
        <v>156</v>
      </c>
      <c r="AY156" s="29">
        <f t="shared" ca="1" si="812"/>
        <v>158</v>
      </c>
      <c r="AZ156" s="32">
        <f t="shared" ca="1" si="812"/>
        <v>155</v>
      </c>
      <c r="BA156" s="29">
        <f t="shared" ca="1" si="812"/>
        <v>158</v>
      </c>
      <c r="BB156" s="32">
        <f t="shared" ca="1" si="812"/>
        <v>155</v>
      </c>
      <c r="BC156" s="29">
        <f t="shared" ca="1" si="812"/>
        <v>158</v>
      </c>
      <c r="BD156" s="32">
        <f t="shared" ca="1" si="812"/>
        <v>156</v>
      </c>
      <c r="BE156" s="262">
        <f t="shared" ca="1" si="812"/>
        <v>158</v>
      </c>
      <c r="BF156" s="286">
        <f t="shared" ca="1" si="800"/>
        <v>313</v>
      </c>
      <c r="BG156" s="286">
        <f t="shared" ca="1" si="801"/>
        <v>313</v>
      </c>
      <c r="BH156" s="286">
        <f t="shared" ca="1" si="802"/>
        <v>313</v>
      </c>
      <c r="BI156" s="286">
        <f t="shared" ca="1" si="803"/>
        <v>313</v>
      </c>
      <c r="BJ156" s="286">
        <f t="shared" ca="1" si="804"/>
        <v>314</v>
      </c>
      <c r="BK156" s="286">
        <f t="shared" ca="1" si="805"/>
        <v>313</v>
      </c>
      <c r="BL156" s="286">
        <f t="shared" ca="1" si="806"/>
        <v>313</v>
      </c>
      <c r="BM156" s="286">
        <f t="shared" ca="1" si="807"/>
        <v>314</v>
      </c>
    </row>
    <row r="157" spans="1:65" s="102" customFormat="1" ht="15" customHeight="1" outlineLevel="2" thickBot="1" x14ac:dyDescent="0.25">
      <c r="A157" s="320" t="s">
        <v>226</v>
      </c>
      <c r="B157" s="347"/>
      <c r="C157" s="350"/>
      <c r="D157" s="344"/>
      <c r="E157" s="278" t="s">
        <v>29</v>
      </c>
      <c r="F157" s="47"/>
      <c r="G157" s="48"/>
      <c r="H157" s="48"/>
      <c r="I157" s="48"/>
      <c r="J157" s="48"/>
      <c r="K157" s="48"/>
      <c r="L157" s="48"/>
      <c r="M157" s="48"/>
      <c r="N157" s="48"/>
      <c r="O157" s="48"/>
      <c r="P157" s="48"/>
      <c r="Q157" s="51"/>
      <c r="R157" s="47"/>
      <c r="S157" s="48"/>
      <c r="T157" s="48"/>
      <c r="U157" s="48"/>
      <c r="V157" s="48"/>
      <c r="W157" s="48"/>
      <c r="X157" s="48"/>
      <c r="Y157" s="48"/>
      <c r="Z157" s="48"/>
      <c r="AA157" s="48"/>
      <c r="AB157" s="48"/>
      <c r="AC157" s="51"/>
      <c r="AD157" s="47"/>
      <c r="AE157" s="48"/>
      <c r="AF157" s="48"/>
      <c r="AG157" s="48"/>
      <c r="AH157" s="48"/>
      <c r="AI157" s="48"/>
      <c r="AJ157" s="48"/>
      <c r="AK157" s="48"/>
      <c r="AL157" s="48"/>
      <c r="AM157" s="48"/>
      <c r="AN157" s="48"/>
      <c r="AO157" s="51"/>
      <c r="AP157" s="294" t="str">
        <f>IFERROR(IF(SUM(F157:K157)&lt;&gt;0,SUM(F157:K157),""),"")</f>
        <v/>
      </c>
      <c r="AQ157" s="295" t="str">
        <f>IFERROR(IF(SUM(L157:Q157)&lt;&gt;0,SUM(L157:Q157),""),"")</f>
        <v/>
      </c>
      <c r="AR157" s="294" t="str">
        <f>IFERROR(IF(SUM(R157:W157)&lt;&gt;0,SUM(R157:W157),""),"")</f>
        <v/>
      </c>
      <c r="AS157" s="295" t="str">
        <f>IFERROR(IF(SUM(X157:AC157)&lt;&gt;0,SUM(X157:AC157),""),"")</f>
        <v/>
      </c>
      <c r="AT157" s="294" t="str">
        <f>IFERROR(IF(SUM(AD157:AI157)&lt;&gt;0,SUM(AD157:AI157),""),"")</f>
        <v/>
      </c>
      <c r="AU157" s="295" t="str">
        <f>IFERROR(IF(SUM(AJ157:AO157)&lt;&gt;0,SUM(AJ157:AO157),""),"")</f>
        <v/>
      </c>
      <c r="AV157" s="47"/>
      <c r="AW157" s="51"/>
      <c r="AX157" s="47"/>
      <c r="AY157" s="51"/>
      <c r="AZ157" s="47"/>
      <c r="BA157" s="51"/>
      <c r="BB157" s="47"/>
      <c r="BC157" s="51"/>
      <c r="BD157" s="47"/>
      <c r="BE157" s="263"/>
      <c r="BF157" s="271" t="str">
        <f>IFERROR(IF(AVERAGE(AP157:AQ157)&lt;&gt;0,AVERAGE(AP157:AQ157),""),"")</f>
        <v/>
      </c>
      <c r="BG157" s="271" t="str">
        <f>IFERROR(IF(AVERAGE(AR157:AS157)&lt;&gt;0,AVERAGE(AR157:AS157),""),"")</f>
        <v/>
      </c>
      <c r="BH157" s="271" t="str">
        <f>IFERROR(IF(AVERAGE(AT157:AU157)&lt;&gt;0,AVERAGE(AT157:AU157),""),"")</f>
        <v/>
      </c>
      <c r="BI157" s="271" t="str">
        <f>IFERROR(IF(AVERAGE(AV157:AW157)&lt;&gt;0,AVERAGE(AV157:AW157),""),"")</f>
        <v/>
      </c>
      <c r="BJ157" s="271" t="str">
        <f>IFERROR(IF(AVERAGE(AX157:AY157)&lt;&gt;0,AVERAGE(AX157:AY157),""),"")</f>
        <v/>
      </c>
      <c r="BK157" s="271" t="str">
        <f>IFERROR(IF(AVERAGE(AZ157:BA157)&lt;&gt;0,AVERAGE(AZ157:BA157),""),"")</f>
        <v/>
      </c>
      <c r="BL157" s="271" t="str">
        <f>IFERROR(IF(AVERAGE(BB157:BC157)&lt;&gt;0,AVERAGE(BB157:BC157),""),"")</f>
        <v/>
      </c>
      <c r="BM157" s="271" t="str">
        <f>IFERROR(IF(AVERAGE(BD157:BE157)&lt;&gt;0,AVERAGE(BD157:BE157),""),"")</f>
        <v/>
      </c>
    </row>
    <row r="158" spans="1:65" s="102" customFormat="1" ht="14.25" customHeight="1" outlineLevel="2" x14ac:dyDescent="0.2">
      <c r="A158" s="320" t="s">
        <v>226</v>
      </c>
      <c r="B158" s="347"/>
      <c r="C158" s="350"/>
      <c r="D158" s="344"/>
      <c r="E158" s="279" t="s">
        <v>28</v>
      </c>
      <c r="F158" s="52"/>
      <c r="G158" s="53"/>
      <c r="H158" s="53"/>
      <c r="I158" s="53"/>
      <c r="J158" s="53"/>
      <c r="K158" s="53"/>
      <c r="L158" s="53"/>
      <c r="M158" s="53"/>
      <c r="N158" s="53"/>
      <c r="O158" s="53"/>
      <c r="P158" s="53"/>
      <c r="Q158" s="54"/>
      <c r="R158" s="52"/>
      <c r="S158" s="53"/>
      <c r="T158" s="53"/>
      <c r="U158" s="53"/>
      <c r="V158" s="53"/>
      <c r="W158" s="53"/>
      <c r="X158" s="53"/>
      <c r="Y158" s="53"/>
      <c r="Z158" s="53"/>
      <c r="AA158" s="53"/>
      <c r="AB158" s="53"/>
      <c r="AC158" s="54"/>
      <c r="AD158" s="52"/>
      <c r="AE158" s="53"/>
      <c r="AF158" s="53"/>
      <c r="AG158" s="53"/>
      <c r="AH158" s="53"/>
      <c r="AI158" s="53"/>
      <c r="AJ158" s="53"/>
      <c r="AK158" s="53"/>
      <c r="AL158" s="53"/>
      <c r="AM158" s="53"/>
      <c r="AN158" s="53"/>
      <c r="AO158" s="54"/>
      <c r="AP158" s="225" t="str">
        <f>IFERROR(IF(AVERAGE(F158:K158)&lt;&gt;0,AVERAGE(F158:K158),""),"")</f>
        <v/>
      </c>
      <c r="AQ158" s="226" t="str">
        <f>IFERROR(IF(AVERAGE(L158:Q158)&lt;&gt;0,AVERAGE(L158:Q158),""),"")</f>
        <v/>
      </c>
      <c r="AR158" s="225" t="str">
        <f>IFERROR(IF(AVERAGE(R158:W158)&lt;&gt;0,AVERAGE(R158:W158),""),"")</f>
        <v/>
      </c>
      <c r="AS158" s="226" t="str">
        <f>IFERROR(IF(AVERAGE(X158:AC158)&lt;&gt;0,AVERAGE(X158:AC158),""),"")</f>
        <v/>
      </c>
      <c r="AT158" s="225" t="str">
        <f>IFERROR(IF(AVERAGE(AD158:AI158)&lt;&gt;0,AVERAGE(AD158:AI158),""),"")</f>
        <v/>
      </c>
      <c r="AU158" s="226" t="str">
        <f>IFERROR(IF(AVERAGE(AJ158:AO158)&lt;&gt;0,AVERAGE(AJ158:AO158),""),"")</f>
        <v/>
      </c>
      <c r="AV158" s="70"/>
      <c r="AW158" s="53"/>
      <c r="AX158" s="70"/>
      <c r="AY158" s="53"/>
      <c r="AZ158" s="70"/>
      <c r="BA158" s="53"/>
      <c r="BB158" s="70"/>
      <c r="BC158" s="53"/>
      <c r="BD158" s="70"/>
      <c r="BE158" s="264"/>
      <c r="BF158" s="272" t="str">
        <f>IFERROR(IF(AVERAGE(AP158:AQ158)&lt;&gt;0,AVERAGE(AP158:AQ158),""),"")</f>
        <v/>
      </c>
      <c r="BG158" s="272" t="str">
        <f>IFERROR(IF(AVERAGE(AR158:AS158)&lt;&gt;0,AVERAGE(AR158:AS158),""),"")</f>
        <v/>
      </c>
      <c r="BH158" s="272" t="str">
        <f>IFERROR(IF(AVERAGE(AT158:AU158)&lt;&gt;0,AVERAGE(AT158:AU158),""),"")</f>
        <v/>
      </c>
      <c r="BI158" s="272" t="str">
        <f>IFERROR(IF(AVERAGE(AV158:AW158)&lt;&gt;0,AVERAGE(AV158:AW158),""),"")</f>
        <v/>
      </c>
      <c r="BJ158" s="272" t="str">
        <f>IFERROR(IF(AVERAGE(AX158:AY158)&lt;&gt;0,AVERAGE(AX158:AY158),""),"")</f>
        <v/>
      </c>
      <c r="BK158" s="272" t="str">
        <f>IFERROR(IF(AVERAGE(AZ158:BA158)&lt;&gt;0,AVERAGE(AZ158:BA158),""),"")</f>
        <v/>
      </c>
      <c r="BL158" s="272" t="str">
        <f>IFERROR(IF(AVERAGE(BB158:BC158)&lt;&gt;0,AVERAGE(BB158:BC158),""),"")</f>
        <v/>
      </c>
      <c r="BM158" s="272" t="str">
        <f>IFERROR(IF(AVERAGE(BD158:BE158)&lt;&gt;0,AVERAGE(BD158:BE158),""),"")</f>
        <v/>
      </c>
    </row>
    <row r="159" spans="1:65" s="102" customFormat="1" ht="15" customHeight="1" outlineLevel="2" thickBot="1" x14ac:dyDescent="0.25">
      <c r="A159" s="320" t="s">
        <v>226</v>
      </c>
      <c r="B159" s="347"/>
      <c r="C159" s="350"/>
      <c r="D159" s="344"/>
      <c r="E159" s="278" t="s">
        <v>30</v>
      </c>
      <c r="F159" s="55"/>
      <c r="G159" s="56"/>
      <c r="H159" s="56"/>
      <c r="I159" s="56"/>
      <c r="J159" s="56"/>
      <c r="K159" s="56"/>
      <c r="L159" s="56"/>
      <c r="M159" s="56"/>
      <c r="N159" s="56"/>
      <c r="O159" s="56"/>
      <c r="P159" s="56"/>
      <c r="Q159" s="57"/>
      <c r="R159" s="55"/>
      <c r="S159" s="56"/>
      <c r="T159" s="56"/>
      <c r="U159" s="56"/>
      <c r="V159" s="56"/>
      <c r="W159" s="56"/>
      <c r="X159" s="56"/>
      <c r="Y159" s="56"/>
      <c r="Z159" s="56"/>
      <c r="AA159" s="56"/>
      <c r="AB159" s="56"/>
      <c r="AC159" s="57"/>
      <c r="AD159" s="55"/>
      <c r="AE159" s="56"/>
      <c r="AF159" s="56"/>
      <c r="AG159" s="56"/>
      <c r="AH159" s="56"/>
      <c r="AI159" s="56"/>
      <c r="AJ159" s="56"/>
      <c r="AK159" s="56"/>
      <c r="AL159" s="56"/>
      <c r="AM159" s="56"/>
      <c r="AN159" s="56"/>
      <c r="AO159" s="57"/>
      <c r="AP159" s="227" t="str">
        <f>IFERROR(IF(AVERAGE(F159:K159)&lt;&gt;0,AVERAGE(F159:K159),""),"")</f>
        <v/>
      </c>
      <c r="AQ159" s="228" t="str">
        <f>IFERROR(IF(AVERAGE(L159:Q159)&lt;&gt;0,AVERAGE(L159:Q159),""),"")</f>
        <v/>
      </c>
      <c r="AR159" s="227" t="str">
        <f>IFERROR(IF(AVERAGE(R159:W159)&lt;&gt;0,AVERAGE(R159:W159),""),"")</f>
        <v/>
      </c>
      <c r="AS159" s="228" t="str">
        <f>IFERROR(IF(AVERAGE(X159:AC159)&lt;&gt;0,AVERAGE(X159:AC159),""),"")</f>
        <v/>
      </c>
      <c r="AT159" s="227" t="str">
        <f>IFERROR(IF(AVERAGE(AD159:AI159)&lt;&gt;0,AVERAGE(AD159:AI159),""),"")</f>
        <v/>
      </c>
      <c r="AU159" s="228" t="str">
        <f>IFERROR(IF(AVERAGE(AJ159:AO159)&lt;&gt;0,AVERAGE(AJ159:AO159),""),"")</f>
        <v/>
      </c>
      <c r="AV159" s="71"/>
      <c r="AW159" s="56"/>
      <c r="AX159" s="71"/>
      <c r="AY159" s="56"/>
      <c r="AZ159" s="71"/>
      <c r="BA159" s="56"/>
      <c r="BB159" s="71"/>
      <c r="BC159" s="56"/>
      <c r="BD159" s="71"/>
      <c r="BE159" s="265"/>
      <c r="BF159" s="273" t="str">
        <f>IFERROR(IF(AVERAGE(AP159:AQ159)&lt;&gt;0,AVERAGE(AP159:AQ159),""),"")</f>
        <v/>
      </c>
      <c r="BG159" s="273" t="str">
        <f>IFERROR(IF(AVERAGE(AR159:AS159)&lt;&gt;0,AVERAGE(AR159:AS159),""),"")</f>
        <v/>
      </c>
      <c r="BH159" s="273" t="str">
        <f>IFERROR(IF(AVERAGE(AT159:AU159)&lt;&gt;0,AVERAGE(AT159:AU159),""),"")</f>
        <v/>
      </c>
      <c r="BI159" s="273" t="str">
        <f>IFERROR(IF(AVERAGE(AV159:AW159)&lt;&gt;0,AVERAGE(AV159:AW159),""),"")</f>
        <v/>
      </c>
      <c r="BJ159" s="273" t="str">
        <f>IFERROR(IF(AVERAGE(AX159:AY159)&lt;&gt;0,AVERAGE(AX159:AY159),""),"")</f>
        <v/>
      </c>
      <c r="BK159" s="273" t="str">
        <f>IFERROR(IF(AVERAGE(AZ159:BA159)&lt;&gt;0,AVERAGE(AZ159:BA159),""),"")</f>
        <v/>
      </c>
      <c r="BL159" s="273" t="str">
        <f>IFERROR(IF(AVERAGE(BB159:BC159)&lt;&gt;0,AVERAGE(BB159:BC159),""),"")</f>
        <v/>
      </c>
      <c r="BM159" s="273" t="str">
        <f>IFERROR(IF(AVERAGE(BD159:BE159)&lt;&gt;0,AVERAGE(BD159:BE159),""),"")</f>
        <v/>
      </c>
    </row>
    <row r="160" spans="1:65" s="102" customFormat="1" ht="14.25" customHeight="1" outlineLevel="2" x14ac:dyDescent="0.2">
      <c r="A160" s="320" t="s">
        <v>226</v>
      </c>
      <c r="B160" s="347"/>
      <c r="C160" s="350"/>
      <c r="D160" s="344"/>
      <c r="E160" s="279" t="s">
        <v>25</v>
      </c>
      <c r="F160" s="58"/>
      <c r="G160" s="50"/>
      <c r="H160" s="50"/>
      <c r="I160" s="50"/>
      <c r="J160" s="50"/>
      <c r="K160" s="50"/>
      <c r="L160" s="50"/>
      <c r="M160" s="50"/>
      <c r="N160" s="50"/>
      <c r="O160" s="50"/>
      <c r="P160" s="50"/>
      <c r="Q160" s="59"/>
      <c r="R160" s="58"/>
      <c r="S160" s="50"/>
      <c r="T160" s="50"/>
      <c r="U160" s="50"/>
      <c r="V160" s="50"/>
      <c r="W160" s="50"/>
      <c r="X160" s="50"/>
      <c r="Y160" s="50"/>
      <c r="Z160" s="50"/>
      <c r="AA160" s="50"/>
      <c r="AB160" s="50"/>
      <c r="AC160" s="59"/>
      <c r="AD160" s="58"/>
      <c r="AE160" s="50"/>
      <c r="AF160" s="50"/>
      <c r="AG160" s="50"/>
      <c r="AH160" s="50"/>
      <c r="AI160" s="50"/>
      <c r="AJ160" s="50"/>
      <c r="AK160" s="50"/>
      <c r="AL160" s="50"/>
      <c r="AM160" s="50"/>
      <c r="AN160" s="50"/>
      <c r="AO160" s="59"/>
      <c r="AP160" s="229" t="str">
        <f>IFERROR(IF(SUM(F160:K160)&lt;&gt;0,SUM(F160:K160),""),"")</f>
        <v/>
      </c>
      <c r="AQ160" s="230" t="str">
        <f>IFERROR(IF(SUM(L160:Q160)&lt;&gt;0,SUM(L160:Q160),""),"")</f>
        <v/>
      </c>
      <c r="AR160" s="229" t="str">
        <f>IFERROR(IF(SUM(R160:W160)&lt;&gt;0,SUM(R160:W160),""),"")</f>
        <v/>
      </c>
      <c r="AS160" s="230" t="str">
        <f>IFERROR(IF(SUM(X160:AC160)&lt;&gt;0,SUM(X160:AC160),""),"")</f>
        <v/>
      </c>
      <c r="AT160" s="229" t="str">
        <f>IFERROR(IF(SUM(AD160:AI160)&lt;&gt;0,SUM(AD160:AI160),""),"")</f>
        <v/>
      </c>
      <c r="AU160" s="230" t="str">
        <f>IFERROR(IF(SUM(AJ160:AO160)&lt;&gt;0,SUM(AJ160:AO160),""),"")</f>
        <v/>
      </c>
      <c r="AV160" s="72"/>
      <c r="AW160" s="73"/>
      <c r="AX160" s="72"/>
      <c r="AY160" s="73"/>
      <c r="AZ160" s="72"/>
      <c r="BA160" s="73"/>
      <c r="BB160" s="72"/>
      <c r="BC160" s="73"/>
      <c r="BD160" s="72"/>
      <c r="BE160" s="266"/>
      <c r="BF160" s="286" t="e">
        <f t="shared" ref="BF160:BF163" si="813">IF(SUM(AP160,AQ160)&lt;&gt;0,SUM(AP160,AQ160),#N/A)</f>
        <v>#N/A</v>
      </c>
      <c r="BG160" s="286" t="e">
        <f t="shared" ref="BG160:BG163" si="814">IF(SUM(AR160,AS160)&lt;&gt;0,SUM(AR160,AS160),#N/A)</f>
        <v>#N/A</v>
      </c>
      <c r="BH160" s="286" t="e">
        <f t="shared" ref="BH160:BH163" si="815">IF(SUM(AT160,AU160)&lt;&gt;0,SUM(AT160,AU160),#N/A)</f>
        <v>#N/A</v>
      </c>
      <c r="BI160" s="286" t="e">
        <f t="shared" ref="BI160:BI163" si="816">IF(SUM(AV160,AW160)&lt;&gt;0,SUM(AV160,AW160),#N/A)</f>
        <v>#N/A</v>
      </c>
      <c r="BJ160" s="286" t="e">
        <f t="shared" ref="BJ160:BJ163" si="817">IF(SUM(AX160,AY160)&lt;&gt;0,SUM(AX160,AY160),#N/A)</f>
        <v>#N/A</v>
      </c>
      <c r="BK160" s="286" t="e">
        <f t="shared" ref="BK160:BK163" si="818">IF(SUM(AZ160,BA160)&lt;&gt;0,SUM(AZ160,BA160),#N/A)</f>
        <v>#N/A</v>
      </c>
      <c r="BL160" s="286" t="e">
        <f t="shared" ref="BL160:BL163" si="819">IF(SUM(BB160,BC160)&lt;&gt;0,SUM(BB160,BC160),#N/A)</f>
        <v>#N/A</v>
      </c>
      <c r="BM160" s="286" t="e">
        <f t="shared" ref="BM160:BM163" si="820">IF(SUM(BD160,BE160)&lt;&gt;0,SUM(BD160,BE160),#N/A)</f>
        <v>#N/A</v>
      </c>
    </row>
    <row r="161" spans="1:65" s="102" customFormat="1" ht="14.25" customHeight="1" outlineLevel="2" x14ac:dyDescent="0.2">
      <c r="A161" s="320" t="s">
        <v>226</v>
      </c>
      <c r="B161" s="347"/>
      <c r="C161" s="350"/>
      <c r="D161" s="344"/>
      <c r="E161" s="280" t="s">
        <v>26</v>
      </c>
      <c r="F161" s="60"/>
      <c r="G161" s="61"/>
      <c r="H161" s="61"/>
      <c r="I161" s="61"/>
      <c r="J161" s="61"/>
      <c r="K161" s="61"/>
      <c r="L161" s="61"/>
      <c r="M161" s="61"/>
      <c r="N161" s="61"/>
      <c r="O161" s="61"/>
      <c r="P161" s="61"/>
      <c r="Q161" s="62"/>
      <c r="R161" s="60"/>
      <c r="S161" s="61"/>
      <c r="T161" s="61"/>
      <c r="U161" s="61"/>
      <c r="V161" s="61"/>
      <c r="W161" s="61"/>
      <c r="X161" s="61"/>
      <c r="Y161" s="61"/>
      <c r="Z161" s="61"/>
      <c r="AA161" s="61"/>
      <c r="AB161" s="61"/>
      <c r="AC161" s="62"/>
      <c r="AD161" s="60"/>
      <c r="AE161" s="61"/>
      <c r="AF161" s="61"/>
      <c r="AG161" s="61"/>
      <c r="AH161" s="61"/>
      <c r="AI161" s="61"/>
      <c r="AJ161" s="61"/>
      <c r="AK161" s="61"/>
      <c r="AL161" s="61"/>
      <c r="AM161" s="61"/>
      <c r="AN161" s="61"/>
      <c r="AO161" s="62"/>
      <c r="AP161" s="231" t="str">
        <f>IFERROR(IF(SUM(F161:K161)&lt;&gt;0,SUM(F161:K161),""),"")</f>
        <v/>
      </c>
      <c r="AQ161" s="232" t="str">
        <f>IFERROR(IF(SUM(L161:Q161)&lt;&gt;0,SUM(L161:Q161),""),"")</f>
        <v/>
      </c>
      <c r="AR161" s="231" t="str">
        <f>IFERROR(IF(SUM(R161:W161)&lt;&gt;0,SUM(R161:W161),""),"")</f>
        <v/>
      </c>
      <c r="AS161" s="232" t="str">
        <f>IFERROR(IF(SUM(X161:AC161)&lt;&gt;0,SUM(X161:AC161),""),"")</f>
        <v/>
      </c>
      <c r="AT161" s="231" t="str">
        <f>IFERROR(IF(SUM(AD161:AI161)&lt;&gt;0,SUM(AD161:AI161),""),"")</f>
        <v/>
      </c>
      <c r="AU161" s="232" t="str">
        <f>IFERROR(IF(SUM(AJ161:AO161)&lt;&gt;0,SUM(AJ161:AO161),""),"")</f>
        <v/>
      </c>
      <c r="AV161" s="74"/>
      <c r="AW161" s="61"/>
      <c r="AX161" s="74"/>
      <c r="AY161" s="61"/>
      <c r="AZ161" s="74"/>
      <c r="BA161" s="61"/>
      <c r="BB161" s="74"/>
      <c r="BC161" s="61"/>
      <c r="BD161" s="74"/>
      <c r="BE161" s="267"/>
      <c r="BF161" s="287" t="e">
        <f t="shared" si="813"/>
        <v>#N/A</v>
      </c>
      <c r="BG161" s="287" t="e">
        <f t="shared" si="814"/>
        <v>#N/A</v>
      </c>
      <c r="BH161" s="287" t="e">
        <f t="shared" si="815"/>
        <v>#N/A</v>
      </c>
      <c r="BI161" s="287" t="e">
        <f t="shared" si="816"/>
        <v>#N/A</v>
      </c>
      <c r="BJ161" s="287" t="e">
        <f t="shared" si="817"/>
        <v>#N/A</v>
      </c>
      <c r="BK161" s="287" t="e">
        <f t="shared" si="818"/>
        <v>#N/A</v>
      </c>
      <c r="BL161" s="287" t="e">
        <f t="shared" si="819"/>
        <v>#N/A</v>
      </c>
      <c r="BM161" s="287" t="e">
        <f t="shared" si="820"/>
        <v>#N/A</v>
      </c>
    </row>
    <row r="162" spans="1:65" s="102" customFormat="1" ht="14.25" customHeight="1" outlineLevel="2" x14ac:dyDescent="0.2">
      <c r="A162" s="320" t="s">
        <v>226</v>
      </c>
      <c r="B162" s="347"/>
      <c r="C162" s="350"/>
      <c r="D162" s="344"/>
      <c r="E162" s="280" t="s">
        <v>27</v>
      </c>
      <c r="F162" s="60"/>
      <c r="G162" s="61"/>
      <c r="H162" s="61"/>
      <c r="I162" s="61"/>
      <c r="J162" s="61"/>
      <c r="K162" s="61"/>
      <c r="L162" s="61"/>
      <c r="M162" s="61"/>
      <c r="N162" s="61"/>
      <c r="O162" s="61"/>
      <c r="P162" s="61"/>
      <c r="Q162" s="62"/>
      <c r="R162" s="60"/>
      <c r="S162" s="61"/>
      <c r="T162" s="61"/>
      <c r="U162" s="61"/>
      <c r="V162" s="61"/>
      <c r="W162" s="61"/>
      <c r="X162" s="61"/>
      <c r="Y162" s="61"/>
      <c r="Z162" s="61"/>
      <c r="AA162" s="61"/>
      <c r="AB162" s="61"/>
      <c r="AC162" s="62"/>
      <c r="AD162" s="60"/>
      <c r="AE162" s="61"/>
      <c r="AF162" s="61"/>
      <c r="AG162" s="61"/>
      <c r="AH162" s="61"/>
      <c r="AI162" s="61"/>
      <c r="AJ162" s="61"/>
      <c r="AK162" s="61"/>
      <c r="AL162" s="61"/>
      <c r="AM162" s="61"/>
      <c r="AN162" s="61"/>
      <c r="AO162" s="62"/>
      <c r="AP162" s="231" t="str">
        <f>IFERROR(IF(SUM(F162:K162)&lt;&gt;0,SUM(F162:K162),""),"")</f>
        <v/>
      </c>
      <c r="AQ162" s="232" t="str">
        <f>IFERROR(IF(SUM(L162:Q162)&lt;&gt;0,SUM(L162:Q162),""),"")</f>
        <v/>
      </c>
      <c r="AR162" s="231" t="str">
        <f>IFERROR(IF(SUM(R162:W162)&lt;&gt;0,SUM(R162:W162),""),"")</f>
        <v/>
      </c>
      <c r="AS162" s="232" t="str">
        <f>IFERROR(IF(SUM(X162:AC162)&lt;&gt;0,SUM(X162:AC162),""),"")</f>
        <v/>
      </c>
      <c r="AT162" s="231" t="str">
        <f>IFERROR(IF(SUM(AD162:AI162)&lt;&gt;0,SUM(AD162:AI162),""),"")</f>
        <v/>
      </c>
      <c r="AU162" s="232" t="str">
        <f>IFERROR(IF(SUM(AJ162:AO162)&lt;&gt;0,SUM(AJ162:AO162),""),"")</f>
        <v/>
      </c>
      <c r="AV162" s="74"/>
      <c r="AW162" s="61"/>
      <c r="AX162" s="74"/>
      <c r="AY162" s="61"/>
      <c r="AZ162" s="74"/>
      <c r="BA162" s="61"/>
      <c r="BB162" s="74"/>
      <c r="BC162" s="61"/>
      <c r="BD162" s="74"/>
      <c r="BE162" s="267"/>
      <c r="BF162" s="287" t="e">
        <f t="shared" si="813"/>
        <v>#N/A</v>
      </c>
      <c r="BG162" s="287" t="e">
        <f t="shared" si="814"/>
        <v>#N/A</v>
      </c>
      <c r="BH162" s="287" t="e">
        <f t="shared" si="815"/>
        <v>#N/A</v>
      </c>
      <c r="BI162" s="287" t="e">
        <f t="shared" si="816"/>
        <v>#N/A</v>
      </c>
      <c r="BJ162" s="287" t="e">
        <f t="shared" si="817"/>
        <v>#N/A</v>
      </c>
      <c r="BK162" s="287" t="e">
        <f t="shared" si="818"/>
        <v>#N/A</v>
      </c>
      <c r="BL162" s="287" t="e">
        <f t="shared" si="819"/>
        <v>#N/A</v>
      </c>
      <c r="BM162" s="287" t="e">
        <f t="shared" si="820"/>
        <v>#N/A</v>
      </c>
    </row>
    <row r="163" spans="1:65" s="102" customFormat="1" ht="15" customHeight="1" outlineLevel="2" thickBot="1" x14ac:dyDescent="0.25">
      <c r="A163" s="320" t="s">
        <v>226</v>
      </c>
      <c r="B163" s="347"/>
      <c r="C163" s="350"/>
      <c r="D163" s="344"/>
      <c r="E163" s="281" t="s">
        <v>88</v>
      </c>
      <c r="F163" s="63"/>
      <c r="G163" s="48"/>
      <c r="H163" s="48"/>
      <c r="I163" s="48"/>
      <c r="J163" s="48"/>
      <c r="K163" s="48"/>
      <c r="L163" s="48"/>
      <c r="M163" s="48"/>
      <c r="N163" s="48"/>
      <c r="O163" s="48"/>
      <c r="P163" s="48"/>
      <c r="Q163" s="51"/>
      <c r="R163" s="63"/>
      <c r="S163" s="48"/>
      <c r="T163" s="48"/>
      <c r="U163" s="48"/>
      <c r="V163" s="48"/>
      <c r="W163" s="48"/>
      <c r="X163" s="48"/>
      <c r="Y163" s="48"/>
      <c r="Z163" s="48"/>
      <c r="AA163" s="48"/>
      <c r="AB163" s="48"/>
      <c r="AC163" s="51"/>
      <c r="AD163" s="63"/>
      <c r="AE163" s="48"/>
      <c r="AF163" s="48"/>
      <c r="AG163" s="48"/>
      <c r="AH163" s="48"/>
      <c r="AI163" s="48"/>
      <c r="AJ163" s="48"/>
      <c r="AK163" s="48"/>
      <c r="AL163" s="48"/>
      <c r="AM163" s="48"/>
      <c r="AN163" s="48"/>
      <c r="AO163" s="51"/>
      <c r="AP163" s="233" t="str">
        <f>IFERROR(IF(SUM(F163:K163)&lt;&gt;0,SUM(F163:K163),""),"")</f>
        <v/>
      </c>
      <c r="AQ163" s="234" t="str">
        <f>IFERROR(IF(SUM(L163:Q163)&lt;&gt;0,SUM(L163:Q163),""),"")</f>
        <v/>
      </c>
      <c r="AR163" s="233" t="str">
        <f>IFERROR(IF(SUM(R163:W163)&lt;&gt;0,SUM(R163:W163),""),"")</f>
        <v/>
      </c>
      <c r="AS163" s="234" t="str">
        <f>IFERROR(IF(SUM(X163:AC163)&lt;&gt;0,SUM(X163:AC163),""),"")</f>
        <v/>
      </c>
      <c r="AT163" s="233" t="str">
        <f>IFERROR(IF(SUM(AD163:AI163)&lt;&gt;0,SUM(AD163:AI163),""),"")</f>
        <v/>
      </c>
      <c r="AU163" s="234" t="str">
        <f>IFERROR(IF(SUM(AJ163:AO163)&lt;&gt;0,SUM(AJ163:AO163),""),"")</f>
        <v/>
      </c>
      <c r="AV163" s="75"/>
      <c r="AW163" s="76"/>
      <c r="AX163" s="75"/>
      <c r="AY163" s="76"/>
      <c r="AZ163" s="75"/>
      <c r="BA163" s="76"/>
      <c r="BB163" s="75"/>
      <c r="BC163" s="76"/>
      <c r="BD163" s="75"/>
      <c r="BE163" s="268"/>
      <c r="BF163" s="271" t="e">
        <f t="shared" si="813"/>
        <v>#N/A</v>
      </c>
      <c r="BG163" s="271" t="e">
        <f t="shared" si="814"/>
        <v>#N/A</v>
      </c>
      <c r="BH163" s="271" t="e">
        <f t="shared" si="815"/>
        <v>#N/A</v>
      </c>
      <c r="BI163" s="271" t="e">
        <f t="shared" si="816"/>
        <v>#N/A</v>
      </c>
      <c r="BJ163" s="271" t="e">
        <f t="shared" si="817"/>
        <v>#N/A</v>
      </c>
      <c r="BK163" s="271" t="e">
        <f t="shared" si="818"/>
        <v>#N/A</v>
      </c>
      <c r="BL163" s="271" t="e">
        <f t="shared" si="819"/>
        <v>#N/A</v>
      </c>
      <c r="BM163" s="271" t="e">
        <f t="shared" si="820"/>
        <v>#N/A</v>
      </c>
    </row>
    <row r="164" spans="1:65" s="102" customFormat="1" ht="14.25" customHeight="1" outlineLevel="2" x14ac:dyDescent="0.2">
      <c r="A164" s="320" t="s">
        <v>226</v>
      </c>
      <c r="B164" s="347"/>
      <c r="C164" s="350"/>
      <c r="D164" s="344"/>
      <c r="E164" s="279" t="s">
        <v>32</v>
      </c>
      <c r="F164" s="64"/>
      <c r="G164" s="65"/>
      <c r="H164" s="65"/>
      <c r="I164" s="65"/>
      <c r="J164" s="65"/>
      <c r="K164" s="65"/>
      <c r="L164" s="65"/>
      <c r="M164" s="65"/>
      <c r="N164" s="65"/>
      <c r="O164" s="65"/>
      <c r="P164" s="65"/>
      <c r="Q164" s="66"/>
      <c r="R164" s="64"/>
      <c r="S164" s="65"/>
      <c r="T164" s="65"/>
      <c r="U164" s="65"/>
      <c r="V164" s="65"/>
      <c r="W164" s="65"/>
      <c r="X164" s="65"/>
      <c r="Y164" s="65"/>
      <c r="Z164" s="65"/>
      <c r="AA164" s="65"/>
      <c r="AB164" s="65"/>
      <c r="AC164" s="66"/>
      <c r="AD164" s="64"/>
      <c r="AE164" s="65"/>
      <c r="AF164" s="65"/>
      <c r="AG164" s="65"/>
      <c r="AH164" s="65"/>
      <c r="AI164" s="65"/>
      <c r="AJ164" s="65"/>
      <c r="AK164" s="65"/>
      <c r="AL164" s="65"/>
      <c r="AM164" s="65"/>
      <c r="AN164" s="65"/>
      <c r="AO164" s="66"/>
      <c r="AP164" s="32" t="str">
        <f>IFERROR(IF(AVERAGE(F164:K164)&lt;&gt;0,AVERAGE(F164:K164),""),"")</f>
        <v/>
      </c>
      <c r="AQ164" s="235" t="str">
        <f>IFERROR(IF(AVERAGE(L164:Q164)&lt;&gt;0,AVERAGE(L164:Q164),""),"")</f>
        <v/>
      </c>
      <c r="AR164" s="32" t="str">
        <f>IFERROR(IF(AVERAGE(R164:W164)&lt;&gt;0,AVERAGE(R164:W164),""),"")</f>
        <v/>
      </c>
      <c r="AS164" s="235" t="str">
        <f>IFERROR(IF(AVERAGE(X164:AC164)&lt;&gt;0,AVERAGE(X164:AC164),""),"")</f>
        <v/>
      </c>
      <c r="AT164" s="32" t="str">
        <f>IFERROR(IF(AVERAGE(AD164:AI164)&lt;&gt;0,AVERAGE(AD164:AI164),""),"")</f>
        <v/>
      </c>
      <c r="AU164" s="235" t="str">
        <f>IFERROR(IF(AVERAGE(AJ164:AO164)&lt;&gt;0,AVERAGE(AJ164:AO164),""),"")</f>
        <v/>
      </c>
      <c r="AV164" s="77"/>
      <c r="AW164" s="65"/>
      <c r="AX164" s="77"/>
      <c r="AY164" s="65"/>
      <c r="AZ164" s="77"/>
      <c r="BA164" s="65"/>
      <c r="BB164" s="77"/>
      <c r="BC164" s="65"/>
      <c r="BD164" s="77"/>
      <c r="BE164" s="269"/>
      <c r="BF164" s="272" t="str">
        <f>IFERROR(IF(AVERAGE(AP164:AQ164)&lt;&gt;0,AVERAGE(AP164:AQ164),""),"")</f>
        <v/>
      </c>
      <c r="BG164" s="272" t="str">
        <f>IFERROR(IF(AVERAGE(AR164:AS164)&lt;&gt;0,AVERAGE(AR164:AS164),""),"")</f>
        <v/>
      </c>
      <c r="BH164" s="272" t="str">
        <f>IFERROR(IF(AVERAGE(AT164:AU164)&lt;&gt;0,AVERAGE(AT164:AU164),""),"")</f>
        <v/>
      </c>
      <c r="BI164" s="272" t="str">
        <f>IFERROR(IF(AVERAGE(AV164:AW164)&lt;&gt;0,AVERAGE(AV164:AW164),""),"")</f>
        <v/>
      </c>
      <c r="BJ164" s="272" t="str">
        <f>IFERROR(IF(AVERAGE(AX164:AY164)&lt;&gt;0,AVERAGE(AX164:AY164),""),"")</f>
        <v/>
      </c>
      <c r="BK164" s="272" t="str">
        <f>IFERROR(IF(AVERAGE(AZ164:BA164)&lt;&gt;0,AVERAGE(AZ164:BA164),""),"")</f>
        <v/>
      </c>
      <c r="BL164" s="272" t="str">
        <f>IFERROR(IF(AVERAGE(BB164:BC164)&lt;&gt;0,AVERAGE(BB164:BC164),""),"")</f>
        <v/>
      </c>
      <c r="BM164" s="272" t="str">
        <f>IFERROR(IF(AVERAGE(BD164:BE164)&lt;&gt;0,AVERAGE(BD164:BE164),""),"")</f>
        <v/>
      </c>
    </row>
    <row r="165" spans="1:65" s="102" customFormat="1" ht="15" customHeight="1" outlineLevel="2" thickBot="1" x14ac:dyDescent="0.25">
      <c r="A165" s="320" t="s">
        <v>226</v>
      </c>
      <c r="B165" s="347"/>
      <c r="C165" s="350"/>
      <c r="D165" s="344"/>
      <c r="E165" s="281" t="s">
        <v>2</v>
      </c>
      <c r="F165" s="67"/>
      <c r="G165" s="68"/>
      <c r="H165" s="68"/>
      <c r="I165" s="68"/>
      <c r="J165" s="68"/>
      <c r="K165" s="68"/>
      <c r="L165" s="68"/>
      <c r="M165" s="68"/>
      <c r="N165" s="68"/>
      <c r="O165" s="68"/>
      <c r="P165" s="68"/>
      <c r="Q165" s="69"/>
      <c r="R165" s="67"/>
      <c r="S165" s="68"/>
      <c r="T165" s="68"/>
      <c r="U165" s="68"/>
      <c r="V165" s="68"/>
      <c r="W165" s="68"/>
      <c r="X165" s="68"/>
      <c r="Y165" s="68"/>
      <c r="Z165" s="68"/>
      <c r="AA165" s="68"/>
      <c r="AB165" s="68"/>
      <c r="AC165" s="69"/>
      <c r="AD165" s="67"/>
      <c r="AE165" s="68"/>
      <c r="AF165" s="68"/>
      <c r="AG165" s="68"/>
      <c r="AH165" s="68"/>
      <c r="AI165" s="68"/>
      <c r="AJ165" s="68"/>
      <c r="AK165" s="68"/>
      <c r="AL165" s="68"/>
      <c r="AM165" s="68"/>
      <c r="AN165" s="68"/>
      <c r="AO165" s="69"/>
      <c r="AP165" s="236" t="str">
        <f>IFERROR(IF(AVERAGE(F165:K165)&lt;&gt;0,AVERAGE(F165:K165),""),"")</f>
        <v/>
      </c>
      <c r="AQ165" s="237" t="str">
        <f>IFERROR(IF(AVERAGE(L165:Q165)&lt;&gt;0,AVERAGE(L165:Q165),""),"")</f>
        <v/>
      </c>
      <c r="AR165" s="236" t="str">
        <f>IFERROR(IF(AVERAGE(R165:W165)&lt;&gt;0,AVERAGE(R165:W165),""),"")</f>
        <v/>
      </c>
      <c r="AS165" s="237" t="str">
        <f>IFERROR(IF(AVERAGE(X165:AC165)&lt;&gt;0,AVERAGE(X165:AC165),""),"")</f>
        <v/>
      </c>
      <c r="AT165" s="236" t="str">
        <f>IFERROR(IF(AVERAGE(AD165:AI165)&lt;&gt;0,AVERAGE(AD165:AI165),""),"")</f>
        <v/>
      </c>
      <c r="AU165" s="237" t="str">
        <f>IFERROR(IF(AVERAGE(AJ165:AO165)&lt;&gt;0,AVERAGE(AJ165:AO165),""),"")</f>
        <v/>
      </c>
      <c r="AV165" s="78"/>
      <c r="AW165" s="68"/>
      <c r="AX165" s="78"/>
      <c r="AY165" s="68"/>
      <c r="AZ165" s="78"/>
      <c r="BA165" s="68"/>
      <c r="BB165" s="78"/>
      <c r="BC165" s="68"/>
      <c r="BD165" s="78"/>
      <c r="BE165" s="270"/>
      <c r="BF165" s="288" t="str">
        <f>IFERROR(IF(AVERAGE(AP165:AQ165)&lt;&gt;0,AVERAGE(AP165:AQ165),""),"")</f>
        <v/>
      </c>
      <c r="BG165" s="288" t="str">
        <f>IFERROR(IF(AVERAGE(AR165:AS165)&lt;&gt;0,AVERAGE(AR165:AS165),""),"")</f>
        <v/>
      </c>
      <c r="BH165" s="288" t="str">
        <f>IFERROR(IF(AVERAGE(AT165:AU165)&lt;&gt;0,AVERAGE(AT165:AU165),""),"")</f>
        <v/>
      </c>
      <c r="BI165" s="288" t="str">
        <f>IFERROR(IF(AVERAGE(AV165:AW165)&lt;&gt;0,AVERAGE(AV165:AW165),""),"")</f>
        <v/>
      </c>
      <c r="BJ165" s="288" t="str">
        <f>IFERROR(IF(AVERAGE(AX165:AY165)&lt;&gt;0,AVERAGE(AX165:AY165),""),"")</f>
        <v/>
      </c>
      <c r="BK165" s="288" t="str">
        <f>IFERROR(IF(AVERAGE(AZ165:BA165)&lt;&gt;0,AVERAGE(AZ165:BA165),""),"")</f>
        <v/>
      </c>
      <c r="BL165" s="288" t="str">
        <f>IFERROR(IF(AVERAGE(BB165:BC165)&lt;&gt;0,AVERAGE(BB165:BC165),""),"")</f>
        <v/>
      </c>
      <c r="BM165" s="288" t="str">
        <f>IFERROR(IF(AVERAGE(BD165:BE165)&lt;&gt;0,AVERAGE(BD165:BE165),""),"")</f>
        <v/>
      </c>
    </row>
    <row r="166" spans="1:65" s="102" customFormat="1" ht="14.25" customHeight="1" outlineLevel="1" x14ac:dyDescent="0.2">
      <c r="A166" s="320" t="s">
        <v>226</v>
      </c>
      <c r="B166" s="347"/>
      <c r="C166" s="350"/>
      <c r="D166" s="344"/>
      <c r="E166" s="282" t="s">
        <v>228</v>
      </c>
      <c r="F166" s="283" t="str">
        <f ca="1">IF(IFERROR((F$11*(F158-SUM(F160:F163)/F$11)*F165*3600)/(F164),"")&gt;0,IFERROR((F$11*(F158-SUM(F160:F163)/F$11)*F165*3600)/(F164),""),"")</f>
        <v/>
      </c>
      <c r="G166" s="284" t="str">
        <f t="shared" ref="G166:AO166" ca="1" si="821">IF(IFERROR((G$11*(G158-SUM(G160:G163)/G$11)*G165*3600)/(G164),"")&gt;0,IFERROR((G$11*(G158-SUM(G160:G163)/G$11)*G165*3600)/(G164),""),"")</f>
        <v/>
      </c>
      <c r="H166" s="284" t="str">
        <f t="shared" ca="1" si="821"/>
        <v/>
      </c>
      <c r="I166" s="284" t="str">
        <f t="shared" ca="1" si="821"/>
        <v/>
      </c>
      <c r="J166" s="284" t="str">
        <f t="shared" ca="1" si="821"/>
        <v/>
      </c>
      <c r="K166" s="284" t="str">
        <f t="shared" ca="1" si="821"/>
        <v/>
      </c>
      <c r="L166" s="284" t="str">
        <f t="shared" ca="1" si="821"/>
        <v/>
      </c>
      <c r="M166" s="284" t="str">
        <f t="shared" ca="1" si="821"/>
        <v/>
      </c>
      <c r="N166" s="284" t="str">
        <f t="shared" ca="1" si="821"/>
        <v/>
      </c>
      <c r="O166" s="284" t="str">
        <f t="shared" ca="1" si="821"/>
        <v/>
      </c>
      <c r="P166" s="284" t="str">
        <f t="shared" ca="1" si="821"/>
        <v/>
      </c>
      <c r="Q166" s="284" t="str">
        <f t="shared" ca="1" si="821"/>
        <v/>
      </c>
      <c r="R166" s="283" t="str">
        <f t="shared" ca="1" si="821"/>
        <v/>
      </c>
      <c r="S166" s="284" t="str">
        <f t="shared" ca="1" si="821"/>
        <v/>
      </c>
      <c r="T166" s="284" t="str">
        <f t="shared" ca="1" si="821"/>
        <v/>
      </c>
      <c r="U166" s="284" t="str">
        <f t="shared" ca="1" si="821"/>
        <v/>
      </c>
      <c r="V166" s="284" t="str">
        <f t="shared" ca="1" si="821"/>
        <v/>
      </c>
      <c r="W166" s="284" t="str">
        <f t="shared" ca="1" si="821"/>
        <v/>
      </c>
      <c r="X166" s="284" t="str">
        <f t="shared" ca="1" si="821"/>
        <v/>
      </c>
      <c r="Y166" s="284" t="str">
        <f t="shared" ca="1" si="821"/>
        <v/>
      </c>
      <c r="Z166" s="284" t="str">
        <f t="shared" ca="1" si="821"/>
        <v/>
      </c>
      <c r="AA166" s="284" t="str">
        <f t="shared" ca="1" si="821"/>
        <v/>
      </c>
      <c r="AB166" s="284" t="str">
        <f t="shared" ca="1" si="821"/>
        <v/>
      </c>
      <c r="AC166" s="284" t="str">
        <f t="shared" ca="1" si="821"/>
        <v/>
      </c>
      <c r="AD166" s="283" t="str">
        <f t="shared" ca="1" si="821"/>
        <v/>
      </c>
      <c r="AE166" s="284" t="str">
        <f t="shared" ca="1" si="821"/>
        <v/>
      </c>
      <c r="AF166" s="284" t="str">
        <f t="shared" ca="1" si="821"/>
        <v/>
      </c>
      <c r="AG166" s="284" t="str">
        <f t="shared" ca="1" si="821"/>
        <v/>
      </c>
      <c r="AH166" s="284" t="str">
        <f t="shared" ca="1" si="821"/>
        <v/>
      </c>
      <c r="AI166" s="284" t="str">
        <f t="shared" ca="1" si="821"/>
        <v/>
      </c>
      <c r="AJ166" s="284" t="str">
        <f t="shared" ca="1" si="821"/>
        <v/>
      </c>
      <c r="AK166" s="284" t="str">
        <f t="shared" ca="1" si="821"/>
        <v/>
      </c>
      <c r="AL166" s="284" t="str">
        <f t="shared" ca="1" si="821"/>
        <v/>
      </c>
      <c r="AM166" s="284" t="str">
        <f t="shared" ca="1" si="821"/>
        <v/>
      </c>
      <c r="AN166" s="284" t="str">
        <f t="shared" ca="1" si="821"/>
        <v/>
      </c>
      <c r="AO166" s="284" t="str">
        <f t="shared" ca="1" si="821"/>
        <v/>
      </c>
      <c r="AP166" s="283" t="e">
        <f t="shared" ref="AP166:AP167" ca="1" si="822">IF(SUM(F166:K166)&lt;&gt;0,SUM(F166:K166),#N/A)</f>
        <v>#N/A</v>
      </c>
      <c r="AQ166" s="284" t="e">
        <f t="shared" ref="AQ166:AQ167" ca="1" si="823">IF(SUM(L166:Q166)&lt;&gt;0,SUM(L166:Q166),#N/A)</f>
        <v>#N/A</v>
      </c>
      <c r="AR166" s="283" t="e">
        <f t="shared" ref="AR166:AR167" ca="1" si="824">IF(SUM(R166:W166)&lt;&gt;0,SUM(R166:W166),#N/A)</f>
        <v>#N/A</v>
      </c>
      <c r="AS166" s="284" t="e">
        <f t="shared" ref="AS166:AS167" ca="1" si="825">IF(SUM(X166:AC166)&lt;&gt;0,SUM(X166:AC166),#N/A)</f>
        <v>#N/A</v>
      </c>
      <c r="AT166" s="283" t="e">
        <f t="shared" ref="AT166:AT167" ca="1" si="826">IF(SUM(AD166:AI166)&lt;&gt;0,SUM(AD166:AI166),#N/A)</f>
        <v>#N/A</v>
      </c>
      <c r="AU166" s="284" t="e">
        <f t="shared" ref="AU166:AU167" ca="1" si="827">IF(SUM(AJ166:AO166)&lt;&gt;0,SUM(AJ166:AO166),#N/A)</f>
        <v>#N/A</v>
      </c>
      <c r="AV166" s="283" t="str">
        <f ca="1">IF(IFERROR((AV$11*(AV158-SUM(AV160:AV163)/AV$11)*AV165*3600)/(AV164),"")&lt;&gt;0,IFERROR((AV$11*(AV158-SUM(AV160:AV163)/AV$11)*AV165*3600)/(AV164),""),"")</f>
        <v/>
      </c>
      <c r="AW166" s="284" t="str">
        <f t="shared" ref="AW166:BE166" ca="1" si="828">IF(IFERROR((AW$11*(AW158-SUM(AW160:AW163)/AW$11)*AW165*3600)/(AW164),"")&lt;&gt;0,IFERROR((AW$11*(AW158-SUM(AW160:AW163)/AW$11)*AW165*3600)/(AW164),""),"")</f>
        <v/>
      </c>
      <c r="AX166" s="283" t="str">
        <f t="shared" ca="1" si="828"/>
        <v/>
      </c>
      <c r="AY166" s="284" t="str">
        <f t="shared" ca="1" si="828"/>
        <v/>
      </c>
      <c r="AZ166" s="283" t="str">
        <f t="shared" ca="1" si="828"/>
        <v/>
      </c>
      <c r="BA166" s="284" t="str">
        <f t="shared" ca="1" si="828"/>
        <v/>
      </c>
      <c r="BB166" s="283" t="str">
        <f t="shared" ca="1" si="828"/>
        <v/>
      </c>
      <c r="BC166" s="284" t="str">
        <f t="shared" ca="1" si="828"/>
        <v/>
      </c>
      <c r="BD166" s="283" t="str">
        <f t="shared" ca="1" si="828"/>
        <v/>
      </c>
      <c r="BE166" s="285" t="str">
        <f t="shared" ca="1" si="828"/>
        <v/>
      </c>
      <c r="BF166" s="285" t="e">
        <f t="shared" ref="BF166:BF168" ca="1" si="829">IF(SUM(AP166,AQ166)&lt;&gt;0,SUM(AP166,AQ166),#N/A)</f>
        <v>#N/A</v>
      </c>
      <c r="BG166" s="285" t="e">
        <f t="shared" ref="BG166:BG168" ca="1" si="830">IF(SUM(AR166,AS166)&lt;&gt;0,SUM(AR166,AS166),#N/A)</f>
        <v>#N/A</v>
      </c>
      <c r="BH166" s="285" t="e">
        <f t="shared" ref="BH166:BH168" ca="1" si="831">IF(SUM(AT166,AU166)&lt;&gt;0,SUM(AT166,AU166),#N/A)</f>
        <v>#N/A</v>
      </c>
      <c r="BI166" s="285" t="e">
        <f t="shared" ref="BI166:BI168" ca="1" si="832">IF(SUM(AV166,AW166)&lt;&gt;0,SUM(AV166,AW166),#N/A)</f>
        <v>#N/A</v>
      </c>
      <c r="BJ166" s="285" t="e">
        <f t="shared" ref="BJ166:BJ168" ca="1" si="833">IF(SUM(AX166,AY166)&lt;&gt;0,SUM(AX166,AY166),#N/A)</f>
        <v>#N/A</v>
      </c>
      <c r="BK166" s="285" t="e">
        <f t="shared" ref="BK166:BK168" ca="1" si="834">IF(SUM(AZ166,BA166)&lt;&gt;0,SUM(AZ166,BA166),#N/A)</f>
        <v>#N/A</v>
      </c>
      <c r="BL166" s="285" t="e">
        <f t="shared" ref="BL166:BL168" ca="1" si="835">IF(SUM(BB166,BC166)&lt;&gt;0,SUM(BB166,BC166),#N/A)</f>
        <v>#N/A</v>
      </c>
      <c r="BM166" s="285" t="e">
        <f t="shared" ref="BM166:BM168" ca="1" si="836">IF(SUM(BD166,BE166)&lt;&gt;0,SUM(BD166,BE166),#N/A)</f>
        <v>#N/A</v>
      </c>
    </row>
    <row r="167" spans="1:65" s="102" customFormat="1" ht="15" customHeight="1" outlineLevel="1" thickBot="1" x14ac:dyDescent="0.25">
      <c r="A167" s="320" t="s">
        <v>226</v>
      </c>
      <c r="B167" s="348"/>
      <c r="C167" s="351"/>
      <c r="D167" s="345"/>
      <c r="E167" s="104" t="s">
        <v>225</v>
      </c>
      <c r="F167" s="317" t="str">
        <f ca="1">IFERROR(F166+((F157*F159*F165*3600)/(F164)),"")</f>
        <v/>
      </c>
      <c r="G167" s="318" t="str">
        <f t="shared" ref="G167:AO167" ca="1" si="837">IFERROR(G166+((G157*G159*G165*3600)/(G164)),"")</f>
        <v/>
      </c>
      <c r="H167" s="318" t="str">
        <f t="shared" ca="1" si="837"/>
        <v/>
      </c>
      <c r="I167" s="318" t="str">
        <f t="shared" ca="1" si="837"/>
        <v/>
      </c>
      <c r="J167" s="318" t="str">
        <f t="shared" ca="1" si="837"/>
        <v/>
      </c>
      <c r="K167" s="318" t="str">
        <f t="shared" ca="1" si="837"/>
        <v/>
      </c>
      <c r="L167" s="318" t="str">
        <f t="shared" ca="1" si="837"/>
        <v/>
      </c>
      <c r="M167" s="318" t="str">
        <f t="shared" ca="1" si="837"/>
        <v/>
      </c>
      <c r="N167" s="318" t="str">
        <f t="shared" ca="1" si="837"/>
        <v/>
      </c>
      <c r="O167" s="318" t="str">
        <f t="shared" ca="1" si="837"/>
        <v/>
      </c>
      <c r="P167" s="318" t="str">
        <f t="shared" ca="1" si="837"/>
        <v/>
      </c>
      <c r="Q167" s="318" t="str">
        <f t="shared" ca="1" si="837"/>
        <v/>
      </c>
      <c r="R167" s="317" t="str">
        <f t="shared" ca="1" si="837"/>
        <v/>
      </c>
      <c r="S167" s="318" t="str">
        <f t="shared" ca="1" si="837"/>
        <v/>
      </c>
      <c r="T167" s="318" t="str">
        <f t="shared" ca="1" si="837"/>
        <v/>
      </c>
      <c r="U167" s="318" t="str">
        <f t="shared" ca="1" si="837"/>
        <v/>
      </c>
      <c r="V167" s="318" t="str">
        <f t="shared" ca="1" si="837"/>
        <v/>
      </c>
      <c r="W167" s="318" t="str">
        <f t="shared" ca="1" si="837"/>
        <v/>
      </c>
      <c r="X167" s="318" t="str">
        <f t="shared" ca="1" si="837"/>
        <v/>
      </c>
      <c r="Y167" s="318" t="str">
        <f t="shared" ca="1" si="837"/>
        <v/>
      </c>
      <c r="Z167" s="318" t="str">
        <f t="shared" ca="1" si="837"/>
        <v/>
      </c>
      <c r="AA167" s="318" t="str">
        <f t="shared" ca="1" si="837"/>
        <v/>
      </c>
      <c r="AB167" s="318" t="str">
        <f t="shared" ca="1" si="837"/>
        <v/>
      </c>
      <c r="AC167" s="318" t="str">
        <f t="shared" ca="1" si="837"/>
        <v/>
      </c>
      <c r="AD167" s="317" t="str">
        <f t="shared" ca="1" si="837"/>
        <v/>
      </c>
      <c r="AE167" s="318" t="str">
        <f t="shared" ca="1" si="837"/>
        <v/>
      </c>
      <c r="AF167" s="318" t="str">
        <f t="shared" ca="1" si="837"/>
        <v/>
      </c>
      <c r="AG167" s="318" t="str">
        <f t="shared" ca="1" si="837"/>
        <v/>
      </c>
      <c r="AH167" s="318" t="str">
        <f t="shared" ca="1" si="837"/>
        <v/>
      </c>
      <c r="AI167" s="318" t="str">
        <f t="shared" ca="1" si="837"/>
        <v/>
      </c>
      <c r="AJ167" s="318" t="str">
        <f t="shared" ca="1" si="837"/>
        <v/>
      </c>
      <c r="AK167" s="318" t="str">
        <f t="shared" ca="1" si="837"/>
        <v/>
      </c>
      <c r="AL167" s="318" t="str">
        <f t="shared" ca="1" si="837"/>
        <v/>
      </c>
      <c r="AM167" s="318" t="str">
        <f t="shared" ca="1" si="837"/>
        <v/>
      </c>
      <c r="AN167" s="318" t="str">
        <f t="shared" ca="1" si="837"/>
        <v/>
      </c>
      <c r="AO167" s="318" t="str">
        <f t="shared" ca="1" si="837"/>
        <v/>
      </c>
      <c r="AP167" s="317" t="e">
        <f t="shared" ca="1" si="822"/>
        <v>#N/A</v>
      </c>
      <c r="AQ167" s="318" t="e">
        <f t="shared" ca="1" si="823"/>
        <v>#N/A</v>
      </c>
      <c r="AR167" s="317" t="e">
        <f t="shared" ca="1" si="824"/>
        <v>#N/A</v>
      </c>
      <c r="AS167" s="318" t="e">
        <f t="shared" ca="1" si="825"/>
        <v>#N/A</v>
      </c>
      <c r="AT167" s="317" t="e">
        <f t="shared" ca="1" si="826"/>
        <v>#N/A</v>
      </c>
      <c r="AU167" s="318" t="e">
        <f t="shared" ca="1" si="827"/>
        <v>#N/A</v>
      </c>
      <c r="AV167" s="317" t="str">
        <f t="shared" ref="AV167:BE167" ca="1" si="838">IFERROR(AV166+((AV157*AV159*AV165*3600)/(AV164)),"")</f>
        <v/>
      </c>
      <c r="AW167" s="318" t="str">
        <f t="shared" ca="1" si="838"/>
        <v/>
      </c>
      <c r="AX167" s="317" t="str">
        <f t="shared" ca="1" si="838"/>
        <v/>
      </c>
      <c r="AY167" s="318" t="str">
        <f t="shared" ca="1" si="838"/>
        <v/>
      </c>
      <c r="AZ167" s="317" t="str">
        <f t="shared" ca="1" si="838"/>
        <v/>
      </c>
      <c r="BA167" s="318" t="str">
        <f t="shared" ca="1" si="838"/>
        <v/>
      </c>
      <c r="BB167" s="317" t="str">
        <f t="shared" ca="1" si="838"/>
        <v/>
      </c>
      <c r="BC167" s="318" t="str">
        <f t="shared" ca="1" si="838"/>
        <v/>
      </c>
      <c r="BD167" s="317" t="str">
        <f t="shared" ca="1" si="838"/>
        <v/>
      </c>
      <c r="BE167" s="291" t="str">
        <f t="shared" ca="1" si="838"/>
        <v/>
      </c>
      <c r="BF167" s="291" t="e">
        <f t="shared" ca="1" si="829"/>
        <v>#N/A</v>
      </c>
      <c r="BG167" s="291" t="e">
        <f t="shared" ca="1" si="830"/>
        <v>#N/A</v>
      </c>
      <c r="BH167" s="291" t="e">
        <f t="shared" ca="1" si="831"/>
        <v>#N/A</v>
      </c>
      <c r="BI167" s="291" t="e">
        <f t="shared" ca="1" si="832"/>
        <v>#N/A</v>
      </c>
      <c r="BJ167" s="291" t="e">
        <f t="shared" ca="1" si="833"/>
        <v>#N/A</v>
      </c>
      <c r="BK167" s="291" t="e">
        <f t="shared" ca="1" si="834"/>
        <v>#N/A</v>
      </c>
      <c r="BL167" s="291" t="e">
        <f t="shared" ca="1" si="835"/>
        <v>#N/A</v>
      </c>
      <c r="BM167" s="291" t="e">
        <f t="shared" ca="1" si="836"/>
        <v>#N/A</v>
      </c>
    </row>
    <row r="168" spans="1:65" s="102" customFormat="1" ht="22.5" outlineLevel="2" x14ac:dyDescent="0.2">
      <c r="A168" s="320" t="s">
        <v>226</v>
      </c>
      <c r="B168" s="346"/>
      <c r="C168" s="349" t="str">
        <f t="shared" ref="C168" si="839">IF(AND($B168&lt;&gt;0,$C$9&lt;&gt;0),$C$9,"")</f>
        <v/>
      </c>
      <c r="D168" s="343"/>
      <c r="E168" s="277" t="s">
        <v>40</v>
      </c>
      <c r="F168" s="33">
        <f ca="1">IF(F$11-(SUM(F172:F175)/24)=0,"",F$11-(SUM(F172:F175)/24))</f>
        <v>27</v>
      </c>
      <c r="G168" s="34">
        <f t="shared" ref="G168:AO168" ca="1" si="840">IF(G$11-(SUM(G172:G175)/24)=0,"",G$11-(SUM(G172:G175)/24))</f>
        <v>24</v>
      </c>
      <c r="H168" s="34">
        <f t="shared" ca="1" si="840"/>
        <v>26</v>
      </c>
      <c r="I168" s="34">
        <f t="shared" ca="1" si="840"/>
        <v>26</v>
      </c>
      <c r="J168" s="34">
        <f t="shared" ca="1" si="840"/>
        <v>27</v>
      </c>
      <c r="K168" s="34">
        <f t="shared" ca="1" si="840"/>
        <v>25</v>
      </c>
      <c r="L168" s="34">
        <f t="shared" ca="1" si="840"/>
        <v>27</v>
      </c>
      <c r="M168" s="34">
        <f t="shared" ca="1" si="840"/>
        <v>26</v>
      </c>
      <c r="N168" s="34">
        <f t="shared" ca="1" si="840"/>
        <v>26</v>
      </c>
      <c r="O168" s="34">
        <f t="shared" ca="1" si="840"/>
        <v>27</v>
      </c>
      <c r="P168" s="34">
        <f t="shared" ca="1" si="840"/>
        <v>25</v>
      </c>
      <c r="Q168" s="34">
        <f t="shared" ca="1" si="840"/>
        <v>27</v>
      </c>
      <c r="R168" s="32">
        <f t="shared" ca="1" si="840"/>
        <v>27</v>
      </c>
      <c r="S168" s="29">
        <f t="shared" ca="1" si="840"/>
        <v>24</v>
      </c>
      <c r="T168" s="29">
        <f t="shared" ca="1" si="840"/>
        <v>26</v>
      </c>
      <c r="U168" s="29">
        <f t="shared" ca="1" si="840"/>
        <v>26</v>
      </c>
      <c r="V168" s="29">
        <f t="shared" ca="1" si="840"/>
        <v>26</v>
      </c>
      <c r="W168" s="29">
        <f t="shared" ca="1" si="840"/>
        <v>26</v>
      </c>
      <c r="X168" s="29">
        <f t="shared" ca="1" si="840"/>
        <v>27</v>
      </c>
      <c r="Y168" s="29">
        <f t="shared" ca="1" si="840"/>
        <v>26</v>
      </c>
      <c r="Z168" s="29">
        <f t="shared" ca="1" si="840"/>
        <v>26</v>
      </c>
      <c r="AA168" s="29">
        <f t="shared" ca="1" si="840"/>
        <v>27</v>
      </c>
      <c r="AB168" s="29">
        <f t="shared" ca="1" si="840"/>
        <v>25</v>
      </c>
      <c r="AC168" s="29">
        <f t="shared" ca="1" si="840"/>
        <v>27</v>
      </c>
      <c r="AD168" s="32">
        <f t="shared" ca="1" si="840"/>
        <v>26</v>
      </c>
      <c r="AE168" s="29">
        <f t="shared" ca="1" si="840"/>
        <v>24</v>
      </c>
      <c r="AF168" s="29">
        <f t="shared" ca="1" si="840"/>
        <v>27</v>
      </c>
      <c r="AG168" s="29">
        <f t="shared" ca="1" si="840"/>
        <v>26</v>
      </c>
      <c r="AH168" s="29">
        <f t="shared" ca="1" si="840"/>
        <v>26</v>
      </c>
      <c r="AI168" s="29">
        <f t="shared" ca="1" si="840"/>
        <v>26</v>
      </c>
      <c r="AJ168" s="29">
        <f t="shared" ca="1" si="840"/>
        <v>27</v>
      </c>
      <c r="AK168" s="29">
        <f t="shared" ca="1" si="840"/>
        <v>26</v>
      </c>
      <c r="AL168" s="29">
        <f t="shared" ca="1" si="840"/>
        <v>26</v>
      </c>
      <c r="AM168" s="29">
        <f t="shared" ca="1" si="840"/>
        <v>26</v>
      </c>
      <c r="AN168" s="29">
        <f t="shared" ca="1" si="840"/>
        <v>26</v>
      </c>
      <c r="AO168" s="29">
        <f t="shared" ca="1" si="840"/>
        <v>27</v>
      </c>
      <c r="AP168" s="32">
        <f ca="1">IF(SUM(F168:K168)&lt;&gt;0,SUM(F168:K168),"")</f>
        <v>155</v>
      </c>
      <c r="AQ168" s="29">
        <f ca="1">IF(SUM(L168:Q168)&lt;&gt;0,SUM(L168:Q168),"")</f>
        <v>158</v>
      </c>
      <c r="AR168" s="32">
        <f ca="1">IF(SUM(R168:W168)&lt;&gt;0,SUM(R168:W168),"")</f>
        <v>155</v>
      </c>
      <c r="AS168" s="29">
        <f ca="1">IF(SUM(X168:AC168)&lt;&gt;0,SUM(X168:AC168),"")</f>
        <v>158</v>
      </c>
      <c r="AT168" s="32">
        <f ca="1">IF(SUM(AD168:AI168)&lt;&gt;0,SUM(AD168:AI168),"")</f>
        <v>155</v>
      </c>
      <c r="AU168" s="296">
        <f ca="1">SUM(AJ168:AO168)</f>
        <v>158</v>
      </c>
      <c r="AV168" s="32">
        <f t="shared" ref="AV168:BE168" ca="1" si="841">IF(AV$11-(SUM(AV172:AV175)/24)=0,"",AV$11-(SUM(AV172:AV175)/24))</f>
        <v>156</v>
      </c>
      <c r="AW168" s="29">
        <f t="shared" ca="1" si="841"/>
        <v>157</v>
      </c>
      <c r="AX168" s="32">
        <f t="shared" ca="1" si="841"/>
        <v>156</v>
      </c>
      <c r="AY168" s="29">
        <f t="shared" ca="1" si="841"/>
        <v>158</v>
      </c>
      <c r="AZ168" s="32">
        <f t="shared" ca="1" si="841"/>
        <v>155</v>
      </c>
      <c r="BA168" s="29">
        <f t="shared" ca="1" si="841"/>
        <v>158</v>
      </c>
      <c r="BB168" s="32">
        <f t="shared" ca="1" si="841"/>
        <v>155</v>
      </c>
      <c r="BC168" s="29">
        <f t="shared" ca="1" si="841"/>
        <v>158</v>
      </c>
      <c r="BD168" s="32">
        <f t="shared" ca="1" si="841"/>
        <v>156</v>
      </c>
      <c r="BE168" s="262">
        <f t="shared" ca="1" si="841"/>
        <v>158</v>
      </c>
      <c r="BF168" s="286">
        <f t="shared" ca="1" si="829"/>
        <v>313</v>
      </c>
      <c r="BG168" s="286">
        <f t="shared" ca="1" si="830"/>
        <v>313</v>
      </c>
      <c r="BH168" s="286">
        <f t="shared" ca="1" si="831"/>
        <v>313</v>
      </c>
      <c r="BI168" s="286">
        <f t="shared" ca="1" si="832"/>
        <v>313</v>
      </c>
      <c r="BJ168" s="286">
        <f t="shared" ca="1" si="833"/>
        <v>314</v>
      </c>
      <c r="BK168" s="286">
        <f t="shared" ca="1" si="834"/>
        <v>313</v>
      </c>
      <c r="BL168" s="286">
        <f t="shared" ca="1" si="835"/>
        <v>313</v>
      </c>
      <c r="BM168" s="286">
        <f t="shared" ca="1" si="836"/>
        <v>314</v>
      </c>
    </row>
    <row r="169" spans="1:65" s="102" customFormat="1" ht="15" customHeight="1" outlineLevel="2" thickBot="1" x14ac:dyDescent="0.25">
      <c r="A169" s="320" t="s">
        <v>226</v>
      </c>
      <c r="B169" s="347"/>
      <c r="C169" s="350"/>
      <c r="D169" s="344"/>
      <c r="E169" s="278" t="s">
        <v>29</v>
      </c>
      <c r="F169" s="47"/>
      <c r="G169" s="48"/>
      <c r="H169" s="48"/>
      <c r="I169" s="48"/>
      <c r="J169" s="48"/>
      <c r="K169" s="48"/>
      <c r="L169" s="48"/>
      <c r="M169" s="48"/>
      <c r="N169" s="48"/>
      <c r="O169" s="48"/>
      <c r="P169" s="48"/>
      <c r="Q169" s="51"/>
      <c r="R169" s="47"/>
      <c r="S169" s="48"/>
      <c r="T169" s="48"/>
      <c r="U169" s="48"/>
      <c r="V169" s="48"/>
      <c r="W169" s="48"/>
      <c r="X169" s="48"/>
      <c r="Y169" s="48"/>
      <c r="Z169" s="48"/>
      <c r="AA169" s="48"/>
      <c r="AB169" s="48"/>
      <c r="AC169" s="51"/>
      <c r="AD169" s="47"/>
      <c r="AE169" s="48"/>
      <c r="AF169" s="48"/>
      <c r="AG169" s="48"/>
      <c r="AH169" s="48"/>
      <c r="AI169" s="48"/>
      <c r="AJ169" s="48"/>
      <c r="AK169" s="48"/>
      <c r="AL169" s="48"/>
      <c r="AM169" s="48"/>
      <c r="AN169" s="48"/>
      <c r="AO169" s="51"/>
      <c r="AP169" s="294" t="str">
        <f>IFERROR(IF(SUM(F169:K169)&lt;&gt;0,SUM(F169:K169),""),"")</f>
        <v/>
      </c>
      <c r="AQ169" s="295" t="str">
        <f>IFERROR(IF(SUM(L169:Q169)&lt;&gt;0,SUM(L169:Q169),""),"")</f>
        <v/>
      </c>
      <c r="AR169" s="294" t="str">
        <f>IFERROR(IF(SUM(R169:W169)&lt;&gt;0,SUM(R169:W169),""),"")</f>
        <v/>
      </c>
      <c r="AS169" s="295" t="str">
        <f>IFERROR(IF(SUM(X169:AC169)&lt;&gt;0,SUM(X169:AC169),""),"")</f>
        <v/>
      </c>
      <c r="AT169" s="294" t="str">
        <f>IFERROR(IF(SUM(AD169:AI169)&lt;&gt;0,SUM(AD169:AI169),""),"")</f>
        <v/>
      </c>
      <c r="AU169" s="295" t="str">
        <f>IFERROR(IF(SUM(AJ169:AO169)&lt;&gt;0,SUM(AJ169:AO169),""),"")</f>
        <v/>
      </c>
      <c r="AV169" s="47"/>
      <c r="AW169" s="51"/>
      <c r="AX169" s="47"/>
      <c r="AY169" s="51"/>
      <c r="AZ169" s="47"/>
      <c r="BA169" s="51"/>
      <c r="BB169" s="47"/>
      <c r="BC169" s="51"/>
      <c r="BD169" s="47"/>
      <c r="BE169" s="263"/>
      <c r="BF169" s="271" t="str">
        <f>IFERROR(IF(AVERAGE(AP169:AQ169)&lt;&gt;0,AVERAGE(AP169:AQ169),""),"")</f>
        <v/>
      </c>
      <c r="BG169" s="271" t="str">
        <f>IFERROR(IF(AVERAGE(AR169:AS169)&lt;&gt;0,AVERAGE(AR169:AS169),""),"")</f>
        <v/>
      </c>
      <c r="BH169" s="271" t="str">
        <f>IFERROR(IF(AVERAGE(AT169:AU169)&lt;&gt;0,AVERAGE(AT169:AU169),""),"")</f>
        <v/>
      </c>
      <c r="BI169" s="271" t="str">
        <f>IFERROR(IF(AVERAGE(AV169:AW169)&lt;&gt;0,AVERAGE(AV169:AW169),""),"")</f>
        <v/>
      </c>
      <c r="BJ169" s="271" t="str">
        <f>IFERROR(IF(AVERAGE(AX169:AY169)&lt;&gt;0,AVERAGE(AX169:AY169),""),"")</f>
        <v/>
      </c>
      <c r="BK169" s="271" t="str">
        <f>IFERROR(IF(AVERAGE(AZ169:BA169)&lt;&gt;0,AVERAGE(AZ169:BA169),""),"")</f>
        <v/>
      </c>
      <c r="BL169" s="271" t="str">
        <f>IFERROR(IF(AVERAGE(BB169:BC169)&lt;&gt;0,AVERAGE(BB169:BC169),""),"")</f>
        <v/>
      </c>
      <c r="BM169" s="271" t="str">
        <f>IFERROR(IF(AVERAGE(BD169:BE169)&lt;&gt;0,AVERAGE(BD169:BE169),""),"")</f>
        <v/>
      </c>
    </row>
    <row r="170" spans="1:65" s="102" customFormat="1" ht="14.25" customHeight="1" outlineLevel="2" x14ac:dyDescent="0.2">
      <c r="A170" s="320" t="s">
        <v>226</v>
      </c>
      <c r="B170" s="347"/>
      <c r="C170" s="350"/>
      <c r="D170" s="344"/>
      <c r="E170" s="279" t="s">
        <v>28</v>
      </c>
      <c r="F170" s="52"/>
      <c r="G170" s="53"/>
      <c r="H170" s="53"/>
      <c r="I170" s="53"/>
      <c r="J170" s="53"/>
      <c r="K170" s="53"/>
      <c r="L170" s="53"/>
      <c r="M170" s="53"/>
      <c r="N170" s="53"/>
      <c r="O170" s="53"/>
      <c r="P170" s="53"/>
      <c r="Q170" s="54"/>
      <c r="R170" s="52"/>
      <c r="S170" s="53"/>
      <c r="T170" s="53"/>
      <c r="U170" s="53"/>
      <c r="V170" s="53"/>
      <c r="W170" s="53"/>
      <c r="X170" s="53"/>
      <c r="Y170" s="53"/>
      <c r="Z170" s="53"/>
      <c r="AA170" s="53"/>
      <c r="AB170" s="53"/>
      <c r="AC170" s="54"/>
      <c r="AD170" s="52"/>
      <c r="AE170" s="53"/>
      <c r="AF170" s="53"/>
      <c r="AG170" s="53"/>
      <c r="AH170" s="53"/>
      <c r="AI170" s="53"/>
      <c r="AJ170" s="53"/>
      <c r="AK170" s="53"/>
      <c r="AL170" s="53"/>
      <c r="AM170" s="53"/>
      <c r="AN170" s="53"/>
      <c r="AO170" s="54"/>
      <c r="AP170" s="225" t="str">
        <f>IFERROR(IF(AVERAGE(F170:K170)&lt;&gt;0,AVERAGE(F170:K170),""),"")</f>
        <v/>
      </c>
      <c r="AQ170" s="226" t="str">
        <f>IFERROR(IF(AVERAGE(L170:Q170)&lt;&gt;0,AVERAGE(L170:Q170),""),"")</f>
        <v/>
      </c>
      <c r="AR170" s="225" t="str">
        <f>IFERROR(IF(AVERAGE(R170:W170)&lt;&gt;0,AVERAGE(R170:W170),""),"")</f>
        <v/>
      </c>
      <c r="AS170" s="226" t="str">
        <f>IFERROR(IF(AVERAGE(X170:AC170)&lt;&gt;0,AVERAGE(X170:AC170),""),"")</f>
        <v/>
      </c>
      <c r="AT170" s="225" t="str">
        <f>IFERROR(IF(AVERAGE(AD170:AI170)&lt;&gt;0,AVERAGE(AD170:AI170),""),"")</f>
        <v/>
      </c>
      <c r="AU170" s="226" t="str">
        <f>IFERROR(IF(AVERAGE(AJ170:AO170)&lt;&gt;0,AVERAGE(AJ170:AO170),""),"")</f>
        <v/>
      </c>
      <c r="AV170" s="70"/>
      <c r="AW170" s="53"/>
      <c r="AX170" s="70"/>
      <c r="AY170" s="53"/>
      <c r="AZ170" s="70"/>
      <c r="BA170" s="53"/>
      <c r="BB170" s="70"/>
      <c r="BC170" s="53"/>
      <c r="BD170" s="70"/>
      <c r="BE170" s="264"/>
      <c r="BF170" s="272" t="str">
        <f>IFERROR(IF(AVERAGE(AP170:AQ170)&lt;&gt;0,AVERAGE(AP170:AQ170),""),"")</f>
        <v/>
      </c>
      <c r="BG170" s="272" t="str">
        <f>IFERROR(IF(AVERAGE(AR170:AS170)&lt;&gt;0,AVERAGE(AR170:AS170),""),"")</f>
        <v/>
      </c>
      <c r="BH170" s="272" t="str">
        <f>IFERROR(IF(AVERAGE(AT170:AU170)&lt;&gt;0,AVERAGE(AT170:AU170),""),"")</f>
        <v/>
      </c>
      <c r="BI170" s="272" t="str">
        <f>IFERROR(IF(AVERAGE(AV170:AW170)&lt;&gt;0,AVERAGE(AV170:AW170),""),"")</f>
        <v/>
      </c>
      <c r="BJ170" s="272" t="str">
        <f>IFERROR(IF(AVERAGE(AX170:AY170)&lt;&gt;0,AVERAGE(AX170:AY170),""),"")</f>
        <v/>
      </c>
      <c r="BK170" s="272" t="str">
        <f>IFERROR(IF(AVERAGE(AZ170:BA170)&lt;&gt;0,AVERAGE(AZ170:BA170),""),"")</f>
        <v/>
      </c>
      <c r="BL170" s="272" t="str">
        <f>IFERROR(IF(AVERAGE(BB170:BC170)&lt;&gt;0,AVERAGE(BB170:BC170),""),"")</f>
        <v/>
      </c>
      <c r="BM170" s="272" t="str">
        <f>IFERROR(IF(AVERAGE(BD170:BE170)&lt;&gt;0,AVERAGE(BD170:BE170),""),"")</f>
        <v/>
      </c>
    </row>
    <row r="171" spans="1:65" s="102" customFormat="1" ht="15" customHeight="1" outlineLevel="2" thickBot="1" x14ac:dyDescent="0.25">
      <c r="A171" s="320" t="s">
        <v>226</v>
      </c>
      <c r="B171" s="347"/>
      <c r="C171" s="350"/>
      <c r="D171" s="344"/>
      <c r="E171" s="278" t="s">
        <v>30</v>
      </c>
      <c r="F171" s="55"/>
      <c r="G171" s="56"/>
      <c r="H171" s="56"/>
      <c r="I171" s="56"/>
      <c r="J171" s="56"/>
      <c r="K171" s="56"/>
      <c r="L171" s="56"/>
      <c r="M171" s="56"/>
      <c r="N171" s="56"/>
      <c r="O171" s="56"/>
      <c r="P171" s="56"/>
      <c r="Q171" s="57"/>
      <c r="R171" s="55"/>
      <c r="S171" s="56"/>
      <c r="T171" s="56"/>
      <c r="U171" s="56"/>
      <c r="V171" s="56"/>
      <c r="W171" s="56"/>
      <c r="X171" s="56"/>
      <c r="Y171" s="56"/>
      <c r="Z171" s="56"/>
      <c r="AA171" s="56"/>
      <c r="AB171" s="56"/>
      <c r="AC171" s="57"/>
      <c r="AD171" s="55"/>
      <c r="AE171" s="56"/>
      <c r="AF171" s="56"/>
      <c r="AG171" s="56"/>
      <c r="AH171" s="56"/>
      <c r="AI171" s="56"/>
      <c r="AJ171" s="56"/>
      <c r="AK171" s="56"/>
      <c r="AL171" s="56"/>
      <c r="AM171" s="56"/>
      <c r="AN171" s="56"/>
      <c r="AO171" s="57"/>
      <c r="AP171" s="227" t="str">
        <f>IFERROR(IF(AVERAGE(F171:K171)&lt;&gt;0,AVERAGE(F171:K171),""),"")</f>
        <v/>
      </c>
      <c r="AQ171" s="228" t="str">
        <f>IFERROR(IF(AVERAGE(L171:Q171)&lt;&gt;0,AVERAGE(L171:Q171),""),"")</f>
        <v/>
      </c>
      <c r="AR171" s="227" t="str">
        <f>IFERROR(IF(AVERAGE(R171:W171)&lt;&gt;0,AVERAGE(R171:W171),""),"")</f>
        <v/>
      </c>
      <c r="AS171" s="228" t="str">
        <f>IFERROR(IF(AVERAGE(X171:AC171)&lt;&gt;0,AVERAGE(X171:AC171),""),"")</f>
        <v/>
      </c>
      <c r="AT171" s="227" t="str">
        <f>IFERROR(IF(AVERAGE(AD171:AI171)&lt;&gt;0,AVERAGE(AD171:AI171),""),"")</f>
        <v/>
      </c>
      <c r="AU171" s="228" t="str">
        <f>IFERROR(IF(AVERAGE(AJ171:AO171)&lt;&gt;0,AVERAGE(AJ171:AO171),""),"")</f>
        <v/>
      </c>
      <c r="AV171" s="71"/>
      <c r="AW171" s="56"/>
      <c r="AX171" s="71"/>
      <c r="AY171" s="56"/>
      <c r="AZ171" s="71"/>
      <c r="BA171" s="56"/>
      <c r="BB171" s="71"/>
      <c r="BC171" s="56"/>
      <c r="BD171" s="71"/>
      <c r="BE171" s="265"/>
      <c r="BF171" s="273" t="str">
        <f>IFERROR(IF(AVERAGE(AP171:AQ171)&lt;&gt;0,AVERAGE(AP171:AQ171),""),"")</f>
        <v/>
      </c>
      <c r="BG171" s="273" t="str">
        <f>IFERROR(IF(AVERAGE(AR171:AS171)&lt;&gt;0,AVERAGE(AR171:AS171),""),"")</f>
        <v/>
      </c>
      <c r="BH171" s="273" t="str">
        <f>IFERROR(IF(AVERAGE(AT171:AU171)&lt;&gt;0,AVERAGE(AT171:AU171),""),"")</f>
        <v/>
      </c>
      <c r="BI171" s="273" t="str">
        <f>IFERROR(IF(AVERAGE(AV171:AW171)&lt;&gt;0,AVERAGE(AV171:AW171),""),"")</f>
        <v/>
      </c>
      <c r="BJ171" s="273" t="str">
        <f>IFERROR(IF(AVERAGE(AX171:AY171)&lt;&gt;0,AVERAGE(AX171:AY171),""),"")</f>
        <v/>
      </c>
      <c r="BK171" s="273" t="str">
        <f>IFERROR(IF(AVERAGE(AZ171:BA171)&lt;&gt;0,AVERAGE(AZ171:BA171),""),"")</f>
        <v/>
      </c>
      <c r="BL171" s="273" t="str">
        <f>IFERROR(IF(AVERAGE(BB171:BC171)&lt;&gt;0,AVERAGE(BB171:BC171),""),"")</f>
        <v/>
      </c>
      <c r="BM171" s="273" t="str">
        <f>IFERROR(IF(AVERAGE(BD171:BE171)&lt;&gt;0,AVERAGE(BD171:BE171),""),"")</f>
        <v/>
      </c>
    </row>
    <row r="172" spans="1:65" s="102" customFormat="1" ht="14.25" customHeight="1" outlineLevel="2" x14ac:dyDescent="0.2">
      <c r="A172" s="320" t="s">
        <v>226</v>
      </c>
      <c r="B172" s="347"/>
      <c r="C172" s="350"/>
      <c r="D172" s="344"/>
      <c r="E172" s="279" t="s">
        <v>25</v>
      </c>
      <c r="F172" s="58"/>
      <c r="G172" s="50"/>
      <c r="H172" s="50"/>
      <c r="I172" s="50"/>
      <c r="J172" s="50"/>
      <c r="K172" s="50"/>
      <c r="L172" s="50"/>
      <c r="M172" s="50"/>
      <c r="N172" s="50"/>
      <c r="O172" s="50"/>
      <c r="P172" s="50"/>
      <c r="Q172" s="59"/>
      <c r="R172" s="58"/>
      <c r="S172" s="50"/>
      <c r="T172" s="50"/>
      <c r="U172" s="50"/>
      <c r="V172" s="50"/>
      <c r="W172" s="50"/>
      <c r="X172" s="50"/>
      <c r="Y172" s="50"/>
      <c r="Z172" s="50"/>
      <c r="AA172" s="50"/>
      <c r="AB172" s="50"/>
      <c r="AC172" s="59"/>
      <c r="AD172" s="58"/>
      <c r="AE172" s="50"/>
      <c r="AF172" s="50"/>
      <c r="AG172" s="50"/>
      <c r="AH172" s="50"/>
      <c r="AI172" s="50"/>
      <c r="AJ172" s="50"/>
      <c r="AK172" s="50"/>
      <c r="AL172" s="50"/>
      <c r="AM172" s="50"/>
      <c r="AN172" s="50"/>
      <c r="AO172" s="59"/>
      <c r="AP172" s="229" t="str">
        <f>IFERROR(IF(SUM(F172:K172)&lt;&gt;0,SUM(F172:K172),""),"")</f>
        <v/>
      </c>
      <c r="AQ172" s="230" t="str">
        <f>IFERROR(IF(SUM(L172:Q172)&lt;&gt;0,SUM(L172:Q172),""),"")</f>
        <v/>
      </c>
      <c r="AR172" s="229" t="str">
        <f>IFERROR(IF(SUM(R172:W172)&lt;&gt;0,SUM(R172:W172),""),"")</f>
        <v/>
      </c>
      <c r="AS172" s="230" t="str">
        <f>IFERROR(IF(SUM(X172:AC172)&lt;&gt;0,SUM(X172:AC172),""),"")</f>
        <v/>
      </c>
      <c r="AT172" s="229" t="str">
        <f>IFERROR(IF(SUM(AD172:AI172)&lt;&gt;0,SUM(AD172:AI172),""),"")</f>
        <v/>
      </c>
      <c r="AU172" s="230" t="str">
        <f>IFERROR(IF(SUM(AJ172:AO172)&lt;&gt;0,SUM(AJ172:AO172),""),"")</f>
        <v/>
      </c>
      <c r="AV172" s="72"/>
      <c r="AW172" s="73"/>
      <c r="AX172" s="72"/>
      <c r="AY172" s="73"/>
      <c r="AZ172" s="72"/>
      <c r="BA172" s="73"/>
      <c r="BB172" s="72"/>
      <c r="BC172" s="73"/>
      <c r="BD172" s="72"/>
      <c r="BE172" s="266"/>
      <c r="BF172" s="286" t="e">
        <f t="shared" ref="BF172:BF175" si="842">IF(SUM(AP172,AQ172)&lt;&gt;0,SUM(AP172,AQ172),#N/A)</f>
        <v>#N/A</v>
      </c>
      <c r="BG172" s="286" t="e">
        <f t="shared" ref="BG172:BG175" si="843">IF(SUM(AR172,AS172)&lt;&gt;0,SUM(AR172,AS172),#N/A)</f>
        <v>#N/A</v>
      </c>
      <c r="BH172" s="286" t="e">
        <f t="shared" ref="BH172:BH175" si="844">IF(SUM(AT172,AU172)&lt;&gt;0,SUM(AT172,AU172),#N/A)</f>
        <v>#N/A</v>
      </c>
      <c r="BI172" s="286" t="e">
        <f t="shared" ref="BI172:BI175" si="845">IF(SUM(AV172,AW172)&lt;&gt;0,SUM(AV172,AW172),#N/A)</f>
        <v>#N/A</v>
      </c>
      <c r="BJ172" s="286" t="e">
        <f t="shared" ref="BJ172:BJ175" si="846">IF(SUM(AX172,AY172)&lt;&gt;0,SUM(AX172,AY172),#N/A)</f>
        <v>#N/A</v>
      </c>
      <c r="BK172" s="286" t="e">
        <f t="shared" ref="BK172:BK175" si="847">IF(SUM(AZ172,BA172)&lt;&gt;0,SUM(AZ172,BA172),#N/A)</f>
        <v>#N/A</v>
      </c>
      <c r="BL172" s="286" t="e">
        <f t="shared" ref="BL172:BL175" si="848">IF(SUM(BB172,BC172)&lt;&gt;0,SUM(BB172,BC172),#N/A)</f>
        <v>#N/A</v>
      </c>
      <c r="BM172" s="286" t="e">
        <f t="shared" ref="BM172:BM175" si="849">IF(SUM(BD172,BE172)&lt;&gt;0,SUM(BD172,BE172),#N/A)</f>
        <v>#N/A</v>
      </c>
    </row>
    <row r="173" spans="1:65" s="102" customFormat="1" ht="14.25" customHeight="1" outlineLevel="2" x14ac:dyDescent="0.2">
      <c r="A173" s="320" t="s">
        <v>226</v>
      </c>
      <c r="B173" s="347"/>
      <c r="C173" s="350"/>
      <c r="D173" s="344"/>
      <c r="E173" s="280" t="s">
        <v>26</v>
      </c>
      <c r="F173" s="60"/>
      <c r="G173" s="61"/>
      <c r="H173" s="61"/>
      <c r="I173" s="61"/>
      <c r="J173" s="61"/>
      <c r="K173" s="61"/>
      <c r="L173" s="61"/>
      <c r="M173" s="61"/>
      <c r="N173" s="61"/>
      <c r="O173" s="61"/>
      <c r="P173" s="61"/>
      <c r="Q173" s="62"/>
      <c r="R173" s="60"/>
      <c r="S173" s="61"/>
      <c r="T173" s="61"/>
      <c r="U173" s="61"/>
      <c r="V173" s="61"/>
      <c r="W173" s="61"/>
      <c r="X173" s="61"/>
      <c r="Y173" s="61"/>
      <c r="Z173" s="61"/>
      <c r="AA173" s="61"/>
      <c r="AB173" s="61"/>
      <c r="AC173" s="62"/>
      <c r="AD173" s="60"/>
      <c r="AE173" s="61"/>
      <c r="AF173" s="61"/>
      <c r="AG173" s="61"/>
      <c r="AH173" s="61"/>
      <c r="AI173" s="61"/>
      <c r="AJ173" s="61"/>
      <c r="AK173" s="61"/>
      <c r="AL173" s="61"/>
      <c r="AM173" s="61"/>
      <c r="AN173" s="61"/>
      <c r="AO173" s="62"/>
      <c r="AP173" s="231" t="str">
        <f>IFERROR(IF(SUM(F173:K173)&lt;&gt;0,SUM(F173:K173),""),"")</f>
        <v/>
      </c>
      <c r="AQ173" s="232" t="str">
        <f>IFERROR(IF(SUM(L173:Q173)&lt;&gt;0,SUM(L173:Q173),""),"")</f>
        <v/>
      </c>
      <c r="AR173" s="231" t="str">
        <f>IFERROR(IF(SUM(R173:W173)&lt;&gt;0,SUM(R173:W173),""),"")</f>
        <v/>
      </c>
      <c r="AS173" s="232" t="str">
        <f>IFERROR(IF(SUM(X173:AC173)&lt;&gt;0,SUM(X173:AC173),""),"")</f>
        <v/>
      </c>
      <c r="AT173" s="231" t="str">
        <f>IFERROR(IF(SUM(AD173:AI173)&lt;&gt;0,SUM(AD173:AI173),""),"")</f>
        <v/>
      </c>
      <c r="AU173" s="232" t="str">
        <f>IFERROR(IF(SUM(AJ173:AO173)&lt;&gt;0,SUM(AJ173:AO173),""),"")</f>
        <v/>
      </c>
      <c r="AV173" s="74"/>
      <c r="AW173" s="61"/>
      <c r="AX173" s="74"/>
      <c r="AY173" s="61"/>
      <c r="AZ173" s="74"/>
      <c r="BA173" s="61"/>
      <c r="BB173" s="74"/>
      <c r="BC173" s="61"/>
      <c r="BD173" s="74"/>
      <c r="BE173" s="267"/>
      <c r="BF173" s="287" t="e">
        <f t="shared" si="842"/>
        <v>#N/A</v>
      </c>
      <c r="BG173" s="287" t="e">
        <f t="shared" si="843"/>
        <v>#N/A</v>
      </c>
      <c r="BH173" s="287" t="e">
        <f t="shared" si="844"/>
        <v>#N/A</v>
      </c>
      <c r="BI173" s="287" t="e">
        <f t="shared" si="845"/>
        <v>#N/A</v>
      </c>
      <c r="BJ173" s="287" t="e">
        <f t="shared" si="846"/>
        <v>#N/A</v>
      </c>
      <c r="BK173" s="287" t="e">
        <f t="shared" si="847"/>
        <v>#N/A</v>
      </c>
      <c r="BL173" s="287" t="e">
        <f t="shared" si="848"/>
        <v>#N/A</v>
      </c>
      <c r="BM173" s="287" t="e">
        <f t="shared" si="849"/>
        <v>#N/A</v>
      </c>
    </row>
    <row r="174" spans="1:65" s="102" customFormat="1" ht="14.25" customHeight="1" outlineLevel="2" x14ac:dyDescent="0.2">
      <c r="A174" s="320" t="s">
        <v>226</v>
      </c>
      <c r="B174" s="347"/>
      <c r="C174" s="350"/>
      <c r="D174" s="344"/>
      <c r="E174" s="280" t="s">
        <v>27</v>
      </c>
      <c r="F174" s="60"/>
      <c r="G174" s="61"/>
      <c r="H174" s="61"/>
      <c r="I174" s="61"/>
      <c r="J174" s="61"/>
      <c r="K174" s="61"/>
      <c r="L174" s="61"/>
      <c r="M174" s="61"/>
      <c r="N174" s="61"/>
      <c r="O174" s="61"/>
      <c r="P174" s="61"/>
      <c r="Q174" s="62"/>
      <c r="R174" s="60"/>
      <c r="S174" s="61"/>
      <c r="T174" s="61"/>
      <c r="U174" s="61"/>
      <c r="V174" s="61"/>
      <c r="W174" s="61"/>
      <c r="X174" s="61"/>
      <c r="Y174" s="61"/>
      <c r="Z174" s="61"/>
      <c r="AA174" s="61"/>
      <c r="AB174" s="61"/>
      <c r="AC174" s="62"/>
      <c r="AD174" s="60"/>
      <c r="AE174" s="61"/>
      <c r="AF174" s="61"/>
      <c r="AG174" s="61"/>
      <c r="AH174" s="61"/>
      <c r="AI174" s="61"/>
      <c r="AJ174" s="61"/>
      <c r="AK174" s="61"/>
      <c r="AL174" s="61"/>
      <c r="AM174" s="61"/>
      <c r="AN174" s="61"/>
      <c r="AO174" s="62"/>
      <c r="AP174" s="231" t="str">
        <f>IFERROR(IF(SUM(F174:K174)&lt;&gt;0,SUM(F174:K174),""),"")</f>
        <v/>
      </c>
      <c r="AQ174" s="232" t="str">
        <f>IFERROR(IF(SUM(L174:Q174)&lt;&gt;0,SUM(L174:Q174),""),"")</f>
        <v/>
      </c>
      <c r="AR174" s="231" t="str">
        <f>IFERROR(IF(SUM(R174:W174)&lt;&gt;0,SUM(R174:W174),""),"")</f>
        <v/>
      </c>
      <c r="AS174" s="232" t="str">
        <f>IFERROR(IF(SUM(X174:AC174)&lt;&gt;0,SUM(X174:AC174),""),"")</f>
        <v/>
      </c>
      <c r="AT174" s="231" t="str">
        <f>IFERROR(IF(SUM(AD174:AI174)&lt;&gt;0,SUM(AD174:AI174),""),"")</f>
        <v/>
      </c>
      <c r="AU174" s="232" t="str">
        <f>IFERROR(IF(SUM(AJ174:AO174)&lt;&gt;0,SUM(AJ174:AO174),""),"")</f>
        <v/>
      </c>
      <c r="AV174" s="74"/>
      <c r="AW174" s="61"/>
      <c r="AX174" s="74"/>
      <c r="AY174" s="61"/>
      <c r="AZ174" s="74"/>
      <c r="BA174" s="61"/>
      <c r="BB174" s="74"/>
      <c r="BC174" s="61"/>
      <c r="BD174" s="74"/>
      <c r="BE174" s="267"/>
      <c r="BF174" s="287" t="e">
        <f t="shared" si="842"/>
        <v>#N/A</v>
      </c>
      <c r="BG174" s="287" t="e">
        <f t="shared" si="843"/>
        <v>#N/A</v>
      </c>
      <c r="BH174" s="287" t="e">
        <f t="shared" si="844"/>
        <v>#N/A</v>
      </c>
      <c r="BI174" s="287" t="e">
        <f t="shared" si="845"/>
        <v>#N/A</v>
      </c>
      <c r="BJ174" s="287" t="e">
        <f t="shared" si="846"/>
        <v>#N/A</v>
      </c>
      <c r="BK174" s="287" t="e">
        <f t="shared" si="847"/>
        <v>#N/A</v>
      </c>
      <c r="BL174" s="287" t="e">
        <f t="shared" si="848"/>
        <v>#N/A</v>
      </c>
      <c r="BM174" s="287" t="e">
        <f t="shared" si="849"/>
        <v>#N/A</v>
      </c>
    </row>
    <row r="175" spans="1:65" s="102" customFormat="1" ht="15" customHeight="1" outlineLevel="2" thickBot="1" x14ac:dyDescent="0.25">
      <c r="A175" s="320" t="s">
        <v>226</v>
      </c>
      <c r="B175" s="347"/>
      <c r="C175" s="350"/>
      <c r="D175" s="344"/>
      <c r="E175" s="281" t="s">
        <v>88</v>
      </c>
      <c r="F175" s="63"/>
      <c r="G175" s="48"/>
      <c r="H175" s="48"/>
      <c r="I175" s="48"/>
      <c r="J175" s="48"/>
      <c r="K175" s="48"/>
      <c r="L175" s="48"/>
      <c r="M175" s="48"/>
      <c r="N175" s="48"/>
      <c r="O175" s="48"/>
      <c r="P175" s="48"/>
      <c r="Q175" s="51"/>
      <c r="R175" s="63"/>
      <c r="S175" s="48"/>
      <c r="T175" s="48"/>
      <c r="U175" s="48"/>
      <c r="V175" s="48"/>
      <c r="W175" s="48"/>
      <c r="X175" s="48"/>
      <c r="Y175" s="48"/>
      <c r="Z175" s="48"/>
      <c r="AA175" s="48"/>
      <c r="AB175" s="48"/>
      <c r="AC175" s="51"/>
      <c r="AD175" s="63"/>
      <c r="AE175" s="48"/>
      <c r="AF175" s="48"/>
      <c r="AG175" s="48"/>
      <c r="AH175" s="48"/>
      <c r="AI175" s="48"/>
      <c r="AJ175" s="48"/>
      <c r="AK175" s="48"/>
      <c r="AL175" s="48"/>
      <c r="AM175" s="48"/>
      <c r="AN175" s="48"/>
      <c r="AO175" s="51"/>
      <c r="AP175" s="233" t="str">
        <f>IFERROR(IF(SUM(F175:K175)&lt;&gt;0,SUM(F175:K175),""),"")</f>
        <v/>
      </c>
      <c r="AQ175" s="234" t="str">
        <f>IFERROR(IF(SUM(L175:Q175)&lt;&gt;0,SUM(L175:Q175),""),"")</f>
        <v/>
      </c>
      <c r="AR175" s="233" t="str">
        <f>IFERROR(IF(SUM(R175:W175)&lt;&gt;0,SUM(R175:W175),""),"")</f>
        <v/>
      </c>
      <c r="AS175" s="234" t="str">
        <f>IFERROR(IF(SUM(X175:AC175)&lt;&gt;0,SUM(X175:AC175),""),"")</f>
        <v/>
      </c>
      <c r="AT175" s="233" t="str">
        <f>IFERROR(IF(SUM(AD175:AI175)&lt;&gt;0,SUM(AD175:AI175),""),"")</f>
        <v/>
      </c>
      <c r="AU175" s="234" t="str">
        <f>IFERROR(IF(SUM(AJ175:AO175)&lt;&gt;0,SUM(AJ175:AO175),""),"")</f>
        <v/>
      </c>
      <c r="AV175" s="75"/>
      <c r="AW175" s="76"/>
      <c r="AX175" s="75"/>
      <c r="AY175" s="76"/>
      <c r="AZ175" s="75"/>
      <c r="BA175" s="76"/>
      <c r="BB175" s="75"/>
      <c r="BC175" s="76"/>
      <c r="BD175" s="75"/>
      <c r="BE175" s="268"/>
      <c r="BF175" s="271" t="e">
        <f t="shared" si="842"/>
        <v>#N/A</v>
      </c>
      <c r="BG175" s="271" t="e">
        <f t="shared" si="843"/>
        <v>#N/A</v>
      </c>
      <c r="BH175" s="271" t="e">
        <f t="shared" si="844"/>
        <v>#N/A</v>
      </c>
      <c r="BI175" s="271" t="e">
        <f t="shared" si="845"/>
        <v>#N/A</v>
      </c>
      <c r="BJ175" s="271" t="e">
        <f t="shared" si="846"/>
        <v>#N/A</v>
      </c>
      <c r="BK175" s="271" t="e">
        <f t="shared" si="847"/>
        <v>#N/A</v>
      </c>
      <c r="BL175" s="271" t="e">
        <f t="shared" si="848"/>
        <v>#N/A</v>
      </c>
      <c r="BM175" s="271" t="e">
        <f t="shared" si="849"/>
        <v>#N/A</v>
      </c>
    </row>
    <row r="176" spans="1:65" s="102" customFormat="1" ht="14.25" customHeight="1" outlineLevel="2" x14ac:dyDescent="0.2">
      <c r="A176" s="320" t="s">
        <v>226</v>
      </c>
      <c r="B176" s="347"/>
      <c r="C176" s="350"/>
      <c r="D176" s="344"/>
      <c r="E176" s="279" t="s">
        <v>32</v>
      </c>
      <c r="F176" s="64"/>
      <c r="G176" s="65"/>
      <c r="H176" s="65"/>
      <c r="I176" s="65"/>
      <c r="J176" s="65"/>
      <c r="K176" s="65"/>
      <c r="L176" s="65"/>
      <c r="M176" s="65"/>
      <c r="N176" s="65"/>
      <c r="O176" s="65"/>
      <c r="P176" s="65"/>
      <c r="Q176" s="66"/>
      <c r="R176" s="64"/>
      <c r="S176" s="65"/>
      <c r="T176" s="65"/>
      <c r="U176" s="65"/>
      <c r="V176" s="65"/>
      <c r="W176" s="65"/>
      <c r="X176" s="65"/>
      <c r="Y176" s="65"/>
      <c r="Z176" s="65"/>
      <c r="AA176" s="65"/>
      <c r="AB176" s="65"/>
      <c r="AC176" s="66"/>
      <c r="AD176" s="64"/>
      <c r="AE176" s="65"/>
      <c r="AF176" s="65"/>
      <c r="AG176" s="65"/>
      <c r="AH176" s="65"/>
      <c r="AI176" s="65"/>
      <c r="AJ176" s="65"/>
      <c r="AK176" s="65"/>
      <c r="AL176" s="65"/>
      <c r="AM176" s="65"/>
      <c r="AN176" s="65"/>
      <c r="AO176" s="66"/>
      <c r="AP176" s="32" t="str">
        <f>IFERROR(IF(AVERAGE(F176:K176)&lt;&gt;0,AVERAGE(F176:K176),""),"")</f>
        <v/>
      </c>
      <c r="AQ176" s="235" t="str">
        <f>IFERROR(IF(AVERAGE(L176:Q176)&lt;&gt;0,AVERAGE(L176:Q176),""),"")</f>
        <v/>
      </c>
      <c r="AR176" s="32" t="str">
        <f>IFERROR(IF(AVERAGE(R176:W176)&lt;&gt;0,AVERAGE(R176:W176),""),"")</f>
        <v/>
      </c>
      <c r="AS176" s="235" t="str">
        <f>IFERROR(IF(AVERAGE(X176:AC176)&lt;&gt;0,AVERAGE(X176:AC176),""),"")</f>
        <v/>
      </c>
      <c r="AT176" s="32" t="str">
        <f>IFERROR(IF(AVERAGE(AD176:AI176)&lt;&gt;0,AVERAGE(AD176:AI176),""),"")</f>
        <v/>
      </c>
      <c r="AU176" s="235" t="str">
        <f>IFERROR(IF(AVERAGE(AJ176:AO176)&lt;&gt;0,AVERAGE(AJ176:AO176),""),"")</f>
        <v/>
      </c>
      <c r="AV176" s="77"/>
      <c r="AW176" s="65"/>
      <c r="AX176" s="77"/>
      <c r="AY176" s="65"/>
      <c r="AZ176" s="77"/>
      <c r="BA176" s="65"/>
      <c r="BB176" s="77"/>
      <c r="BC176" s="65"/>
      <c r="BD176" s="77"/>
      <c r="BE176" s="269"/>
      <c r="BF176" s="272" t="str">
        <f>IFERROR(IF(AVERAGE(AP176:AQ176)&lt;&gt;0,AVERAGE(AP176:AQ176),""),"")</f>
        <v/>
      </c>
      <c r="BG176" s="272" t="str">
        <f>IFERROR(IF(AVERAGE(AR176:AS176)&lt;&gt;0,AVERAGE(AR176:AS176),""),"")</f>
        <v/>
      </c>
      <c r="BH176" s="272" t="str">
        <f>IFERROR(IF(AVERAGE(AT176:AU176)&lt;&gt;0,AVERAGE(AT176:AU176),""),"")</f>
        <v/>
      </c>
      <c r="BI176" s="272" t="str">
        <f>IFERROR(IF(AVERAGE(AV176:AW176)&lt;&gt;0,AVERAGE(AV176:AW176),""),"")</f>
        <v/>
      </c>
      <c r="BJ176" s="272" t="str">
        <f>IFERROR(IF(AVERAGE(AX176:AY176)&lt;&gt;0,AVERAGE(AX176:AY176),""),"")</f>
        <v/>
      </c>
      <c r="BK176" s="272" t="str">
        <f>IFERROR(IF(AVERAGE(AZ176:BA176)&lt;&gt;0,AVERAGE(AZ176:BA176),""),"")</f>
        <v/>
      </c>
      <c r="BL176" s="272" t="str">
        <f>IFERROR(IF(AVERAGE(BB176:BC176)&lt;&gt;0,AVERAGE(BB176:BC176),""),"")</f>
        <v/>
      </c>
      <c r="BM176" s="272" t="str">
        <f>IFERROR(IF(AVERAGE(BD176:BE176)&lt;&gt;0,AVERAGE(BD176:BE176),""),"")</f>
        <v/>
      </c>
    </row>
    <row r="177" spans="1:65" s="102" customFormat="1" ht="15" customHeight="1" outlineLevel="2" thickBot="1" x14ac:dyDescent="0.25">
      <c r="A177" s="320" t="s">
        <v>226</v>
      </c>
      <c r="B177" s="347"/>
      <c r="C177" s="350"/>
      <c r="D177" s="344"/>
      <c r="E177" s="281" t="s">
        <v>2</v>
      </c>
      <c r="F177" s="67"/>
      <c r="G177" s="68"/>
      <c r="H177" s="68"/>
      <c r="I177" s="68"/>
      <c r="J177" s="68"/>
      <c r="K177" s="68"/>
      <c r="L177" s="68"/>
      <c r="M177" s="68"/>
      <c r="N177" s="68"/>
      <c r="O177" s="68"/>
      <c r="P177" s="68"/>
      <c r="Q177" s="69"/>
      <c r="R177" s="67"/>
      <c r="S177" s="68"/>
      <c r="T177" s="68"/>
      <c r="U177" s="68"/>
      <c r="V177" s="68"/>
      <c r="W177" s="68"/>
      <c r="X177" s="68"/>
      <c r="Y177" s="68"/>
      <c r="Z177" s="68"/>
      <c r="AA177" s="68"/>
      <c r="AB177" s="68"/>
      <c r="AC177" s="69"/>
      <c r="AD177" s="67"/>
      <c r="AE177" s="68"/>
      <c r="AF177" s="68"/>
      <c r="AG177" s="68"/>
      <c r="AH177" s="68"/>
      <c r="AI177" s="68"/>
      <c r="AJ177" s="68"/>
      <c r="AK177" s="68"/>
      <c r="AL177" s="68"/>
      <c r="AM177" s="68"/>
      <c r="AN177" s="68"/>
      <c r="AO177" s="69"/>
      <c r="AP177" s="236" t="str">
        <f>IFERROR(IF(AVERAGE(F177:K177)&lt;&gt;0,AVERAGE(F177:K177),""),"")</f>
        <v/>
      </c>
      <c r="AQ177" s="237" t="str">
        <f>IFERROR(IF(AVERAGE(L177:Q177)&lt;&gt;0,AVERAGE(L177:Q177),""),"")</f>
        <v/>
      </c>
      <c r="AR177" s="236" t="str">
        <f>IFERROR(IF(AVERAGE(R177:W177)&lt;&gt;0,AVERAGE(R177:W177),""),"")</f>
        <v/>
      </c>
      <c r="AS177" s="237" t="str">
        <f>IFERROR(IF(AVERAGE(X177:AC177)&lt;&gt;0,AVERAGE(X177:AC177),""),"")</f>
        <v/>
      </c>
      <c r="AT177" s="236" t="str">
        <f>IFERROR(IF(AVERAGE(AD177:AI177)&lt;&gt;0,AVERAGE(AD177:AI177),""),"")</f>
        <v/>
      </c>
      <c r="AU177" s="237" t="str">
        <f>IFERROR(IF(AVERAGE(AJ177:AO177)&lt;&gt;0,AVERAGE(AJ177:AO177),""),"")</f>
        <v/>
      </c>
      <c r="AV177" s="78"/>
      <c r="AW177" s="68"/>
      <c r="AX177" s="78"/>
      <c r="AY177" s="68"/>
      <c r="AZ177" s="78"/>
      <c r="BA177" s="68"/>
      <c r="BB177" s="78"/>
      <c r="BC177" s="68"/>
      <c r="BD177" s="78"/>
      <c r="BE177" s="270"/>
      <c r="BF177" s="288" t="str">
        <f>IFERROR(IF(AVERAGE(AP177:AQ177)&lt;&gt;0,AVERAGE(AP177:AQ177),""),"")</f>
        <v/>
      </c>
      <c r="BG177" s="288" t="str">
        <f>IFERROR(IF(AVERAGE(AR177:AS177)&lt;&gt;0,AVERAGE(AR177:AS177),""),"")</f>
        <v/>
      </c>
      <c r="BH177" s="288" t="str">
        <f>IFERROR(IF(AVERAGE(AT177:AU177)&lt;&gt;0,AVERAGE(AT177:AU177),""),"")</f>
        <v/>
      </c>
      <c r="BI177" s="288" t="str">
        <f>IFERROR(IF(AVERAGE(AV177:AW177)&lt;&gt;0,AVERAGE(AV177:AW177),""),"")</f>
        <v/>
      </c>
      <c r="BJ177" s="288" t="str">
        <f>IFERROR(IF(AVERAGE(AX177:AY177)&lt;&gt;0,AVERAGE(AX177:AY177),""),"")</f>
        <v/>
      </c>
      <c r="BK177" s="288" t="str">
        <f>IFERROR(IF(AVERAGE(AZ177:BA177)&lt;&gt;0,AVERAGE(AZ177:BA177),""),"")</f>
        <v/>
      </c>
      <c r="BL177" s="288" t="str">
        <f>IFERROR(IF(AVERAGE(BB177:BC177)&lt;&gt;0,AVERAGE(BB177:BC177),""),"")</f>
        <v/>
      </c>
      <c r="BM177" s="288" t="str">
        <f>IFERROR(IF(AVERAGE(BD177:BE177)&lt;&gt;0,AVERAGE(BD177:BE177),""),"")</f>
        <v/>
      </c>
    </row>
    <row r="178" spans="1:65" s="102" customFormat="1" ht="14.25" customHeight="1" outlineLevel="1" x14ac:dyDescent="0.2">
      <c r="A178" s="320" t="s">
        <v>226</v>
      </c>
      <c r="B178" s="347"/>
      <c r="C178" s="350"/>
      <c r="D178" s="344"/>
      <c r="E178" s="282" t="s">
        <v>228</v>
      </c>
      <c r="F178" s="283" t="str">
        <f ca="1">IF(IFERROR((F$11*(F170-SUM(F172:F175)/F$11)*F177*3600)/(F176),"")&gt;0,IFERROR((F$11*(F170-SUM(F172:F175)/F$11)*F177*3600)/(F176),""),"")</f>
        <v/>
      </c>
      <c r="G178" s="284" t="str">
        <f t="shared" ref="G178:AO178" ca="1" si="850">IF(IFERROR((G$11*(G170-SUM(G172:G175)/G$11)*G177*3600)/(G176),"")&gt;0,IFERROR((G$11*(G170-SUM(G172:G175)/G$11)*G177*3600)/(G176),""),"")</f>
        <v/>
      </c>
      <c r="H178" s="284" t="str">
        <f t="shared" ca="1" si="850"/>
        <v/>
      </c>
      <c r="I178" s="284" t="str">
        <f t="shared" ca="1" si="850"/>
        <v/>
      </c>
      <c r="J178" s="284" t="str">
        <f t="shared" ca="1" si="850"/>
        <v/>
      </c>
      <c r="K178" s="284" t="str">
        <f t="shared" ca="1" si="850"/>
        <v/>
      </c>
      <c r="L178" s="284" t="str">
        <f t="shared" ca="1" si="850"/>
        <v/>
      </c>
      <c r="M178" s="284" t="str">
        <f t="shared" ca="1" si="850"/>
        <v/>
      </c>
      <c r="N178" s="284" t="str">
        <f t="shared" ca="1" si="850"/>
        <v/>
      </c>
      <c r="O178" s="284" t="str">
        <f t="shared" ca="1" si="850"/>
        <v/>
      </c>
      <c r="P178" s="284" t="str">
        <f t="shared" ca="1" si="850"/>
        <v/>
      </c>
      <c r="Q178" s="284" t="str">
        <f t="shared" ca="1" si="850"/>
        <v/>
      </c>
      <c r="R178" s="283" t="str">
        <f t="shared" ca="1" si="850"/>
        <v/>
      </c>
      <c r="S178" s="284" t="str">
        <f t="shared" ca="1" si="850"/>
        <v/>
      </c>
      <c r="T178" s="284" t="str">
        <f t="shared" ca="1" si="850"/>
        <v/>
      </c>
      <c r="U178" s="284" t="str">
        <f t="shared" ca="1" si="850"/>
        <v/>
      </c>
      <c r="V178" s="284" t="str">
        <f t="shared" ca="1" si="850"/>
        <v/>
      </c>
      <c r="W178" s="284" t="str">
        <f t="shared" ca="1" si="850"/>
        <v/>
      </c>
      <c r="X178" s="284" t="str">
        <f t="shared" ca="1" si="850"/>
        <v/>
      </c>
      <c r="Y178" s="284" t="str">
        <f t="shared" ca="1" si="850"/>
        <v/>
      </c>
      <c r="Z178" s="284" t="str">
        <f t="shared" ca="1" si="850"/>
        <v/>
      </c>
      <c r="AA178" s="284" t="str">
        <f t="shared" ca="1" si="850"/>
        <v/>
      </c>
      <c r="AB178" s="284" t="str">
        <f t="shared" ca="1" si="850"/>
        <v/>
      </c>
      <c r="AC178" s="284" t="str">
        <f t="shared" ca="1" si="850"/>
        <v/>
      </c>
      <c r="AD178" s="283" t="str">
        <f t="shared" ca="1" si="850"/>
        <v/>
      </c>
      <c r="AE178" s="284" t="str">
        <f t="shared" ca="1" si="850"/>
        <v/>
      </c>
      <c r="AF178" s="284" t="str">
        <f t="shared" ca="1" si="850"/>
        <v/>
      </c>
      <c r="AG178" s="284" t="str">
        <f t="shared" ca="1" si="850"/>
        <v/>
      </c>
      <c r="AH178" s="284" t="str">
        <f t="shared" ca="1" si="850"/>
        <v/>
      </c>
      <c r="AI178" s="284" t="str">
        <f t="shared" ca="1" si="850"/>
        <v/>
      </c>
      <c r="AJ178" s="284" t="str">
        <f t="shared" ca="1" si="850"/>
        <v/>
      </c>
      <c r="AK178" s="284" t="str">
        <f t="shared" ca="1" si="850"/>
        <v/>
      </c>
      <c r="AL178" s="284" t="str">
        <f t="shared" ca="1" si="850"/>
        <v/>
      </c>
      <c r="AM178" s="284" t="str">
        <f t="shared" ca="1" si="850"/>
        <v/>
      </c>
      <c r="AN178" s="284" t="str">
        <f t="shared" ca="1" si="850"/>
        <v/>
      </c>
      <c r="AO178" s="284" t="str">
        <f t="shared" ca="1" si="850"/>
        <v/>
      </c>
      <c r="AP178" s="283" t="e">
        <f t="shared" ref="AP178:AP179" ca="1" si="851">IF(SUM(F178:K178)&lt;&gt;0,SUM(F178:K178),#N/A)</f>
        <v>#N/A</v>
      </c>
      <c r="AQ178" s="284" t="e">
        <f t="shared" ref="AQ178:AQ179" ca="1" si="852">IF(SUM(L178:Q178)&lt;&gt;0,SUM(L178:Q178),#N/A)</f>
        <v>#N/A</v>
      </c>
      <c r="AR178" s="283" t="e">
        <f t="shared" ref="AR178:AR179" ca="1" si="853">IF(SUM(R178:W178)&lt;&gt;0,SUM(R178:W178),#N/A)</f>
        <v>#N/A</v>
      </c>
      <c r="AS178" s="284" t="e">
        <f t="shared" ref="AS178:AS179" ca="1" si="854">IF(SUM(X178:AC178)&lt;&gt;0,SUM(X178:AC178),#N/A)</f>
        <v>#N/A</v>
      </c>
      <c r="AT178" s="283" t="e">
        <f t="shared" ref="AT178:AT179" ca="1" si="855">IF(SUM(AD178:AI178)&lt;&gt;0,SUM(AD178:AI178),#N/A)</f>
        <v>#N/A</v>
      </c>
      <c r="AU178" s="284" t="e">
        <f t="shared" ref="AU178:AU179" ca="1" si="856">IF(SUM(AJ178:AO178)&lt;&gt;0,SUM(AJ178:AO178),#N/A)</f>
        <v>#N/A</v>
      </c>
      <c r="AV178" s="283" t="str">
        <f ca="1">IF(IFERROR((AV$11*(AV170-SUM(AV172:AV175)/AV$11)*AV177*3600)/(AV176),"")&lt;&gt;0,IFERROR((AV$11*(AV170-SUM(AV172:AV175)/AV$11)*AV177*3600)/(AV176),""),"")</f>
        <v/>
      </c>
      <c r="AW178" s="284" t="str">
        <f t="shared" ref="AW178:BE178" ca="1" si="857">IF(IFERROR((AW$11*(AW170-SUM(AW172:AW175)/AW$11)*AW177*3600)/(AW176),"")&lt;&gt;0,IFERROR((AW$11*(AW170-SUM(AW172:AW175)/AW$11)*AW177*3600)/(AW176),""),"")</f>
        <v/>
      </c>
      <c r="AX178" s="283" t="str">
        <f t="shared" ca="1" si="857"/>
        <v/>
      </c>
      <c r="AY178" s="284" t="str">
        <f t="shared" ca="1" si="857"/>
        <v/>
      </c>
      <c r="AZ178" s="283" t="str">
        <f t="shared" ca="1" si="857"/>
        <v/>
      </c>
      <c r="BA178" s="284" t="str">
        <f t="shared" ca="1" si="857"/>
        <v/>
      </c>
      <c r="BB178" s="283" t="str">
        <f t="shared" ca="1" si="857"/>
        <v/>
      </c>
      <c r="BC178" s="284" t="str">
        <f t="shared" ca="1" si="857"/>
        <v/>
      </c>
      <c r="BD178" s="283" t="str">
        <f t="shared" ca="1" si="857"/>
        <v/>
      </c>
      <c r="BE178" s="285" t="str">
        <f t="shared" ca="1" si="857"/>
        <v/>
      </c>
      <c r="BF178" s="285" t="e">
        <f t="shared" ref="BF178:BF180" ca="1" si="858">IF(SUM(AP178,AQ178)&lt;&gt;0,SUM(AP178,AQ178),#N/A)</f>
        <v>#N/A</v>
      </c>
      <c r="BG178" s="285" t="e">
        <f t="shared" ref="BG178:BG180" ca="1" si="859">IF(SUM(AR178,AS178)&lt;&gt;0,SUM(AR178,AS178),#N/A)</f>
        <v>#N/A</v>
      </c>
      <c r="BH178" s="285" t="e">
        <f t="shared" ref="BH178:BH180" ca="1" si="860">IF(SUM(AT178,AU178)&lt;&gt;0,SUM(AT178,AU178),#N/A)</f>
        <v>#N/A</v>
      </c>
      <c r="BI178" s="285" t="e">
        <f t="shared" ref="BI178:BI180" ca="1" si="861">IF(SUM(AV178,AW178)&lt;&gt;0,SUM(AV178,AW178),#N/A)</f>
        <v>#N/A</v>
      </c>
      <c r="BJ178" s="285" t="e">
        <f t="shared" ref="BJ178:BJ180" ca="1" si="862">IF(SUM(AX178,AY178)&lt;&gt;0,SUM(AX178,AY178),#N/A)</f>
        <v>#N/A</v>
      </c>
      <c r="BK178" s="285" t="e">
        <f t="shared" ref="BK178:BK180" ca="1" si="863">IF(SUM(AZ178,BA178)&lt;&gt;0,SUM(AZ178,BA178),#N/A)</f>
        <v>#N/A</v>
      </c>
      <c r="BL178" s="285" t="e">
        <f t="shared" ref="BL178:BL180" ca="1" si="864">IF(SUM(BB178,BC178)&lt;&gt;0,SUM(BB178,BC178),#N/A)</f>
        <v>#N/A</v>
      </c>
      <c r="BM178" s="285" t="e">
        <f t="shared" ref="BM178:BM180" ca="1" si="865">IF(SUM(BD178,BE178)&lt;&gt;0,SUM(BD178,BE178),#N/A)</f>
        <v>#N/A</v>
      </c>
    </row>
    <row r="179" spans="1:65" s="102" customFormat="1" ht="15" customHeight="1" outlineLevel="1" thickBot="1" x14ac:dyDescent="0.25">
      <c r="A179" s="320" t="s">
        <v>226</v>
      </c>
      <c r="B179" s="348"/>
      <c r="C179" s="351"/>
      <c r="D179" s="345"/>
      <c r="E179" s="104" t="s">
        <v>225</v>
      </c>
      <c r="F179" s="36" t="str">
        <f ca="1">IFERROR(F178+((F169*F171*F177*3600)/(F176)),"")</f>
        <v/>
      </c>
      <c r="G179" s="37" t="str">
        <f t="shared" ref="G179:AO179" ca="1" si="866">IFERROR(G178+((G169*G171*G177*3600)/(G176)),"")</f>
        <v/>
      </c>
      <c r="H179" s="37" t="str">
        <f t="shared" ca="1" si="866"/>
        <v/>
      </c>
      <c r="I179" s="37" t="str">
        <f t="shared" ca="1" si="866"/>
        <v/>
      </c>
      <c r="J179" s="37" t="str">
        <f t="shared" ca="1" si="866"/>
        <v/>
      </c>
      <c r="K179" s="37" t="str">
        <f t="shared" ca="1" si="866"/>
        <v/>
      </c>
      <c r="L179" s="37" t="str">
        <f t="shared" ca="1" si="866"/>
        <v/>
      </c>
      <c r="M179" s="37" t="str">
        <f t="shared" ca="1" si="866"/>
        <v/>
      </c>
      <c r="N179" s="37" t="str">
        <f t="shared" ca="1" si="866"/>
        <v/>
      </c>
      <c r="O179" s="37" t="str">
        <f t="shared" ca="1" si="866"/>
        <v/>
      </c>
      <c r="P179" s="37" t="str">
        <f t="shared" ca="1" si="866"/>
        <v/>
      </c>
      <c r="Q179" s="37" t="str">
        <f t="shared" ca="1" si="866"/>
        <v/>
      </c>
      <c r="R179" s="36" t="str">
        <f t="shared" ca="1" si="866"/>
        <v/>
      </c>
      <c r="S179" s="37" t="str">
        <f t="shared" ca="1" si="866"/>
        <v/>
      </c>
      <c r="T179" s="37" t="str">
        <f t="shared" ca="1" si="866"/>
        <v/>
      </c>
      <c r="U179" s="37" t="str">
        <f t="shared" ca="1" si="866"/>
        <v/>
      </c>
      <c r="V179" s="37" t="str">
        <f t="shared" ca="1" si="866"/>
        <v/>
      </c>
      <c r="W179" s="37" t="str">
        <f t="shared" ca="1" si="866"/>
        <v/>
      </c>
      <c r="X179" s="37" t="str">
        <f t="shared" ca="1" si="866"/>
        <v/>
      </c>
      <c r="Y179" s="37" t="str">
        <f t="shared" ca="1" si="866"/>
        <v/>
      </c>
      <c r="Z179" s="37" t="str">
        <f t="shared" ca="1" si="866"/>
        <v/>
      </c>
      <c r="AA179" s="37" t="str">
        <f t="shared" ca="1" si="866"/>
        <v/>
      </c>
      <c r="AB179" s="37" t="str">
        <f t="shared" ca="1" si="866"/>
        <v/>
      </c>
      <c r="AC179" s="37" t="str">
        <f t="shared" ca="1" si="866"/>
        <v/>
      </c>
      <c r="AD179" s="36" t="str">
        <f t="shared" ca="1" si="866"/>
        <v/>
      </c>
      <c r="AE179" s="37" t="str">
        <f t="shared" ca="1" si="866"/>
        <v/>
      </c>
      <c r="AF179" s="37" t="str">
        <f t="shared" ca="1" si="866"/>
        <v/>
      </c>
      <c r="AG179" s="37" t="str">
        <f t="shared" ca="1" si="866"/>
        <v/>
      </c>
      <c r="AH179" s="37" t="str">
        <f t="shared" ca="1" si="866"/>
        <v/>
      </c>
      <c r="AI179" s="37" t="str">
        <f t="shared" ca="1" si="866"/>
        <v/>
      </c>
      <c r="AJ179" s="37" t="str">
        <f t="shared" ca="1" si="866"/>
        <v/>
      </c>
      <c r="AK179" s="37" t="str">
        <f t="shared" ca="1" si="866"/>
        <v/>
      </c>
      <c r="AL179" s="37" t="str">
        <f t="shared" ca="1" si="866"/>
        <v/>
      </c>
      <c r="AM179" s="37" t="str">
        <f t="shared" ca="1" si="866"/>
        <v/>
      </c>
      <c r="AN179" s="37" t="str">
        <f t="shared" ca="1" si="866"/>
        <v/>
      </c>
      <c r="AO179" s="37" t="str">
        <f t="shared" ca="1" si="866"/>
        <v/>
      </c>
      <c r="AP179" s="36" t="e">
        <f t="shared" ca="1" si="851"/>
        <v>#N/A</v>
      </c>
      <c r="AQ179" s="37" t="e">
        <f t="shared" ca="1" si="852"/>
        <v>#N/A</v>
      </c>
      <c r="AR179" s="36" t="e">
        <f t="shared" ca="1" si="853"/>
        <v>#N/A</v>
      </c>
      <c r="AS179" s="37" t="e">
        <f t="shared" ca="1" si="854"/>
        <v>#N/A</v>
      </c>
      <c r="AT179" s="36" t="e">
        <f t="shared" ca="1" si="855"/>
        <v>#N/A</v>
      </c>
      <c r="AU179" s="37" t="e">
        <f t="shared" ca="1" si="856"/>
        <v>#N/A</v>
      </c>
      <c r="AV179" s="36" t="str">
        <f t="shared" ref="AV179:BE179" ca="1" si="867">IFERROR(AV178+((AV169*AV171*AV177*3600)/(AV176)),"")</f>
        <v/>
      </c>
      <c r="AW179" s="37" t="str">
        <f t="shared" ca="1" si="867"/>
        <v/>
      </c>
      <c r="AX179" s="36" t="str">
        <f t="shared" ca="1" si="867"/>
        <v/>
      </c>
      <c r="AY179" s="37" t="str">
        <f t="shared" ca="1" si="867"/>
        <v/>
      </c>
      <c r="AZ179" s="36" t="str">
        <f t="shared" ca="1" si="867"/>
        <v/>
      </c>
      <c r="BA179" s="37" t="str">
        <f t="shared" ca="1" si="867"/>
        <v/>
      </c>
      <c r="BB179" s="36" t="str">
        <f t="shared" ca="1" si="867"/>
        <v/>
      </c>
      <c r="BC179" s="37" t="str">
        <f t="shared" ca="1" si="867"/>
        <v/>
      </c>
      <c r="BD179" s="36" t="str">
        <f t="shared" ca="1" si="867"/>
        <v/>
      </c>
      <c r="BE179" s="43" t="str">
        <f t="shared" ca="1" si="867"/>
        <v/>
      </c>
      <c r="BF179" s="43" t="e">
        <f t="shared" ca="1" si="858"/>
        <v>#N/A</v>
      </c>
      <c r="BG179" s="43" t="e">
        <f t="shared" ca="1" si="859"/>
        <v>#N/A</v>
      </c>
      <c r="BH179" s="43" t="e">
        <f t="shared" ca="1" si="860"/>
        <v>#N/A</v>
      </c>
      <c r="BI179" s="43" t="e">
        <f t="shared" ca="1" si="861"/>
        <v>#N/A</v>
      </c>
      <c r="BJ179" s="43" t="e">
        <f t="shared" ca="1" si="862"/>
        <v>#N/A</v>
      </c>
      <c r="BK179" s="43" t="e">
        <f t="shared" ca="1" si="863"/>
        <v>#N/A</v>
      </c>
      <c r="BL179" s="43" t="e">
        <f t="shared" ca="1" si="864"/>
        <v>#N/A</v>
      </c>
      <c r="BM179" s="43" t="e">
        <f t="shared" ca="1" si="865"/>
        <v>#N/A</v>
      </c>
    </row>
    <row r="180" spans="1:65" s="102" customFormat="1" ht="22.5" outlineLevel="2" x14ac:dyDescent="0.2">
      <c r="A180" s="320" t="s">
        <v>226</v>
      </c>
      <c r="B180" s="346"/>
      <c r="C180" s="349" t="str">
        <f t="shared" ref="C180" si="868">IF(AND($B180&lt;&gt;0,$C$9&lt;&gt;0),$C$9,"")</f>
        <v/>
      </c>
      <c r="D180" s="343"/>
      <c r="E180" s="277" t="s">
        <v>40</v>
      </c>
      <c r="F180" s="33">
        <f ca="1">IF(F$11-(SUM(F184:F187)/24)=0,"",F$11-(SUM(F184:F187)/24))</f>
        <v>27</v>
      </c>
      <c r="G180" s="34">
        <f t="shared" ref="G180:AO180" ca="1" si="869">IF(G$11-(SUM(G184:G187)/24)=0,"",G$11-(SUM(G184:G187)/24))</f>
        <v>24</v>
      </c>
      <c r="H180" s="34">
        <f t="shared" ca="1" si="869"/>
        <v>26</v>
      </c>
      <c r="I180" s="34">
        <f t="shared" ca="1" si="869"/>
        <v>26</v>
      </c>
      <c r="J180" s="34">
        <f t="shared" ca="1" si="869"/>
        <v>27</v>
      </c>
      <c r="K180" s="34">
        <f t="shared" ca="1" si="869"/>
        <v>25</v>
      </c>
      <c r="L180" s="34">
        <f t="shared" ca="1" si="869"/>
        <v>27</v>
      </c>
      <c r="M180" s="34">
        <f t="shared" ca="1" si="869"/>
        <v>26</v>
      </c>
      <c r="N180" s="34">
        <f t="shared" ca="1" si="869"/>
        <v>26</v>
      </c>
      <c r="O180" s="34">
        <f t="shared" ca="1" si="869"/>
        <v>27</v>
      </c>
      <c r="P180" s="34">
        <f t="shared" ca="1" si="869"/>
        <v>25</v>
      </c>
      <c r="Q180" s="34">
        <f t="shared" ca="1" si="869"/>
        <v>27</v>
      </c>
      <c r="R180" s="32">
        <f t="shared" ca="1" si="869"/>
        <v>27</v>
      </c>
      <c r="S180" s="29">
        <f t="shared" ca="1" si="869"/>
        <v>24</v>
      </c>
      <c r="T180" s="29">
        <f t="shared" ca="1" si="869"/>
        <v>26</v>
      </c>
      <c r="U180" s="29">
        <f t="shared" ca="1" si="869"/>
        <v>26</v>
      </c>
      <c r="V180" s="29">
        <f t="shared" ca="1" si="869"/>
        <v>26</v>
      </c>
      <c r="W180" s="29">
        <f t="shared" ca="1" si="869"/>
        <v>26</v>
      </c>
      <c r="X180" s="29">
        <f t="shared" ca="1" si="869"/>
        <v>27</v>
      </c>
      <c r="Y180" s="29">
        <f t="shared" ca="1" si="869"/>
        <v>26</v>
      </c>
      <c r="Z180" s="29">
        <f t="shared" ca="1" si="869"/>
        <v>26</v>
      </c>
      <c r="AA180" s="29">
        <f t="shared" ca="1" si="869"/>
        <v>27</v>
      </c>
      <c r="AB180" s="29">
        <f t="shared" ca="1" si="869"/>
        <v>25</v>
      </c>
      <c r="AC180" s="29">
        <f t="shared" ca="1" si="869"/>
        <v>27</v>
      </c>
      <c r="AD180" s="32">
        <f t="shared" ca="1" si="869"/>
        <v>26</v>
      </c>
      <c r="AE180" s="29">
        <f t="shared" ca="1" si="869"/>
        <v>24</v>
      </c>
      <c r="AF180" s="29">
        <f t="shared" ca="1" si="869"/>
        <v>27</v>
      </c>
      <c r="AG180" s="29">
        <f t="shared" ca="1" si="869"/>
        <v>26</v>
      </c>
      <c r="AH180" s="29">
        <f t="shared" ca="1" si="869"/>
        <v>26</v>
      </c>
      <c r="AI180" s="29">
        <f t="shared" ca="1" si="869"/>
        <v>26</v>
      </c>
      <c r="AJ180" s="29">
        <f t="shared" ca="1" si="869"/>
        <v>27</v>
      </c>
      <c r="AK180" s="29">
        <f t="shared" ca="1" si="869"/>
        <v>26</v>
      </c>
      <c r="AL180" s="29">
        <f t="shared" ca="1" si="869"/>
        <v>26</v>
      </c>
      <c r="AM180" s="29">
        <f t="shared" ca="1" si="869"/>
        <v>26</v>
      </c>
      <c r="AN180" s="29">
        <f t="shared" ca="1" si="869"/>
        <v>26</v>
      </c>
      <c r="AO180" s="29">
        <f t="shared" ca="1" si="869"/>
        <v>27</v>
      </c>
      <c r="AP180" s="32">
        <f ca="1">IF(SUM(F180:K180)&lt;&gt;0,SUM(F180:K180),"")</f>
        <v>155</v>
      </c>
      <c r="AQ180" s="29">
        <f ca="1">IF(SUM(L180:Q180)&lt;&gt;0,SUM(L180:Q180),"")</f>
        <v>158</v>
      </c>
      <c r="AR180" s="32">
        <f ca="1">IF(SUM(R180:W180)&lt;&gt;0,SUM(R180:W180),"")</f>
        <v>155</v>
      </c>
      <c r="AS180" s="29">
        <f ca="1">IF(SUM(X180:AC180)&lt;&gt;0,SUM(X180:AC180),"")</f>
        <v>158</v>
      </c>
      <c r="AT180" s="32">
        <f ca="1">IF(SUM(AD180:AI180)&lt;&gt;0,SUM(AD180:AI180),"")</f>
        <v>155</v>
      </c>
      <c r="AU180" s="296">
        <f ca="1">SUM(AJ180:AO180)</f>
        <v>158</v>
      </c>
      <c r="AV180" s="32">
        <f t="shared" ref="AV180:BE180" ca="1" si="870">IF(AV$11-(SUM(AV184:AV187)/24)=0,"",AV$11-(SUM(AV184:AV187)/24))</f>
        <v>156</v>
      </c>
      <c r="AW180" s="29">
        <f t="shared" ca="1" si="870"/>
        <v>157</v>
      </c>
      <c r="AX180" s="32">
        <f t="shared" ca="1" si="870"/>
        <v>156</v>
      </c>
      <c r="AY180" s="29">
        <f t="shared" ca="1" si="870"/>
        <v>158</v>
      </c>
      <c r="AZ180" s="32">
        <f t="shared" ca="1" si="870"/>
        <v>155</v>
      </c>
      <c r="BA180" s="29">
        <f t="shared" ca="1" si="870"/>
        <v>158</v>
      </c>
      <c r="BB180" s="32">
        <f t="shared" ca="1" si="870"/>
        <v>155</v>
      </c>
      <c r="BC180" s="29">
        <f t="shared" ca="1" si="870"/>
        <v>158</v>
      </c>
      <c r="BD180" s="32">
        <f t="shared" ca="1" si="870"/>
        <v>156</v>
      </c>
      <c r="BE180" s="262">
        <f t="shared" ca="1" si="870"/>
        <v>158</v>
      </c>
      <c r="BF180" s="286">
        <f t="shared" ca="1" si="858"/>
        <v>313</v>
      </c>
      <c r="BG180" s="286">
        <f t="shared" ca="1" si="859"/>
        <v>313</v>
      </c>
      <c r="BH180" s="286">
        <f t="shared" ca="1" si="860"/>
        <v>313</v>
      </c>
      <c r="BI180" s="286">
        <f t="shared" ca="1" si="861"/>
        <v>313</v>
      </c>
      <c r="BJ180" s="286">
        <f t="shared" ca="1" si="862"/>
        <v>314</v>
      </c>
      <c r="BK180" s="286">
        <f t="shared" ca="1" si="863"/>
        <v>313</v>
      </c>
      <c r="BL180" s="286">
        <f t="shared" ca="1" si="864"/>
        <v>313</v>
      </c>
      <c r="BM180" s="286">
        <f t="shared" ca="1" si="865"/>
        <v>314</v>
      </c>
    </row>
    <row r="181" spans="1:65" s="102" customFormat="1" ht="15" customHeight="1" outlineLevel="2" thickBot="1" x14ac:dyDescent="0.25">
      <c r="A181" s="320" t="s">
        <v>226</v>
      </c>
      <c r="B181" s="347"/>
      <c r="C181" s="350"/>
      <c r="D181" s="344"/>
      <c r="E181" s="278" t="s">
        <v>29</v>
      </c>
      <c r="F181" s="47"/>
      <c r="G181" s="48"/>
      <c r="H181" s="48"/>
      <c r="I181" s="48"/>
      <c r="J181" s="48"/>
      <c r="K181" s="48"/>
      <c r="L181" s="48"/>
      <c r="M181" s="48"/>
      <c r="N181" s="48"/>
      <c r="O181" s="48"/>
      <c r="P181" s="48"/>
      <c r="Q181" s="51"/>
      <c r="R181" s="47"/>
      <c r="S181" s="48"/>
      <c r="T181" s="48"/>
      <c r="U181" s="48"/>
      <c r="V181" s="48"/>
      <c r="W181" s="48"/>
      <c r="X181" s="48"/>
      <c r="Y181" s="48"/>
      <c r="Z181" s="48"/>
      <c r="AA181" s="48"/>
      <c r="AB181" s="48"/>
      <c r="AC181" s="51"/>
      <c r="AD181" s="47"/>
      <c r="AE181" s="48"/>
      <c r="AF181" s="48"/>
      <c r="AG181" s="48"/>
      <c r="AH181" s="48"/>
      <c r="AI181" s="48"/>
      <c r="AJ181" s="48"/>
      <c r="AK181" s="48"/>
      <c r="AL181" s="48"/>
      <c r="AM181" s="48"/>
      <c r="AN181" s="48"/>
      <c r="AO181" s="51"/>
      <c r="AP181" s="294" t="str">
        <f>IFERROR(IF(SUM(F181:K181)&lt;&gt;0,SUM(F181:K181),""),"")</f>
        <v/>
      </c>
      <c r="AQ181" s="295" t="str">
        <f>IFERROR(IF(SUM(L181:Q181)&lt;&gt;0,SUM(L181:Q181),""),"")</f>
        <v/>
      </c>
      <c r="AR181" s="294" t="str">
        <f>IFERROR(IF(SUM(R181:W181)&lt;&gt;0,SUM(R181:W181),""),"")</f>
        <v/>
      </c>
      <c r="AS181" s="295" t="str">
        <f>IFERROR(IF(SUM(X181:AC181)&lt;&gt;0,SUM(X181:AC181),""),"")</f>
        <v/>
      </c>
      <c r="AT181" s="294" t="str">
        <f>IFERROR(IF(SUM(AD181:AI181)&lt;&gt;0,SUM(AD181:AI181),""),"")</f>
        <v/>
      </c>
      <c r="AU181" s="295" t="str">
        <f>IFERROR(IF(SUM(AJ181:AO181)&lt;&gt;0,SUM(AJ181:AO181),""),"")</f>
        <v/>
      </c>
      <c r="AV181" s="47"/>
      <c r="AW181" s="51"/>
      <c r="AX181" s="47"/>
      <c r="AY181" s="51"/>
      <c r="AZ181" s="47"/>
      <c r="BA181" s="51"/>
      <c r="BB181" s="47"/>
      <c r="BC181" s="51"/>
      <c r="BD181" s="47"/>
      <c r="BE181" s="263"/>
      <c r="BF181" s="271" t="str">
        <f>IFERROR(IF(AVERAGE(AP181:AQ181)&lt;&gt;0,AVERAGE(AP181:AQ181),""),"")</f>
        <v/>
      </c>
      <c r="BG181" s="271" t="str">
        <f>IFERROR(IF(AVERAGE(AR181:AS181)&lt;&gt;0,AVERAGE(AR181:AS181),""),"")</f>
        <v/>
      </c>
      <c r="BH181" s="271" t="str">
        <f>IFERROR(IF(AVERAGE(AT181:AU181)&lt;&gt;0,AVERAGE(AT181:AU181),""),"")</f>
        <v/>
      </c>
      <c r="BI181" s="271" t="str">
        <f>IFERROR(IF(AVERAGE(AV181:AW181)&lt;&gt;0,AVERAGE(AV181:AW181),""),"")</f>
        <v/>
      </c>
      <c r="BJ181" s="271" t="str">
        <f>IFERROR(IF(AVERAGE(AX181:AY181)&lt;&gt;0,AVERAGE(AX181:AY181),""),"")</f>
        <v/>
      </c>
      <c r="BK181" s="271" t="str">
        <f>IFERROR(IF(AVERAGE(AZ181:BA181)&lt;&gt;0,AVERAGE(AZ181:BA181),""),"")</f>
        <v/>
      </c>
      <c r="BL181" s="271" t="str">
        <f>IFERROR(IF(AVERAGE(BB181:BC181)&lt;&gt;0,AVERAGE(BB181:BC181),""),"")</f>
        <v/>
      </c>
      <c r="BM181" s="271" t="str">
        <f>IFERROR(IF(AVERAGE(BD181:BE181)&lt;&gt;0,AVERAGE(BD181:BE181),""),"")</f>
        <v/>
      </c>
    </row>
    <row r="182" spans="1:65" s="102" customFormat="1" ht="14.25" customHeight="1" outlineLevel="2" x14ac:dyDescent="0.2">
      <c r="A182" s="320" t="s">
        <v>226</v>
      </c>
      <c r="B182" s="347"/>
      <c r="C182" s="350"/>
      <c r="D182" s="344"/>
      <c r="E182" s="279" t="s">
        <v>28</v>
      </c>
      <c r="F182" s="52"/>
      <c r="G182" s="53"/>
      <c r="H182" s="53"/>
      <c r="I182" s="53"/>
      <c r="J182" s="53"/>
      <c r="K182" s="53"/>
      <c r="L182" s="53"/>
      <c r="M182" s="53"/>
      <c r="N182" s="53"/>
      <c r="O182" s="53"/>
      <c r="P182" s="53"/>
      <c r="Q182" s="54"/>
      <c r="R182" s="52"/>
      <c r="S182" s="53"/>
      <c r="T182" s="53"/>
      <c r="U182" s="53"/>
      <c r="V182" s="53"/>
      <c r="W182" s="53"/>
      <c r="X182" s="53"/>
      <c r="Y182" s="53"/>
      <c r="Z182" s="53"/>
      <c r="AA182" s="53"/>
      <c r="AB182" s="53"/>
      <c r="AC182" s="54"/>
      <c r="AD182" s="52"/>
      <c r="AE182" s="53"/>
      <c r="AF182" s="53"/>
      <c r="AG182" s="53"/>
      <c r="AH182" s="53"/>
      <c r="AI182" s="53"/>
      <c r="AJ182" s="53"/>
      <c r="AK182" s="53"/>
      <c r="AL182" s="53"/>
      <c r="AM182" s="53"/>
      <c r="AN182" s="53"/>
      <c r="AO182" s="54"/>
      <c r="AP182" s="225" t="str">
        <f>IFERROR(IF(AVERAGE(F182:K182)&lt;&gt;0,AVERAGE(F182:K182),""),"")</f>
        <v/>
      </c>
      <c r="AQ182" s="226" t="str">
        <f>IFERROR(IF(AVERAGE(L182:Q182)&lt;&gt;0,AVERAGE(L182:Q182),""),"")</f>
        <v/>
      </c>
      <c r="AR182" s="225" t="str">
        <f>IFERROR(IF(AVERAGE(R182:W182)&lt;&gt;0,AVERAGE(R182:W182),""),"")</f>
        <v/>
      </c>
      <c r="AS182" s="226" t="str">
        <f>IFERROR(IF(AVERAGE(X182:AC182)&lt;&gt;0,AVERAGE(X182:AC182),""),"")</f>
        <v/>
      </c>
      <c r="AT182" s="225" t="str">
        <f>IFERROR(IF(AVERAGE(AD182:AI182)&lt;&gt;0,AVERAGE(AD182:AI182),""),"")</f>
        <v/>
      </c>
      <c r="AU182" s="226" t="str">
        <f>IFERROR(IF(AVERAGE(AJ182:AO182)&lt;&gt;0,AVERAGE(AJ182:AO182),""),"")</f>
        <v/>
      </c>
      <c r="AV182" s="70"/>
      <c r="AW182" s="53"/>
      <c r="AX182" s="70"/>
      <c r="AY182" s="53"/>
      <c r="AZ182" s="70"/>
      <c r="BA182" s="53"/>
      <c r="BB182" s="70"/>
      <c r="BC182" s="53"/>
      <c r="BD182" s="70"/>
      <c r="BE182" s="264"/>
      <c r="BF182" s="272" t="str">
        <f>IFERROR(IF(AVERAGE(AP182:AQ182)&lt;&gt;0,AVERAGE(AP182:AQ182),""),"")</f>
        <v/>
      </c>
      <c r="BG182" s="272" t="str">
        <f>IFERROR(IF(AVERAGE(AR182:AS182)&lt;&gt;0,AVERAGE(AR182:AS182),""),"")</f>
        <v/>
      </c>
      <c r="BH182" s="272" t="str">
        <f>IFERROR(IF(AVERAGE(AT182:AU182)&lt;&gt;0,AVERAGE(AT182:AU182),""),"")</f>
        <v/>
      </c>
      <c r="BI182" s="272" t="str">
        <f>IFERROR(IF(AVERAGE(AV182:AW182)&lt;&gt;0,AVERAGE(AV182:AW182),""),"")</f>
        <v/>
      </c>
      <c r="BJ182" s="272" t="str">
        <f>IFERROR(IF(AVERAGE(AX182:AY182)&lt;&gt;0,AVERAGE(AX182:AY182),""),"")</f>
        <v/>
      </c>
      <c r="BK182" s="272" t="str">
        <f>IFERROR(IF(AVERAGE(AZ182:BA182)&lt;&gt;0,AVERAGE(AZ182:BA182),""),"")</f>
        <v/>
      </c>
      <c r="BL182" s="272" t="str">
        <f>IFERROR(IF(AVERAGE(BB182:BC182)&lt;&gt;0,AVERAGE(BB182:BC182),""),"")</f>
        <v/>
      </c>
      <c r="BM182" s="272" t="str">
        <f>IFERROR(IF(AVERAGE(BD182:BE182)&lt;&gt;0,AVERAGE(BD182:BE182),""),"")</f>
        <v/>
      </c>
    </row>
    <row r="183" spans="1:65" s="102" customFormat="1" ht="15" customHeight="1" outlineLevel="2" thickBot="1" x14ac:dyDescent="0.25">
      <c r="A183" s="320" t="s">
        <v>226</v>
      </c>
      <c r="B183" s="347"/>
      <c r="C183" s="350"/>
      <c r="D183" s="344"/>
      <c r="E183" s="278" t="s">
        <v>30</v>
      </c>
      <c r="F183" s="55"/>
      <c r="G183" s="56"/>
      <c r="H183" s="56"/>
      <c r="I183" s="56"/>
      <c r="J183" s="56"/>
      <c r="K183" s="56"/>
      <c r="L183" s="56"/>
      <c r="M183" s="56"/>
      <c r="N183" s="56"/>
      <c r="O183" s="56"/>
      <c r="P183" s="56"/>
      <c r="Q183" s="57"/>
      <c r="R183" s="55"/>
      <c r="S183" s="56"/>
      <c r="T183" s="56"/>
      <c r="U183" s="56"/>
      <c r="V183" s="56"/>
      <c r="W183" s="56"/>
      <c r="X183" s="56"/>
      <c r="Y183" s="56"/>
      <c r="Z183" s="56"/>
      <c r="AA183" s="56"/>
      <c r="AB183" s="56"/>
      <c r="AC183" s="57"/>
      <c r="AD183" s="55"/>
      <c r="AE183" s="56"/>
      <c r="AF183" s="56"/>
      <c r="AG183" s="56"/>
      <c r="AH183" s="56"/>
      <c r="AI183" s="56"/>
      <c r="AJ183" s="56"/>
      <c r="AK183" s="56"/>
      <c r="AL183" s="56"/>
      <c r="AM183" s="56"/>
      <c r="AN183" s="56"/>
      <c r="AO183" s="57"/>
      <c r="AP183" s="227" t="str">
        <f>IFERROR(IF(AVERAGE(F183:K183)&lt;&gt;0,AVERAGE(F183:K183),""),"")</f>
        <v/>
      </c>
      <c r="AQ183" s="228" t="str">
        <f>IFERROR(IF(AVERAGE(L183:Q183)&lt;&gt;0,AVERAGE(L183:Q183),""),"")</f>
        <v/>
      </c>
      <c r="AR183" s="227" t="str">
        <f>IFERROR(IF(AVERAGE(R183:W183)&lt;&gt;0,AVERAGE(R183:W183),""),"")</f>
        <v/>
      </c>
      <c r="AS183" s="228" t="str">
        <f>IFERROR(IF(AVERAGE(X183:AC183)&lt;&gt;0,AVERAGE(X183:AC183),""),"")</f>
        <v/>
      </c>
      <c r="AT183" s="227" t="str">
        <f>IFERROR(IF(AVERAGE(AD183:AI183)&lt;&gt;0,AVERAGE(AD183:AI183),""),"")</f>
        <v/>
      </c>
      <c r="AU183" s="228" t="str">
        <f>IFERROR(IF(AVERAGE(AJ183:AO183)&lt;&gt;0,AVERAGE(AJ183:AO183),""),"")</f>
        <v/>
      </c>
      <c r="AV183" s="71"/>
      <c r="AW183" s="56"/>
      <c r="AX183" s="71"/>
      <c r="AY183" s="56"/>
      <c r="AZ183" s="71"/>
      <c r="BA183" s="56"/>
      <c r="BB183" s="71"/>
      <c r="BC183" s="56"/>
      <c r="BD183" s="71"/>
      <c r="BE183" s="265"/>
      <c r="BF183" s="273" t="str">
        <f>IFERROR(IF(AVERAGE(AP183:AQ183)&lt;&gt;0,AVERAGE(AP183:AQ183),""),"")</f>
        <v/>
      </c>
      <c r="BG183" s="273" t="str">
        <f>IFERROR(IF(AVERAGE(AR183:AS183)&lt;&gt;0,AVERAGE(AR183:AS183),""),"")</f>
        <v/>
      </c>
      <c r="BH183" s="273" t="str">
        <f>IFERROR(IF(AVERAGE(AT183:AU183)&lt;&gt;0,AVERAGE(AT183:AU183),""),"")</f>
        <v/>
      </c>
      <c r="BI183" s="273" t="str">
        <f>IFERROR(IF(AVERAGE(AV183:AW183)&lt;&gt;0,AVERAGE(AV183:AW183),""),"")</f>
        <v/>
      </c>
      <c r="BJ183" s="273" t="str">
        <f>IFERROR(IF(AVERAGE(AX183:AY183)&lt;&gt;0,AVERAGE(AX183:AY183),""),"")</f>
        <v/>
      </c>
      <c r="BK183" s="273" t="str">
        <f>IFERROR(IF(AVERAGE(AZ183:BA183)&lt;&gt;0,AVERAGE(AZ183:BA183),""),"")</f>
        <v/>
      </c>
      <c r="BL183" s="273" t="str">
        <f>IFERROR(IF(AVERAGE(BB183:BC183)&lt;&gt;0,AVERAGE(BB183:BC183),""),"")</f>
        <v/>
      </c>
      <c r="BM183" s="273" t="str">
        <f>IFERROR(IF(AVERAGE(BD183:BE183)&lt;&gt;0,AVERAGE(BD183:BE183),""),"")</f>
        <v/>
      </c>
    </row>
    <row r="184" spans="1:65" s="102" customFormat="1" ht="14.25" customHeight="1" outlineLevel="2" x14ac:dyDescent="0.2">
      <c r="A184" s="320" t="s">
        <v>226</v>
      </c>
      <c r="B184" s="347"/>
      <c r="C184" s="350"/>
      <c r="D184" s="344"/>
      <c r="E184" s="279" t="s">
        <v>25</v>
      </c>
      <c r="F184" s="58"/>
      <c r="G184" s="50"/>
      <c r="H184" s="50"/>
      <c r="I184" s="50"/>
      <c r="J184" s="50"/>
      <c r="K184" s="50"/>
      <c r="L184" s="50"/>
      <c r="M184" s="50"/>
      <c r="N184" s="50"/>
      <c r="O184" s="50"/>
      <c r="P184" s="50"/>
      <c r="Q184" s="59"/>
      <c r="R184" s="58"/>
      <c r="S184" s="50"/>
      <c r="T184" s="50"/>
      <c r="U184" s="50"/>
      <c r="V184" s="50"/>
      <c r="W184" s="50"/>
      <c r="X184" s="50"/>
      <c r="Y184" s="50"/>
      <c r="Z184" s="50"/>
      <c r="AA184" s="50"/>
      <c r="AB184" s="50"/>
      <c r="AC184" s="59"/>
      <c r="AD184" s="58"/>
      <c r="AE184" s="50"/>
      <c r="AF184" s="50"/>
      <c r="AG184" s="50"/>
      <c r="AH184" s="50"/>
      <c r="AI184" s="50"/>
      <c r="AJ184" s="50"/>
      <c r="AK184" s="50"/>
      <c r="AL184" s="50"/>
      <c r="AM184" s="50"/>
      <c r="AN184" s="50"/>
      <c r="AO184" s="59"/>
      <c r="AP184" s="229" t="str">
        <f>IFERROR(IF(SUM(F184:K184)&lt;&gt;0,SUM(F184:K184),""),"")</f>
        <v/>
      </c>
      <c r="AQ184" s="230" t="str">
        <f>IFERROR(IF(SUM(L184:Q184)&lt;&gt;0,SUM(L184:Q184),""),"")</f>
        <v/>
      </c>
      <c r="AR184" s="229" t="str">
        <f>IFERROR(IF(SUM(R184:W184)&lt;&gt;0,SUM(R184:W184),""),"")</f>
        <v/>
      </c>
      <c r="AS184" s="230" t="str">
        <f>IFERROR(IF(SUM(X184:AC184)&lt;&gt;0,SUM(X184:AC184),""),"")</f>
        <v/>
      </c>
      <c r="AT184" s="229" t="str">
        <f>IFERROR(IF(SUM(AD184:AI184)&lt;&gt;0,SUM(AD184:AI184),""),"")</f>
        <v/>
      </c>
      <c r="AU184" s="230" t="str">
        <f>IFERROR(IF(SUM(AJ184:AO184)&lt;&gt;0,SUM(AJ184:AO184),""),"")</f>
        <v/>
      </c>
      <c r="AV184" s="72"/>
      <c r="AW184" s="73"/>
      <c r="AX184" s="72"/>
      <c r="AY184" s="73"/>
      <c r="AZ184" s="72"/>
      <c r="BA184" s="73"/>
      <c r="BB184" s="72"/>
      <c r="BC184" s="73"/>
      <c r="BD184" s="72"/>
      <c r="BE184" s="266"/>
      <c r="BF184" s="286" t="e">
        <f t="shared" ref="BF184:BF187" si="871">IF(SUM(AP184,AQ184)&lt;&gt;0,SUM(AP184,AQ184),#N/A)</f>
        <v>#N/A</v>
      </c>
      <c r="BG184" s="286" t="e">
        <f t="shared" ref="BG184:BG187" si="872">IF(SUM(AR184,AS184)&lt;&gt;0,SUM(AR184,AS184),#N/A)</f>
        <v>#N/A</v>
      </c>
      <c r="BH184" s="286" t="e">
        <f t="shared" ref="BH184:BH187" si="873">IF(SUM(AT184,AU184)&lt;&gt;0,SUM(AT184,AU184),#N/A)</f>
        <v>#N/A</v>
      </c>
      <c r="BI184" s="286" t="e">
        <f t="shared" ref="BI184:BI187" si="874">IF(SUM(AV184,AW184)&lt;&gt;0,SUM(AV184,AW184),#N/A)</f>
        <v>#N/A</v>
      </c>
      <c r="BJ184" s="286" t="e">
        <f t="shared" ref="BJ184:BJ187" si="875">IF(SUM(AX184,AY184)&lt;&gt;0,SUM(AX184,AY184),#N/A)</f>
        <v>#N/A</v>
      </c>
      <c r="BK184" s="286" t="e">
        <f t="shared" ref="BK184:BK187" si="876">IF(SUM(AZ184,BA184)&lt;&gt;0,SUM(AZ184,BA184),#N/A)</f>
        <v>#N/A</v>
      </c>
      <c r="BL184" s="286" t="e">
        <f t="shared" ref="BL184:BL187" si="877">IF(SUM(BB184,BC184)&lt;&gt;0,SUM(BB184,BC184),#N/A)</f>
        <v>#N/A</v>
      </c>
      <c r="BM184" s="286" t="e">
        <f t="shared" ref="BM184:BM187" si="878">IF(SUM(BD184,BE184)&lt;&gt;0,SUM(BD184,BE184),#N/A)</f>
        <v>#N/A</v>
      </c>
    </row>
    <row r="185" spans="1:65" s="102" customFormat="1" ht="14.25" customHeight="1" outlineLevel="2" x14ac:dyDescent="0.2">
      <c r="A185" s="320" t="s">
        <v>226</v>
      </c>
      <c r="B185" s="347"/>
      <c r="C185" s="350"/>
      <c r="D185" s="344"/>
      <c r="E185" s="280" t="s">
        <v>26</v>
      </c>
      <c r="F185" s="60"/>
      <c r="G185" s="61"/>
      <c r="H185" s="61"/>
      <c r="I185" s="61"/>
      <c r="J185" s="61"/>
      <c r="K185" s="61"/>
      <c r="L185" s="61"/>
      <c r="M185" s="61"/>
      <c r="N185" s="61"/>
      <c r="O185" s="61"/>
      <c r="P185" s="61"/>
      <c r="Q185" s="62"/>
      <c r="R185" s="60"/>
      <c r="S185" s="61"/>
      <c r="T185" s="61"/>
      <c r="U185" s="61"/>
      <c r="V185" s="61"/>
      <c r="W185" s="61"/>
      <c r="X185" s="61"/>
      <c r="Y185" s="61"/>
      <c r="Z185" s="61"/>
      <c r="AA185" s="61"/>
      <c r="AB185" s="61"/>
      <c r="AC185" s="62"/>
      <c r="AD185" s="60"/>
      <c r="AE185" s="61"/>
      <c r="AF185" s="61"/>
      <c r="AG185" s="61"/>
      <c r="AH185" s="61"/>
      <c r="AI185" s="61"/>
      <c r="AJ185" s="61"/>
      <c r="AK185" s="61"/>
      <c r="AL185" s="61"/>
      <c r="AM185" s="61"/>
      <c r="AN185" s="61"/>
      <c r="AO185" s="62"/>
      <c r="AP185" s="231" t="str">
        <f>IFERROR(IF(SUM(F185:K185)&lt;&gt;0,SUM(F185:K185),""),"")</f>
        <v/>
      </c>
      <c r="AQ185" s="232" t="str">
        <f>IFERROR(IF(SUM(L185:Q185)&lt;&gt;0,SUM(L185:Q185),""),"")</f>
        <v/>
      </c>
      <c r="AR185" s="231" t="str">
        <f>IFERROR(IF(SUM(R185:W185)&lt;&gt;0,SUM(R185:W185),""),"")</f>
        <v/>
      </c>
      <c r="AS185" s="232" t="str">
        <f>IFERROR(IF(SUM(X185:AC185)&lt;&gt;0,SUM(X185:AC185),""),"")</f>
        <v/>
      </c>
      <c r="AT185" s="231" t="str">
        <f>IFERROR(IF(SUM(AD185:AI185)&lt;&gt;0,SUM(AD185:AI185),""),"")</f>
        <v/>
      </c>
      <c r="AU185" s="232" t="str">
        <f>IFERROR(IF(SUM(AJ185:AO185)&lt;&gt;0,SUM(AJ185:AO185),""),"")</f>
        <v/>
      </c>
      <c r="AV185" s="74"/>
      <c r="AW185" s="61"/>
      <c r="AX185" s="74"/>
      <c r="AY185" s="61"/>
      <c r="AZ185" s="74"/>
      <c r="BA185" s="61"/>
      <c r="BB185" s="74"/>
      <c r="BC185" s="61"/>
      <c r="BD185" s="74"/>
      <c r="BE185" s="267"/>
      <c r="BF185" s="287" t="e">
        <f t="shared" si="871"/>
        <v>#N/A</v>
      </c>
      <c r="BG185" s="287" t="e">
        <f t="shared" si="872"/>
        <v>#N/A</v>
      </c>
      <c r="BH185" s="287" t="e">
        <f t="shared" si="873"/>
        <v>#N/A</v>
      </c>
      <c r="BI185" s="287" t="e">
        <f t="shared" si="874"/>
        <v>#N/A</v>
      </c>
      <c r="BJ185" s="287" t="e">
        <f t="shared" si="875"/>
        <v>#N/A</v>
      </c>
      <c r="BK185" s="287" t="e">
        <f t="shared" si="876"/>
        <v>#N/A</v>
      </c>
      <c r="BL185" s="287" t="e">
        <f t="shared" si="877"/>
        <v>#N/A</v>
      </c>
      <c r="BM185" s="287" t="e">
        <f t="shared" si="878"/>
        <v>#N/A</v>
      </c>
    </row>
    <row r="186" spans="1:65" s="102" customFormat="1" ht="14.25" customHeight="1" outlineLevel="2" x14ac:dyDescent="0.2">
      <c r="A186" s="320" t="s">
        <v>226</v>
      </c>
      <c r="B186" s="347"/>
      <c r="C186" s="350"/>
      <c r="D186" s="344"/>
      <c r="E186" s="280" t="s">
        <v>27</v>
      </c>
      <c r="F186" s="60"/>
      <c r="G186" s="61"/>
      <c r="H186" s="61"/>
      <c r="I186" s="61"/>
      <c r="J186" s="61"/>
      <c r="K186" s="61"/>
      <c r="L186" s="61"/>
      <c r="M186" s="61"/>
      <c r="N186" s="61"/>
      <c r="O186" s="61"/>
      <c r="P186" s="61"/>
      <c r="Q186" s="62"/>
      <c r="R186" s="60"/>
      <c r="S186" s="61"/>
      <c r="T186" s="61"/>
      <c r="U186" s="61"/>
      <c r="V186" s="61"/>
      <c r="W186" s="61"/>
      <c r="X186" s="61"/>
      <c r="Y186" s="61"/>
      <c r="Z186" s="61"/>
      <c r="AA186" s="61"/>
      <c r="AB186" s="61"/>
      <c r="AC186" s="62"/>
      <c r="AD186" s="60"/>
      <c r="AE186" s="61"/>
      <c r="AF186" s="61"/>
      <c r="AG186" s="61"/>
      <c r="AH186" s="61"/>
      <c r="AI186" s="61"/>
      <c r="AJ186" s="61"/>
      <c r="AK186" s="61"/>
      <c r="AL186" s="61"/>
      <c r="AM186" s="61"/>
      <c r="AN186" s="61"/>
      <c r="AO186" s="62"/>
      <c r="AP186" s="231" t="str">
        <f>IFERROR(IF(SUM(F186:K186)&lt;&gt;0,SUM(F186:K186),""),"")</f>
        <v/>
      </c>
      <c r="AQ186" s="232" t="str">
        <f>IFERROR(IF(SUM(L186:Q186)&lt;&gt;0,SUM(L186:Q186),""),"")</f>
        <v/>
      </c>
      <c r="AR186" s="231" t="str">
        <f>IFERROR(IF(SUM(R186:W186)&lt;&gt;0,SUM(R186:W186),""),"")</f>
        <v/>
      </c>
      <c r="AS186" s="232" t="str">
        <f>IFERROR(IF(SUM(X186:AC186)&lt;&gt;0,SUM(X186:AC186),""),"")</f>
        <v/>
      </c>
      <c r="AT186" s="231" t="str">
        <f>IFERROR(IF(SUM(AD186:AI186)&lt;&gt;0,SUM(AD186:AI186),""),"")</f>
        <v/>
      </c>
      <c r="AU186" s="232" t="str">
        <f>IFERROR(IF(SUM(AJ186:AO186)&lt;&gt;0,SUM(AJ186:AO186),""),"")</f>
        <v/>
      </c>
      <c r="AV186" s="74"/>
      <c r="AW186" s="61"/>
      <c r="AX186" s="74"/>
      <c r="AY186" s="61"/>
      <c r="AZ186" s="74"/>
      <c r="BA186" s="61"/>
      <c r="BB186" s="74"/>
      <c r="BC186" s="61"/>
      <c r="BD186" s="74"/>
      <c r="BE186" s="267"/>
      <c r="BF186" s="287" t="e">
        <f t="shared" si="871"/>
        <v>#N/A</v>
      </c>
      <c r="BG186" s="287" t="e">
        <f t="shared" si="872"/>
        <v>#N/A</v>
      </c>
      <c r="BH186" s="287" t="e">
        <f t="shared" si="873"/>
        <v>#N/A</v>
      </c>
      <c r="BI186" s="287" t="e">
        <f t="shared" si="874"/>
        <v>#N/A</v>
      </c>
      <c r="BJ186" s="287" t="e">
        <f t="shared" si="875"/>
        <v>#N/A</v>
      </c>
      <c r="BK186" s="287" t="e">
        <f t="shared" si="876"/>
        <v>#N/A</v>
      </c>
      <c r="BL186" s="287" t="e">
        <f t="shared" si="877"/>
        <v>#N/A</v>
      </c>
      <c r="BM186" s="287" t="e">
        <f t="shared" si="878"/>
        <v>#N/A</v>
      </c>
    </row>
    <row r="187" spans="1:65" s="102" customFormat="1" ht="15" customHeight="1" outlineLevel="2" thickBot="1" x14ac:dyDescent="0.25">
      <c r="A187" s="320" t="s">
        <v>226</v>
      </c>
      <c r="B187" s="347"/>
      <c r="C187" s="350"/>
      <c r="D187" s="344"/>
      <c r="E187" s="281" t="s">
        <v>88</v>
      </c>
      <c r="F187" s="63"/>
      <c r="G187" s="48"/>
      <c r="H187" s="48"/>
      <c r="I187" s="48"/>
      <c r="J187" s="48"/>
      <c r="K187" s="48"/>
      <c r="L187" s="48"/>
      <c r="M187" s="48"/>
      <c r="N187" s="48"/>
      <c r="O187" s="48"/>
      <c r="P187" s="48"/>
      <c r="Q187" s="51"/>
      <c r="R187" s="63"/>
      <c r="S187" s="48"/>
      <c r="T187" s="48"/>
      <c r="U187" s="48"/>
      <c r="V187" s="48"/>
      <c r="W187" s="48"/>
      <c r="X187" s="48"/>
      <c r="Y187" s="48"/>
      <c r="Z187" s="48"/>
      <c r="AA187" s="48"/>
      <c r="AB187" s="48"/>
      <c r="AC187" s="51"/>
      <c r="AD187" s="63"/>
      <c r="AE187" s="48"/>
      <c r="AF187" s="48"/>
      <c r="AG187" s="48"/>
      <c r="AH187" s="48"/>
      <c r="AI187" s="48"/>
      <c r="AJ187" s="48"/>
      <c r="AK187" s="48"/>
      <c r="AL187" s="48"/>
      <c r="AM187" s="48"/>
      <c r="AN187" s="48"/>
      <c r="AO187" s="51"/>
      <c r="AP187" s="233" t="str">
        <f>IFERROR(IF(SUM(F187:K187)&lt;&gt;0,SUM(F187:K187),""),"")</f>
        <v/>
      </c>
      <c r="AQ187" s="234" t="str">
        <f>IFERROR(IF(SUM(L187:Q187)&lt;&gt;0,SUM(L187:Q187),""),"")</f>
        <v/>
      </c>
      <c r="AR187" s="233" t="str">
        <f>IFERROR(IF(SUM(R187:W187)&lt;&gt;0,SUM(R187:W187),""),"")</f>
        <v/>
      </c>
      <c r="AS187" s="234" t="str">
        <f>IFERROR(IF(SUM(X187:AC187)&lt;&gt;0,SUM(X187:AC187),""),"")</f>
        <v/>
      </c>
      <c r="AT187" s="233" t="str">
        <f>IFERROR(IF(SUM(AD187:AI187)&lt;&gt;0,SUM(AD187:AI187),""),"")</f>
        <v/>
      </c>
      <c r="AU187" s="234" t="str">
        <f>IFERROR(IF(SUM(AJ187:AO187)&lt;&gt;0,SUM(AJ187:AO187),""),"")</f>
        <v/>
      </c>
      <c r="AV187" s="75"/>
      <c r="AW187" s="76"/>
      <c r="AX187" s="75"/>
      <c r="AY187" s="76"/>
      <c r="AZ187" s="75"/>
      <c r="BA187" s="76"/>
      <c r="BB187" s="75"/>
      <c r="BC187" s="76"/>
      <c r="BD187" s="75"/>
      <c r="BE187" s="268"/>
      <c r="BF187" s="271" t="e">
        <f t="shared" si="871"/>
        <v>#N/A</v>
      </c>
      <c r="BG187" s="271" t="e">
        <f t="shared" si="872"/>
        <v>#N/A</v>
      </c>
      <c r="BH187" s="271" t="e">
        <f t="shared" si="873"/>
        <v>#N/A</v>
      </c>
      <c r="BI187" s="271" t="e">
        <f t="shared" si="874"/>
        <v>#N/A</v>
      </c>
      <c r="BJ187" s="271" t="e">
        <f t="shared" si="875"/>
        <v>#N/A</v>
      </c>
      <c r="BK187" s="271" t="e">
        <f t="shared" si="876"/>
        <v>#N/A</v>
      </c>
      <c r="BL187" s="271" t="e">
        <f t="shared" si="877"/>
        <v>#N/A</v>
      </c>
      <c r="BM187" s="271" t="e">
        <f t="shared" si="878"/>
        <v>#N/A</v>
      </c>
    </row>
    <row r="188" spans="1:65" s="102" customFormat="1" ht="14.25" customHeight="1" outlineLevel="2" x14ac:dyDescent="0.2">
      <c r="A188" s="320" t="s">
        <v>226</v>
      </c>
      <c r="B188" s="347"/>
      <c r="C188" s="350"/>
      <c r="D188" s="344"/>
      <c r="E188" s="279" t="s">
        <v>32</v>
      </c>
      <c r="F188" s="64"/>
      <c r="G188" s="65"/>
      <c r="H188" s="65"/>
      <c r="I188" s="65"/>
      <c r="J188" s="65"/>
      <c r="K188" s="65"/>
      <c r="L188" s="65"/>
      <c r="M188" s="65"/>
      <c r="N188" s="65"/>
      <c r="O188" s="65"/>
      <c r="P188" s="65"/>
      <c r="Q188" s="66"/>
      <c r="R188" s="64"/>
      <c r="S188" s="65"/>
      <c r="T188" s="65"/>
      <c r="U188" s="65"/>
      <c r="V188" s="65"/>
      <c r="W188" s="65"/>
      <c r="X188" s="65"/>
      <c r="Y188" s="65"/>
      <c r="Z188" s="65"/>
      <c r="AA188" s="65"/>
      <c r="AB188" s="65"/>
      <c r="AC188" s="66"/>
      <c r="AD188" s="64"/>
      <c r="AE188" s="65"/>
      <c r="AF188" s="65"/>
      <c r="AG188" s="65"/>
      <c r="AH188" s="65"/>
      <c r="AI188" s="65"/>
      <c r="AJ188" s="65"/>
      <c r="AK188" s="65"/>
      <c r="AL188" s="65"/>
      <c r="AM188" s="65"/>
      <c r="AN188" s="65"/>
      <c r="AO188" s="66"/>
      <c r="AP188" s="32" t="str">
        <f>IFERROR(IF(AVERAGE(F188:K188)&lt;&gt;0,AVERAGE(F188:K188),""),"")</f>
        <v/>
      </c>
      <c r="AQ188" s="235" t="str">
        <f>IFERROR(IF(AVERAGE(L188:Q188)&lt;&gt;0,AVERAGE(L188:Q188),""),"")</f>
        <v/>
      </c>
      <c r="AR188" s="32" t="str">
        <f>IFERROR(IF(AVERAGE(R188:W188)&lt;&gt;0,AVERAGE(R188:W188),""),"")</f>
        <v/>
      </c>
      <c r="AS188" s="235" t="str">
        <f>IFERROR(IF(AVERAGE(X188:AC188)&lt;&gt;0,AVERAGE(X188:AC188),""),"")</f>
        <v/>
      </c>
      <c r="AT188" s="32" t="str">
        <f>IFERROR(IF(AVERAGE(AD188:AI188)&lt;&gt;0,AVERAGE(AD188:AI188),""),"")</f>
        <v/>
      </c>
      <c r="AU188" s="235" t="str">
        <f>IFERROR(IF(AVERAGE(AJ188:AO188)&lt;&gt;0,AVERAGE(AJ188:AO188),""),"")</f>
        <v/>
      </c>
      <c r="AV188" s="77"/>
      <c r="AW188" s="65"/>
      <c r="AX188" s="77"/>
      <c r="AY188" s="65"/>
      <c r="AZ188" s="77"/>
      <c r="BA188" s="65"/>
      <c r="BB188" s="77"/>
      <c r="BC188" s="65"/>
      <c r="BD188" s="77"/>
      <c r="BE188" s="269"/>
      <c r="BF188" s="272" t="str">
        <f>IFERROR(IF(AVERAGE(AP188:AQ188)&lt;&gt;0,AVERAGE(AP188:AQ188),""),"")</f>
        <v/>
      </c>
      <c r="BG188" s="272" t="str">
        <f>IFERROR(IF(AVERAGE(AR188:AS188)&lt;&gt;0,AVERAGE(AR188:AS188),""),"")</f>
        <v/>
      </c>
      <c r="BH188" s="272" t="str">
        <f>IFERROR(IF(AVERAGE(AT188:AU188)&lt;&gt;0,AVERAGE(AT188:AU188),""),"")</f>
        <v/>
      </c>
      <c r="BI188" s="272" t="str">
        <f>IFERROR(IF(AVERAGE(AV188:AW188)&lt;&gt;0,AVERAGE(AV188:AW188),""),"")</f>
        <v/>
      </c>
      <c r="BJ188" s="272" t="str">
        <f>IFERROR(IF(AVERAGE(AX188:AY188)&lt;&gt;0,AVERAGE(AX188:AY188),""),"")</f>
        <v/>
      </c>
      <c r="BK188" s="272" t="str">
        <f>IFERROR(IF(AVERAGE(AZ188:BA188)&lt;&gt;0,AVERAGE(AZ188:BA188),""),"")</f>
        <v/>
      </c>
      <c r="BL188" s="272" t="str">
        <f>IFERROR(IF(AVERAGE(BB188:BC188)&lt;&gt;0,AVERAGE(BB188:BC188),""),"")</f>
        <v/>
      </c>
      <c r="BM188" s="272" t="str">
        <f>IFERROR(IF(AVERAGE(BD188:BE188)&lt;&gt;0,AVERAGE(BD188:BE188),""),"")</f>
        <v/>
      </c>
    </row>
    <row r="189" spans="1:65" s="102" customFormat="1" ht="15" customHeight="1" outlineLevel="2" thickBot="1" x14ac:dyDescent="0.25">
      <c r="A189" s="320" t="s">
        <v>226</v>
      </c>
      <c r="B189" s="347"/>
      <c r="C189" s="350"/>
      <c r="D189" s="344"/>
      <c r="E189" s="281" t="s">
        <v>2</v>
      </c>
      <c r="F189" s="67"/>
      <c r="G189" s="68"/>
      <c r="H189" s="68"/>
      <c r="I189" s="68"/>
      <c r="J189" s="68"/>
      <c r="K189" s="68"/>
      <c r="L189" s="68"/>
      <c r="M189" s="68"/>
      <c r="N189" s="68"/>
      <c r="O189" s="68"/>
      <c r="P189" s="68"/>
      <c r="Q189" s="69"/>
      <c r="R189" s="67"/>
      <c r="S189" s="68"/>
      <c r="T189" s="68"/>
      <c r="U189" s="68"/>
      <c r="V189" s="68"/>
      <c r="W189" s="68"/>
      <c r="X189" s="68"/>
      <c r="Y189" s="68"/>
      <c r="Z189" s="68"/>
      <c r="AA189" s="68"/>
      <c r="AB189" s="68"/>
      <c r="AC189" s="69"/>
      <c r="AD189" s="67"/>
      <c r="AE189" s="68"/>
      <c r="AF189" s="68"/>
      <c r="AG189" s="68"/>
      <c r="AH189" s="68"/>
      <c r="AI189" s="68"/>
      <c r="AJ189" s="68"/>
      <c r="AK189" s="68"/>
      <c r="AL189" s="68"/>
      <c r="AM189" s="68"/>
      <c r="AN189" s="68"/>
      <c r="AO189" s="69"/>
      <c r="AP189" s="236" t="str">
        <f>IFERROR(IF(AVERAGE(F189:K189)&lt;&gt;0,AVERAGE(F189:K189),""),"")</f>
        <v/>
      </c>
      <c r="AQ189" s="237" t="str">
        <f>IFERROR(IF(AVERAGE(L189:Q189)&lt;&gt;0,AVERAGE(L189:Q189),""),"")</f>
        <v/>
      </c>
      <c r="AR189" s="236" t="str">
        <f>IFERROR(IF(AVERAGE(R189:W189)&lt;&gt;0,AVERAGE(R189:W189),""),"")</f>
        <v/>
      </c>
      <c r="AS189" s="237" t="str">
        <f>IFERROR(IF(AVERAGE(X189:AC189)&lt;&gt;0,AVERAGE(X189:AC189),""),"")</f>
        <v/>
      </c>
      <c r="AT189" s="236" t="str">
        <f>IFERROR(IF(AVERAGE(AD189:AI189)&lt;&gt;0,AVERAGE(AD189:AI189),""),"")</f>
        <v/>
      </c>
      <c r="AU189" s="237" t="str">
        <f>IFERROR(IF(AVERAGE(AJ189:AO189)&lt;&gt;0,AVERAGE(AJ189:AO189),""),"")</f>
        <v/>
      </c>
      <c r="AV189" s="78"/>
      <c r="AW189" s="68"/>
      <c r="AX189" s="78"/>
      <c r="AY189" s="68"/>
      <c r="AZ189" s="78"/>
      <c r="BA189" s="68"/>
      <c r="BB189" s="78"/>
      <c r="BC189" s="68"/>
      <c r="BD189" s="78"/>
      <c r="BE189" s="270"/>
      <c r="BF189" s="288" t="str">
        <f>IFERROR(IF(AVERAGE(AP189:AQ189)&lt;&gt;0,AVERAGE(AP189:AQ189),""),"")</f>
        <v/>
      </c>
      <c r="BG189" s="288" t="str">
        <f>IFERROR(IF(AVERAGE(AR189:AS189)&lt;&gt;0,AVERAGE(AR189:AS189),""),"")</f>
        <v/>
      </c>
      <c r="BH189" s="288" t="str">
        <f>IFERROR(IF(AVERAGE(AT189:AU189)&lt;&gt;0,AVERAGE(AT189:AU189),""),"")</f>
        <v/>
      </c>
      <c r="BI189" s="288" t="str">
        <f>IFERROR(IF(AVERAGE(AV189:AW189)&lt;&gt;0,AVERAGE(AV189:AW189),""),"")</f>
        <v/>
      </c>
      <c r="BJ189" s="288" t="str">
        <f>IFERROR(IF(AVERAGE(AX189:AY189)&lt;&gt;0,AVERAGE(AX189:AY189),""),"")</f>
        <v/>
      </c>
      <c r="BK189" s="288" t="str">
        <f>IFERROR(IF(AVERAGE(AZ189:BA189)&lt;&gt;0,AVERAGE(AZ189:BA189),""),"")</f>
        <v/>
      </c>
      <c r="BL189" s="288" t="str">
        <f>IFERROR(IF(AVERAGE(BB189:BC189)&lt;&gt;0,AVERAGE(BB189:BC189),""),"")</f>
        <v/>
      </c>
      <c r="BM189" s="288" t="str">
        <f>IFERROR(IF(AVERAGE(BD189:BE189)&lt;&gt;0,AVERAGE(BD189:BE189),""),"")</f>
        <v/>
      </c>
    </row>
    <row r="190" spans="1:65" s="102" customFormat="1" ht="14.25" customHeight="1" outlineLevel="1" x14ac:dyDescent="0.2">
      <c r="A190" s="320" t="s">
        <v>226</v>
      </c>
      <c r="B190" s="347"/>
      <c r="C190" s="350"/>
      <c r="D190" s="344"/>
      <c r="E190" s="282" t="s">
        <v>228</v>
      </c>
      <c r="F190" s="283" t="str">
        <f ca="1">IF(IFERROR((F$11*(F182-SUM(F184:F187)/F$11)*F189*3600)/(F188),"")&gt;0,IFERROR((F$11*(F182-SUM(F184:F187)/F$11)*F189*3600)/(F188),""),"")</f>
        <v/>
      </c>
      <c r="G190" s="284" t="str">
        <f t="shared" ref="G190:AO190" ca="1" si="879">IF(IFERROR((G$11*(G182-SUM(G184:G187)/G$11)*G189*3600)/(G188),"")&gt;0,IFERROR((G$11*(G182-SUM(G184:G187)/G$11)*G189*3600)/(G188),""),"")</f>
        <v/>
      </c>
      <c r="H190" s="284" t="str">
        <f t="shared" ca="1" si="879"/>
        <v/>
      </c>
      <c r="I190" s="284" t="str">
        <f t="shared" ca="1" si="879"/>
        <v/>
      </c>
      <c r="J190" s="284" t="str">
        <f t="shared" ca="1" si="879"/>
        <v/>
      </c>
      <c r="K190" s="284" t="str">
        <f t="shared" ca="1" si="879"/>
        <v/>
      </c>
      <c r="L190" s="284" t="str">
        <f t="shared" ca="1" si="879"/>
        <v/>
      </c>
      <c r="M190" s="284" t="str">
        <f t="shared" ca="1" si="879"/>
        <v/>
      </c>
      <c r="N190" s="284" t="str">
        <f t="shared" ca="1" si="879"/>
        <v/>
      </c>
      <c r="O190" s="284" t="str">
        <f t="shared" ca="1" si="879"/>
        <v/>
      </c>
      <c r="P190" s="284" t="str">
        <f t="shared" ca="1" si="879"/>
        <v/>
      </c>
      <c r="Q190" s="284" t="str">
        <f t="shared" ca="1" si="879"/>
        <v/>
      </c>
      <c r="R190" s="283" t="str">
        <f t="shared" ca="1" si="879"/>
        <v/>
      </c>
      <c r="S190" s="284" t="str">
        <f t="shared" ca="1" si="879"/>
        <v/>
      </c>
      <c r="T190" s="284" t="str">
        <f t="shared" ca="1" si="879"/>
        <v/>
      </c>
      <c r="U190" s="284" t="str">
        <f t="shared" ca="1" si="879"/>
        <v/>
      </c>
      <c r="V190" s="284" t="str">
        <f t="shared" ca="1" si="879"/>
        <v/>
      </c>
      <c r="W190" s="284" t="str">
        <f t="shared" ca="1" si="879"/>
        <v/>
      </c>
      <c r="X190" s="284" t="str">
        <f t="shared" ca="1" si="879"/>
        <v/>
      </c>
      <c r="Y190" s="284" t="str">
        <f t="shared" ca="1" si="879"/>
        <v/>
      </c>
      <c r="Z190" s="284" t="str">
        <f t="shared" ca="1" si="879"/>
        <v/>
      </c>
      <c r="AA190" s="284" t="str">
        <f t="shared" ca="1" si="879"/>
        <v/>
      </c>
      <c r="AB190" s="284" t="str">
        <f t="shared" ca="1" si="879"/>
        <v/>
      </c>
      <c r="AC190" s="284" t="str">
        <f t="shared" ca="1" si="879"/>
        <v/>
      </c>
      <c r="AD190" s="283" t="str">
        <f t="shared" ca="1" si="879"/>
        <v/>
      </c>
      <c r="AE190" s="284" t="str">
        <f t="shared" ca="1" si="879"/>
        <v/>
      </c>
      <c r="AF190" s="284" t="str">
        <f t="shared" ca="1" si="879"/>
        <v/>
      </c>
      <c r="AG190" s="284" t="str">
        <f t="shared" ca="1" si="879"/>
        <v/>
      </c>
      <c r="AH190" s="284" t="str">
        <f t="shared" ca="1" si="879"/>
        <v/>
      </c>
      <c r="AI190" s="284" t="str">
        <f t="shared" ca="1" si="879"/>
        <v/>
      </c>
      <c r="AJ190" s="284" t="str">
        <f t="shared" ca="1" si="879"/>
        <v/>
      </c>
      <c r="AK190" s="284" t="str">
        <f t="shared" ca="1" si="879"/>
        <v/>
      </c>
      <c r="AL190" s="284" t="str">
        <f t="shared" ca="1" si="879"/>
        <v/>
      </c>
      <c r="AM190" s="284" t="str">
        <f t="shared" ca="1" si="879"/>
        <v/>
      </c>
      <c r="AN190" s="284" t="str">
        <f t="shared" ca="1" si="879"/>
        <v/>
      </c>
      <c r="AO190" s="284" t="str">
        <f t="shared" ca="1" si="879"/>
        <v/>
      </c>
      <c r="AP190" s="283" t="e">
        <f t="shared" ref="AP190:AP191" ca="1" si="880">IF(SUM(F190:K190)&lt;&gt;0,SUM(F190:K190),#N/A)</f>
        <v>#N/A</v>
      </c>
      <c r="AQ190" s="284" t="e">
        <f t="shared" ref="AQ190:AQ191" ca="1" si="881">IF(SUM(L190:Q190)&lt;&gt;0,SUM(L190:Q190),#N/A)</f>
        <v>#N/A</v>
      </c>
      <c r="AR190" s="283" t="e">
        <f t="shared" ref="AR190:AR191" ca="1" si="882">IF(SUM(R190:W190)&lt;&gt;0,SUM(R190:W190),#N/A)</f>
        <v>#N/A</v>
      </c>
      <c r="AS190" s="284" t="e">
        <f t="shared" ref="AS190:AS191" ca="1" si="883">IF(SUM(X190:AC190)&lt;&gt;0,SUM(X190:AC190),#N/A)</f>
        <v>#N/A</v>
      </c>
      <c r="AT190" s="283" t="e">
        <f t="shared" ref="AT190:AT191" ca="1" si="884">IF(SUM(AD190:AI190)&lt;&gt;0,SUM(AD190:AI190),#N/A)</f>
        <v>#N/A</v>
      </c>
      <c r="AU190" s="284" t="e">
        <f t="shared" ref="AU190:AU191" ca="1" si="885">IF(SUM(AJ190:AO190)&lt;&gt;0,SUM(AJ190:AO190),#N/A)</f>
        <v>#N/A</v>
      </c>
      <c r="AV190" s="283" t="str">
        <f ca="1">IF(IFERROR((AV$11*(AV182-SUM(AV184:AV187)/AV$11)*AV189*3600)/(AV188),"")&lt;&gt;0,IFERROR((AV$11*(AV182-SUM(AV184:AV187)/AV$11)*AV189*3600)/(AV188),""),"")</f>
        <v/>
      </c>
      <c r="AW190" s="284" t="str">
        <f t="shared" ref="AW190:BE190" ca="1" si="886">IF(IFERROR((AW$11*(AW182-SUM(AW184:AW187)/AW$11)*AW189*3600)/(AW188),"")&lt;&gt;0,IFERROR((AW$11*(AW182-SUM(AW184:AW187)/AW$11)*AW189*3600)/(AW188),""),"")</f>
        <v/>
      </c>
      <c r="AX190" s="283" t="str">
        <f t="shared" ca="1" si="886"/>
        <v/>
      </c>
      <c r="AY190" s="284" t="str">
        <f t="shared" ca="1" si="886"/>
        <v/>
      </c>
      <c r="AZ190" s="283" t="str">
        <f t="shared" ca="1" si="886"/>
        <v/>
      </c>
      <c r="BA190" s="284" t="str">
        <f t="shared" ca="1" si="886"/>
        <v/>
      </c>
      <c r="BB190" s="283" t="str">
        <f t="shared" ca="1" si="886"/>
        <v/>
      </c>
      <c r="BC190" s="284" t="str">
        <f t="shared" ca="1" si="886"/>
        <v/>
      </c>
      <c r="BD190" s="283" t="str">
        <f t="shared" ca="1" si="886"/>
        <v/>
      </c>
      <c r="BE190" s="285" t="str">
        <f t="shared" ca="1" si="886"/>
        <v/>
      </c>
      <c r="BF190" s="285" t="e">
        <f t="shared" ref="BF190:BF192" ca="1" si="887">IF(SUM(AP190,AQ190)&lt;&gt;0,SUM(AP190,AQ190),#N/A)</f>
        <v>#N/A</v>
      </c>
      <c r="BG190" s="285" t="e">
        <f t="shared" ref="BG190:BG192" ca="1" si="888">IF(SUM(AR190,AS190)&lt;&gt;0,SUM(AR190,AS190),#N/A)</f>
        <v>#N/A</v>
      </c>
      <c r="BH190" s="285" t="e">
        <f t="shared" ref="BH190:BH192" ca="1" si="889">IF(SUM(AT190,AU190)&lt;&gt;0,SUM(AT190,AU190),#N/A)</f>
        <v>#N/A</v>
      </c>
      <c r="BI190" s="285" t="e">
        <f t="shared" ref="BI190:BI192" ca="1" si="890">IF(SUM(AV190,AW190)&lt;&gt;0,SUM(AV190,AW190),#N/A)</f>
        <v>#N/A</v>
      </c>
      <c r="BJ190" s="285" t="e">
        <f t="shared" ref="BJ190:BJ192" ca="1" si="891">IF(SUM(AX190,AY190)&lt;&gt;0,SUM(AX190,AY190),#N/A)</f>
        <v>#N/A</v>
      </c>
      <c r="BK190" s="285" t="e">
        <f t="shared" ref="BK190:BK192" ca="1" si="892">IF(SUM(AZ190,BA190)&lt;&gt;0,SUM(AZ190,BA190),#N/A)</f>
        <v>#N/A</v>
      </c>
      <c r="BL190" s="285" t="e">
        <f t="shared" ref="BL190:BL192" ca="1" si="893">IF(SUM(BB190,BC190)&lt;&gt;0,SUM(BB190,BC190),#N/A)</f>
        <v>#N/A</v>
      </c>
      <c r="BM190" s="285" t="e">
        <f t="shared" ref="BM190:BM192" ca="1" si="894">IF(SUM(BD190,BE190)&lt;&gt;0,SUM(BD190,BE190),#N/A)</f>
        <v>#N/A</v>
      </c>
    </row>
    <row r="191" spans="1:65" s="102" customFormat="1" ht="15" customHeight="1" outlineLevel="1" thickBot="1" x14ac:dyDescent="0.25">
      <c r="A191" s="320" t="s">
        <v>226</v>
      </c>
      <c r="B191" s="348"/>
      <c r="C191" s="351"/>
      <c r="D191" s="345"/>
      <c r="E191" s="104" t="s">
        <v>225</v>
      </c>
      <c r="F191" s="36" t="str">
        <f ca="1">IFERROR(F190+((F181*F183*F189*3600)/(F188)),"")</f>
        <v/>
      </c>
      <c r="G191" s="37" t="str">
        <f t="shared" ref="G191:AO191" ca="1" si="895">IFERROR(G190+((G181*G183*G189*3600)/(G188)),"")</f>
        <v/>
      </c>
      <c r="H191" s="37" t="str">
        <f t="shared" ca="1" si="895"/>
        <v/>
      </c>
      <c r="I191" s="37" t="str">
        <f t="shared" ca="1" si="895"/>
        <v/>
      </c>
      <c r="J191" s="37" t="str">
        <f t="shared" ca="1" si="895"/>
        <v/>
      </c>
      <c r="K191" s="37" t="str">
        <f t="shared" ca="1" si="895"/>
        <v/>
      </c>
      <c r="L191" s="37" t="str">
        <f t="shared" ca="1" si="895"/>
        <v/>
      </c>
      <c r="M191" s="37" t="str">
        <f t="shared" ca="1" si="895"/>
        <v/>
      </c>
      <c r="N191" s="37" t="str">
        <f t="shared" ca="1" si="895"/>
        <v/>
      </c>
      <c r="O191" s="37" t="str">
        <f t="shared" ca="1" si="895"/>
        <v/>
      </c>
      <c r="P191" s="37" t="str">
        <f t="shared" ca="1" si="895"/>
        <v/>
      </c>
      <c r="Q191" s="37" t="str">
        <f t="shared" ca="1" si="895"/>
        <v/>
      </c>
      <c r="R191" s="36" t="str">
        <f t="shared" ca="1" si="895"/>
        <v/>
      </c>
      <c r="S191" s="37" t="str">
        <f t="shared" ca="1" si="895"/>
        <v/>
      </c>
      <c r="T191" s="37" t="str">
        <f t="shared" ca="1" si="895"/>
        <v/>
      </c>
      <c r="U191" s="37" t="str">
        <f t="shared" ca="1" si="895"/>
        <v/>
      </c>
      <c r="V191" s="37" t="str">
        <f t="shared" ca="1" si="895"/>
        <v/>
      </c>
      <c r="W191" s="37" t="str">
        <f t="shared" ca="1" si="895"/>
        <v/>
      </c>
      <c r="X191" s="37" t="str">
        <f t="shared" ca="1" si="895"/>
        <v/>
      </c>
      <c r="Y191" s="37" t="str">
        <f t="shared" ca="1" si="895"/>
        <v/>
      </c>
      <c r="Z191" s="37" t="str">
        <f t="shared" ca="1" si="895"/>
        <v/>
      </c>
      <c r="AA191" s="37" t="str">
        <f t="shared" ca="1" si="895"/>
        <v/>
      </c>
      <c r="AB191" s="37" t="str">
        <f t="shared" ca="1" si="895"/>
        <v/>
      </c>
      <c r="AC191" s="37" t="str">
        <f t="shared" ca="1" si="895"/>
        <v/>
      </c>
      <c r="AD191" s="36" t="str">
        <f t="shared" ca="1" si="895"/>
        <v/>
      </c>
      <c r="AE191" s="37" t="str">
        <f t="shared" ca="1" si="895"/>
        <v/>
      </c>
      <c r="AF191" s="37" t="str">
        <f t="shared" ca="1" si="895"/>
        <v/>
      </c>
      <c r="AG191" s="37" t="str">
        <f t="shared" ca="1" si="895"/>
        <v/>
      </c>
      <c r="AH191" s="37" t="str">
        <f t="shared" ca="1" si="895"/>
        <v/>
      </c>
      <c r="AI191" s="37" t="str">
        <f t="shared" ca="1" si="895"/>
        <v/>
      </c>
      <c r="AJ191" s="37" t="str">
        <f t="shared" ca="1" si="895"/>
        <v/>
      </c>
      <c r="AK191" s="37" t="str">
        <f t="shared" ca="1" si="895"/>
        <v/>
      </c>
      <c r="AL191" s="37" t="str">
        <f t="shared" ca="1" si="895"/>
        <v/>
      </c>
      <c r="AM191" s="37" t="str">
        <f t="shared" ca="1" si="895"/>
        <v/>
      </c>
      <c r="AN191" s="37" t="str">
        <f t="shared" ca="1" si="895"/>
        <v/>
      </c>
      <c r="AO191" s="37" t="str">
        <f t="shared" ca="1" si="895"/>
        <v/>
      </c>
      <c r="AP191" s="36" t="e">
        <f t="shared" ca="1" si="880"/>
        <v>#N/A</v>
      </c>
      <c r="AQ191" s="37" t="e">
        <f t="shared" ca="1" si="881"/>
        <v>#N/A</v>
      </c>
      <c r="AR191" s="36" t="e">
        <f t="shared" ca="1" si="882"/>
        <v>#N/A</v>
      </c>
      <c r="AS191" s="37" t="e">
        <f t="shared" ca="1" si="883"/>
        <v>#N/A</v>
      </c>
      <c r="AT191" s="36" t="e">
        <f t="shared" ca="1" si="884"/>
        <v>#N/A</v>
      </c>
      <c r="AU191" s="37" t="e">
        <f t="shared" ca="1" si="885"/>
        <v>#N/A</v>
      </c>
      <c r="AV191" s="36" t="str">
        <f t="shared" ref="AV191:BE191" ca="1" si="896">IFERROR(AV190+((AV181*AV183*AV189*3600)/(AV188)),"")</f>
        <v/>
      </c>
      <c r="AW191" s="37" t="str">
        <f t="shared" ca="1" si="896"/>
        <v/>
      </c>
      <c r="AX191" s="36" t="str">
        <f t="shared" ca="1" si="896"/>
        <v/>
      </c>
      <c r="AY191" s="37" t="str">
        <f t="shared" ca="1" si="896"/>
        <v/>
      </c>
      <c r="AZ191" s="36" t="str">
        <f t="shared" ca="1" si="896"/>
        <v/>
      </c>
      <c r="BA191" s="37" t="str">
        <f t="shared" ca="1" si="896"/>
        <v/>
      </c>
      <c r="BB191" s="36" t="str">
        <f t="shared" ca="1" si="896"/>
        <v/>
      </c>
      <c r="BC191" s="37" t="str">
        <f t="shared" ca="1" si="896"/>
        <v/>
      </c>
      <c r="BD191" s="36" t="str">
        <f t="shared" ca="1" si="896"/>
        <v/>
      </c>
      <c r="BE191" s="43" t="str">
        <f t="shared" ca="1" si="896"/>
        <v/>
      </c>
      <c r="BF191" s="43" t="e">
        <f t="shared" ca="1" si="887"/>
        <v>#N/A</v>
      </c>
      <c r="BG191" s="43" t="e">
        <f t="shared" ca="1" si="888"/>
        <v>#N/A</v>
      </c>
      <c r="BH191" s="43" t="e">
        <f t="shared" ca="1" si="889"/>
        <v>#N/A</v>
      </c>
      <c r="BI191" s="43" t="e">
        <f t="shared" ca="1" si="890"/>
        <v>#N/A</v>
      </c>
      <c r="BJ191" s="43" t="e">
        <f t="shared" ca="1" si="891"/>
        <v>#N/A</v>
      </c>
      <c r="BK191" s="43" t="e">
        <f t="shared" ca="1" si="892"/>
        <v>#N/A</v>
      </c>
      <c r="BL191" s="43" t="e">
        <f t="shared" ca="1" si="893"/>
        <v>#N/A</v>
      </c>
      <c r="BM191" s="43" t="e">
        <f t="shared" ca="1" si="894"/>
        <v>#N/A</v>
      </c>
    </row>
    <row r="192" spans="1:65" s="102" customFormat="1" ht="22.5" outlineLevel="2" x14ac:dyDescent="0.2">
      <c r="A192" s="320" t="s">
        <v>226</v>
      </c>
      <c r="B192" s="346"/>
      <c r="C192" s="349" t="str">
        <f t="shared" ref="C192" si="897">IF(AND($B192&lt;&gt;0,$C$9&lt;&gt;0),$C$9,"")</f>
        <v/>
      </c>
      <c r="D192" s="343"/>
      <c r="E192" s="277" t="s">
        <v>40</v>
      </c>
      <c r="F192" s="33">
        <f ca="1">IF(F$11-(SUM(F196:F199)/24)=0,"",F$11-(SUM(F196:F199)/24))</f>
        <v>27</v>
      </c>
      <c r="G192" s="34">
        <f t="shared" ref="G192:AO192" ca="1" si="898">IF(G$11-(SUM(G196:G199)/24)=0,"",G$11-(SUM(G196:G199)/24))</f>
        <v>24</v>
      </c>
      <c r="H192" s="34">
        <f t="shared" ca="1" si="898"/>
        <v>26</v>
      </c>
      <c r="I192" s="34">
        <f t="shared" ca="1" si="898"/>
        <v>26</v>
      </c>
      <c r="J192" s="34">
        <f t="shared" ca="1" si="898"/>
        <v>27</v>
      </c>
      <c r="K192" s="34">
        <f t="shared" ca="1" si="898"/>
        <v>25</v>
      </c>
      <c r="L192" s="34">
        <f t="shared" ca="1" si="898"/>
        <v>27</v>
      </c>
      <c r="M192" s="34">
        <f t="shared" ca="1" si="898"/>
        <v>26</v>
      </c>
      <c r="N192" s="34">
        <f t="shared" ca="1" si="898"/>
        <v>26</v>
      </c>
      <c r="O192" s="34">
        <f t="shared" ca="1" si="898"/>
        <v>27</v>
      </c>
      <c r="P192" s="34">
        <f t="shared" ca="1" si="898"/>
        <v>25</v>
      </c>
      <c r="Q192" s="34">
        <f t="shared" ca="1" si="898"/>
        <v>27</v>
      </c>
      <c r="R192" s="32">
        <f t="shared" ca="1" si="898"/>
        <v>27</v>
      </c>
      <c r="S192" s="29">
        <f t="shared" ca="1" si="898"/>
        <v>24</v>
      </c>
      <c r="T192" s="29">
        <f t="shared" ca="1" si="898"/>
        <v>26</v>
      </c>
      <c r="U192" s="29">
        <f t="shared" ca="1" si="898"/>
        <v>26</v>
      </c>
      <c r="V192" s="29">
        <f t="shared" ca="1" si="898"/>
        <v>26</v>
      </c>
      <c r="W192" s="29">
        <f t="shared" ca="1" si="898"/>
        <v>26</v>
      </c>
      <c r="X192" s="29">
        <f t="shared" ca="1" si="898"/>
        <v>27</v>
      </c>
      <c r="Y192" s="29">
        <f t="shared" ca="1" si="898"/>
        <v>26</v>
      </c>
      <c r="Z192" s="29">
        <f t="shared" ca="1" si="898"/>
        <v>26</v>
      </c>
      <c r="AA192" s="29">
        <f t="shared" ca="1" si="898"/>
        <v>27</v>
      </c>
      <c r="AB192" s="29">
        <f t="shared" ca="1" si="898"/>
        <v>25</v>
      </c>
      <c r="AC192" s="29">
        <f t="shared" ca="1" si="898"/>
        <v>27</v>
      </c>
      <c r="AD192" s="32">
        <f t="shared" ca="1" si="898"/>
        <v>26</v>
      </c>
      <c r="AE192" s="29">
        <f t="shared" ca="1" si="898"/>
        <v>24</v>
      </c>
      <c r="AF192" s="29">
        <f t="shared" ca="1" si="898"/>
        <v>27</v>
      </c>
      <c r="AG192" s="29">
        <f t="shared" ca="1" si="898"/>
        <v>26</v>
      </c>
      <c r="AH192" s="29">
        <f t="shared" ca="1" si="898"/>
        <v>26</v>
      </c>
      <c r="AI192" s="29">
        <f t="shared" ca="1" si="898"/>
        <v>26</v>
      </c>
      <c r="AJ192" s="29">
        <f t="shared" ca="1" si="898"/>
        <v>27</v>
      </c>
      <c r="AK192" s="29">
        <f t="shared" ca="1" si="898"/>
        <v>26</v>
      </c>
      <c r="AL192" s="29">
        <f t="shared" ca="1" si="898"/>
        <v>26</v>
      </c>
      <c r="AM192" s="29">
        <f t="shared" ca="1" si="898"/>
        <v>26</v>
      </c>
      <c r="AN192" s="29">
        <f t="shared" ca="1" si="898"/>
        <v>26</v>
      </c>
      <c r="AO192" s="29">
        <f t="shared" ca="1" si="898"/>
        <v>27</v>
      </c>
      <c r="AP192" s="32">
        <f ca="1">IF(SUM(F192:K192)&lt;&gt;0,SUM(F192:K192),"")</f>
        <v>155</v>
      </c>
      <c r="AQ192" s="29">
        <f ca="1">IF(SUM(L192:Q192)&lt;&gt;0,SUM(L192:Q192),"")</f>
        <v>158</v>
      </c>
      <c r="AR192" s="32">
        <f ca="1">IF(SUM(R192:W192)&lt;&gt;0,SUM(R192:W192),"")</f>
        <v>155</v>
      </c>
      <c r="AS192" s="29">
        <f ca="1">IF(SUM(X192:AC192)&lt;&gt;0,SUM(X192:AC192),"")</f>
        <v>158</v>
      </c>
      <c r="AT192" s="32">
        <f ca="1">IF(SUM(AD192:AI192)&lt;&gt;0,SUM(AD192:AI192),"")</f>
        <v>155</v>
      </c>
      <c r="AU192" s="296">
        <f ca="1">SUM(AJ192:AO192)</f>
        <v>158</v>
      </c>
      <c r="AV192" s="32">
        <f t="shared" ref="AV192:BE192" ca="1" si="899">IF(AV$11-(SUM(AV196:AV199)/24)=0,"",AV$11-(SUM(AV196:AV199)/24))</f>
        <v>156</v>
      </c>
      <c r="AW192" s="29">
        <f t="shared" ca="1" si="899"/>
        <v>157</v>
      </c>
      <c r="AX192" s="32">
        <f t="shared" ca="1" si="899"/>
        <v>156</v>
      </c>
      <c r="AY192" s="29">
        <f t="shared" ca="1" si="899"/>
        <v>158</v>
      </c>
      <c r="AZ192" s="32">
        <f t="shared" ca="1" si="899"/>
        <v>155</v>
      </c>
      <c r="BA192" s="29">
        <f t="shared" ca="1" si="899"/>
        <v>158</v>
      </c>
      <c r="BB192" s="32">
        <f t="shared" ca="1" si="899"/>
        <v>155</v>
      </c>
      <c r="BC192" s="29">
        <f t="shared" ca="1" si="899"/>
        <v>158</v>
      </c>
      <c r="BD192" s="32">
        <f t="shared" ca="1" si="899"/>
        <v>156</v>
      </c>
      <c r="BE192" s="262">
        <f t="shared" ca="1" si="899"/>
        <v>158</v>
      </c>
      <c r="BF192" s="286">
        <f t="shared" ca="1" si="887"/>
        <v>313</v>
      </c>
      <c r="BG192" s="286">
        <f t="shared" ca="1" si="888"/>
        <v>313</v>
      </c>
      <c r="BH192" s="286">
        <f t="shared" ca="1" si="889"/>
        <v>313</v>
      </c>
      <c r="BI192" s="286">
        <f t="shared" ca="1" si="890"/>
        <v>313</v>
      </c>
      <c r="BJ192" s="286">
        <f t="shared" ca="1" si="891"/>
        <v>314</v>
      </c>
      <c r="BK192" s="286">
        <f t="shared" ca="1" si="892"/>
        <v>313</v>
      </c>
      <c r="BL192" s="286">
        <f t="shared" ca="1" si="893"/>
        <v>313</v>
      </c>
      <c r="BM192" s="286">
        <f t="shared" ca="1" si="894"/>
        <v>314</v>
      </c>
    </row>
    <row r="193" spans="1:65" s="102" customFormat="1" ht="15" customHeight="1" outlineLevel="2" thickBot="1" x14ac:dyDescent="0.25">
      <c r="A193" s="320" t="s">
        <v>226</v>
      </c>
      <c r="B193" s="347"/>
      <c r="C193" s="350"/>
      <c r="D193" s="344"/>
      <c r="E193" s="278" t="s">
        <v>29</v>
      </c>
      <c r="F193" s="47"/>
      <c r="G193" s="48"/>
      <c r="H193" s="48"/>
      <c r="I193" s="48"/>
      <c r="J193" s="48"/>
      <c r="K193" s="48"/>
      <c r="L193" s="48"/>
      <c r="M193" s="48"/>
      <c r="N193" s="48"/>
      <c r="O193" s="48"/>
      <c r="P193" s="48"/>
      <c r="Q193" s="51"/>
      <c r="R193" s="47"/>
      <c r="S193" s="48"/>
      <c r="T193" s="48"/>
      <c r="U193" s="48"/>
      <c r="V193" s="48"/>
      <c r="W193" s="48"/>
      <c r="X193" s="48"/>
      <c r="Y193" s="48"/>
      <c r="Z193" s="48"/>
      <c r="AA193" s="48"/>
      <c r="AB193" s="48"/>
      <c r="AC193" s="51"/>
      <c r="AD193" s="47"/>
      <c r="AE193" s="48"/>
      <c r="AF193" s="48"/>
      <c r="AG193" s="48"/>
      <c r="AH193" s="48"/>
      <c r="AI193" s="48"/>
      <c r="AJ193" s="48"/>
      <c r="AK193" s="48"/>
      <c r="AL193" s="48"/>
      <c r="AM193" s="48"/>
      <c r="AN193" s="48"/>
      <c r="AO193" s="51"/>
      <c r="AP193" s="294" t="str">
        <f>IFERROR(IF(SUM(F193:K193)&lt;&gt;0,SUM(F193:K193),""),"")</f>
        <v/>
      </c>
      <c r="AQ193" s="295" t="str">
        <f>IFERROR(IF(SUM(L193:Q193)&lt;&gt;0,SUM(L193:Q193),""),"")</f>
        <v/>
      </c>
      <c r="AR193" s="294" t="str">
        <f>IFERROR(IF(SUM(R193:W193)&lt;&gt;0,SUM(R193:W193),""),"")</f>
        <v/>
      </c>
      <c r="AS193" s="295" t="str">
        <f>IFERROR(IF(SUM(X193:AC193)&lt;&gt;0,SUM(X193:AC193),""),"")</f>
        <v/>
      </c>
      <c r="AT193" s="294" t="str">
        <f>IFERROR(IF(SUM(AD193:AI193)&lt;&gt;0,SUM(AD193:AI193),""),"")</f>
        <v/>
      </c>
      <c r="AU193" s="295" t="str">
        <f>IFERROR(IF(SUM(AJ193:AO193)&lt;&gt;0,SUM(AJ193:AO193),""),"")</f>
        <v/>
      </c>
      <c r="AV193" s="47"/>
      <c r="AW193" s="51"/>
      <c r="AX193" s="47"/>
      <c r="AY193" s="51"/>
      <c r="AZ193" s="47"/>
      <c r="BA193" s="51"/>
      <c r="BB193" s="47"/>
      <c r="BC193" s="51"/>
      <c r="BD193" s="47"/>
      <c r="BE193" s="263"/>
      <c r="BF193" s="271" t="str">
        <f>IFERROR(IF(AVERAGE(AP193:AQ193)&lt;&gt;0,AVERAGE(AP193:AQ193),""),"")</f>
        <v/>
      </c>
      <c r="BG193" s="271" t="str">
        <f>IFERROR(IF(AVERAGE(AR193:AS193)&lt;&gt;0,AVERAGE(AR193:AS193),""),"")</f>
        <v/>
      </c>
      <c r="BH193" s="271" t="str">
        <f>IFERROR(IF(AVERAGE(AT193:AU193)&lt;&gt;0,AVERAGE(AT193:AU193),""),"")</f>
        <v/>
      </c>
      <c r="BI193" s="271" t="str">
        <f>IFERROR(IF(AVERAGE(AV193:AW193)&lt;&gt;0,AVERAGE(AV193:AW193),""),"")</f>
        <v/>
      </c>
      <c r="BJ193" s="271" t="str">
        <f>IFERROR(IF(AVERAGE(AX193:AY193)&lt;&gt;0,AVERAGE(AX193:AY193),""),"")</f>
        <v/>
      </c>
      <c r="BK193" s="271" t="str">
        <f>IFERROR(IF(AVERAGE(AZ193:BA193)&lt;&gt;0,AVERAGE(AZ193:BA193),""),"")</f>
        <v/>
      </c>
      <c r="BL193" s="271" t="str">
        <f>IFERROR(IF(AVERAGE(BB193:BC193)&lt;&gt;0,AVERAGE(BB193:BC193),""),"")</f>
        <v/>
      </c>
      <c r="BM193" s="271" t="str">
        <f>IFERROR(IF(AVERAGE(BD193:BE193)&lt;&gt;0,AVERAGE(BD193:BE193),""),"")</f>
        <v/>
      </c>
    </row>
    <row r="194" spans="1:65" s="102" customFormat="1" ht="14.25" customHeight="1" outlineLevel="2" x14ac:dyDescent="0.2">
      <c r="A194" s="320" t="s">
        <v>226</v>
      </c>
      <c r="B194" s="347"/>
      <c r="C194" s="350"/>
      <c r="D194" s="344"/>
      <c r="E194" s="279" t="s">
        <v>28</v>
      </c>
      <c r="F194" s="52"/>
      <c r="G194" s="53"/>
      <c r="H194" s="53"/>
      <c r="I194" s="53"/>
      <c r="J194" s="53"/>
      <c r="K194" s="53"/>
      <c r="L194" s="53"/>
      <c r="M194" s="53"/>
      <c r="N194" s="53"/>
      <c r="O194" s="53"/>
      <c r="P194" s="53"/>
      <c r="Q194" s="54"/>
      <c r="R194" s="52"/>
      <c r="S194" s="53"/>
      <c r="T194" s="53"/>
      <c r="U194" s="53"/>
      <c r="V194" s="53"/>
      <c r="W194" s="53"/>
      <c r="X194" s="53"/>
      <c r="Y194" s="53"/>
      <c r="Z194" s="53"/>
      <c r="AA194" s="53"/>
      <c r="AB194" s="53"/>
      <c r="AC194" s="54"/>
      <c r="AD194" s="52"/>
      <c r="AE194" s="53"/>
      <c r="AF194" s="53"/>
      <c r="AG194" s="53"/>
      <c r="AH194" s="53"/>
      <c r="AI194" s="53"/>
      <c r="AJ194" s="53"/>
      <c r="AK194" s="53"/>
      <c r="AL194" s="53"/>
      <c r="AM194" s="53"/>
      <c r="AN194" s="53"/>
      <c r="AO194" s="54"/>
      <c r="AP194" s="225" t="str">
        <f>IFERROR(IF(AVERAGE(F194:K194)&lt;&gt;0,AVERAGE(F194:K194),""),"")</f>
        <v/>
      </c>
      <c r="AQ194" s="226" t="str">
        <f>IFERROR(IF(AVERAGE(L194:Q194)&lt;&gt;0,AVERAGE(L194:Q194),""),"")</f>
        <v/>
      </c>
      <c r="AR194" s="225" t="str">
        <f>IFERROR(IF(AVERAGE(R194:W194)&lt;&gt;0,AVERAGE(R194:W194),""),"")</f>
        <v/>
      </c>
      <c r="AS194" s="226" t="str">
        <f>IFERROR(IF(AVERAGE(X194:AC194)&lt;&gt;0,AVERAGE(X194:AC194),""),"")</f>
        <v/>
      </c>
      <c r="AT194" s="225" t="str">
        <f>IFERROR(IF(AVERAGE(AD194:AI194)&lt;&gt;0,AVERAGE(AD194:AI194),""),"")</f>
        <v/>
      </c>
      <c r="AU194" s="226" t="str">
        <f>IFERROR(IF(AVERAGE(AJ194:AO194)&lt;&gt;0,AVERAGE(AJ194:AO194),""),"")</f>
        <v/>
      </c>
      <c r="AV194" s="70"/>
      <c r="AW194" s="53"/>
      <c r="AX194" s="70"/>
      <c r="AY194" s="53"/>
      <c r="AZ194" s="70"/>
      <c r="BA194" s="53"/>
      <c r="BB194" s="70"/>
      <c r="BC194" s="53"/>
      <c r="BD194" s="70"/>
      <c r="BE194" s="264"/>
      <c r="BF194" s="272" t="str">
        <f>IFERROR(IF(AVERAGE(AP194:AQ194)&lt;&gt;0,AVERAGE(AP194:AQ194),""),"")</f>
        <v/>
      </c>
      <c r="BG194" s="272" t="str">
        <f>IFERROR(IF(AVERAGE(AR194:AS194)&lt;&gt;0,AVERAGE(AR194:AS194),""),"")</f>
        <v/>
      </c>
      <c r="BH194" s="272" t="str">
        <f>IFERROR(IF(AVERAGE(AT194:AU194)&lt;&gt;0,AVERAGE(AT194:AU194),""),"")</f>
        <v/>
      </c>
      <c r="BI194" s="272" t="str">
        <f>IFERROR(IF(AVERAGE(AV194:AW194)&lt;&gt;0,AVERAGE(AV194:AW194),""),"")</f>
        <v/>
      </c>
      <c r="BJ194" s="272" t="str">
        <f>IFERROR(IF(AVERAGE(AX194:AY194)&lt;&gt;0,AVERAGE(AX194:AY194),""),"")</f>
        <v/>
      </c>
      <c r="BK194" s="272" t="str">
        <f>IFERROR(IF(AVERAGE(AZ194:BA194)&lt;&gt;0,AVERAGE(AZ194:BA194),""),"")</f>
        <v/>
      </c>
      <c r="BL194" s="272" t="str">
        <f>IFERROR(IF(AVERAGE(BB194:BC194)&lt;&gt;0,AVERAGE(BB194:BC194),""),"")</f>
        <v/>
      </c>
      <c r="BM194" s="272" t="str">
        <f>IFERROR(IF(AVERAGE(BD194:BE194)&lt;&gt;0,AVERAGE(BD194:BE194),""),"")</f>
        <v/>
      </c>
    </row>
    <row r="195" spans="1:65" s="102" customFormat="1" ht="15" customHeight="1" outlineLevel="2" thickBot="1" x14ac:dyDescent="0.25">
      <c r="A195" s="320" t="s">
        <v>226</v>
      </c>
      <c r="B195" s="347"/>
      <c r="C195" s="350"/>
      <c r="D195" s="344"/>
      <c r="E195" s="278" t="s">
        <v>30</v>
      </c>
      <c r="F195" s="55"/>
      <c r="G195" s="56"/>
      <c r="H195" s="56"/>
      <c r="I195" s="56"/>
      <c r="J195" s="56"/>
      <c r="K195" s="56"/>
      <c r="L195" s="56"/>
      <c r="M195" s="56"/>
      <c r="N195" s="56"/>
      <c r="O195" s="56"/>
      <c r="P195" s="56"/>
      <c r="Q195" s="57"/>
      <c r="R195" s="55"/>
      <c r="S195" s="56"/>
      <c r="T195" s="56"/>
      <c r="U195" s="56"/>
      <c r="V195" s="56"/>
      <c r="W195" s="56"/>
      <c r="X195" s="56"/>
      <c r="Y195" s="56"/>
      <c r="Z195" s="56"/>
      <c r="AA195" s="56"/>
      <c r="AB195" s="56"/>
      <c r="AC195" s="57"/>
      <c r="AD195" s="55"/>
      <c r="AE195" s="56"/>
      <c r="AF195" s="56"/>
      <c r="AG195" s="56"/>
      <c r="AH195" s="56"/>
      <c r="AI195" s="56"/>
      <c r="AJ195" s="56"/>
      <c r="AK195" s="56"/>
      <c r="AL195" s="56"/>
      <c r="AM195" s="56"/>
      <c r="AN195" s="56"/>
      <c r="AO195" s="57"/>
      <c r="AP195" s="227" t="str">
        <f>IFERROR(IF(AVERAGE(F195:K195)&lt;&gt;0,AVERAGE(F195:K195),""),"")</f>
        <v/>
      </c>
      <c r="AQ195" s="228" t="str">
        <f>IFERROR(IF(AVERAGE(L195:Q195)&lt;&gt;0,AVERAGE(L195:Q195),""),"")</f>
        <v/>
      </c>
      <c r="AR195" s="227" t="str">
        <f>IFERROR(IF(AVERAGE(R195:W195)&lt;&gt;0,AVERAGE(R195:W195),""),"")</f>
        <v/>
      </c>
      <c r="AS195" s="228" t="str">
        <f>IFERROR(IF(AVERAGE(X195:AC195)&lt;&gt;0,AVERAGE(X195:AC195),""),"")</f>
        <v/>
      </c>
      <c r="AT195" s="227" t="str">
        <f>IFERROR(IF(AVERAGE(AD195:AI195)&lt;&gt;0,AVERAGE(AD195:AI195),""),"")</f>
        <v/>
      </c>
      <c r="AU195" s="228" t="str">
        <f>IFERROR(IF(AVERAGE(AJ195:AO195)&lt;&gt;0,AVERAGE(AJ195:AO195),""),"")</f>
        <v/>
      </c>
      <c r="AV195" s="71"/>
      <c r="AW195" s="56"/>
      <c r="AX195" s="71"/>
      <c r="AY195" s="56"/>
      <c r="AZ195" s="71"/>
      <c r="BA195" s="56"/>
      <c r="BB195" s="71"/>
      <c r="BC195" s="56"/>
      <c r="BD195" s="71"/>
      <c r="BE195" s="265"/>
      <c r="BF195" s="273" t="str">
        <f>IFERROR(IF(AVERAGE(AP195:AQ195)&lt;&gt;0,AVERAGE(AP195:AQ195),""),"")</f>
        <v/>
      </c>
      <c r="BG195" s="273" t="str">
        <f>IFERROR(IF(AVERAGE(AR195:AS195)&lt;&gt;0,AVERAGE(AR195:AS195),""),"")</f>
        <v/>
      </c>
      <c r="BH195" s="273" t="str">
        <f>IFERROR(IF(AVERAGE(AT195:AU195)&lt;&gt;0,AVERAGE(AT195:AU195),""),"")</f>
        <v/>
      </c>
      <c r="BI195" s="273" t="str">
        <f>IFERROR(IF(AVERAGE(AV195:AW195)&lt;&gt;0,AVERAGE(AV195:AW195),""),"")</f>
        <v/>
      </c>
      <c r="BJ195" s="273" t="str">
        <f>IFERROR(IF(AVERAGE(AX195:AY195)&lt;&gt;0,AVERAGE(AX195:AY195),""),"")</f>
        <v/>
      </c>
      <c r="BK195" s="273" t="str">
        <f>IFERROR(IF(AVERAGE(AZ195:BA195)&lt;&gt;0,AVERAGE(AZ195:BA195),""),"")</f>
        <v/>
      </c>
      <c r="BL195" s="273" t="str">
        <f>IFERROR(IF(AVERAGE(BB195:BC195)&lt;&gt;0,AVERAGE(BB195:BC195),""),"")</f>
        <v/>
      </c>
      <c r="BM195" s="273" t="str">
        <f>IFERROR(IF(AVERAGE(BD195:BE195)&lt;&gt;0,AVERAGE(BD195:BE195),""),"")</f>
        <v/>
      </c>
    </row>
    <row r="196" spans="1:65" s="102" customFormat="1" ht="14.25" customHeight="1" outlineLevel="2" x14ac:dyDescent="0.2">
      <c r="A196" s="320" t="s">
        <v>226</v>
      </c>
      <c r="B196" s="347"/>
      <c r="C196" s="350"/>
      <c r="D196" s="344"/>
      <c r="E196" s="279" t="s">
        <v>25</v>
      </c>
      <c r="F196" s="58"/>
      <c r="G196" s="50"/>
      <c r="H196" s="50"/>
      <c r="I196" s="50"/>
      <c r="J196" s="50"/>
      <c r="K196" s="50"/>
      <c r="L196" s="50"/>
      <c r="M196" s="50"/>
      <c r="N196" s="50"/>
      <c r="O196" s="50"/>
      <c r="P196" s="50"/>
      <c r="Q196" s="59"/>
      <c r="R196" s="58"/>
      <c r="S196" s="50"/>
      <c r="T196" s="50"/>
      <c r="U196" s="50"/>
      <c r="V196" s="50"/>
      <c r="W196" s="50"/>
      <c r="X196" s="50"/>
      <c r="Y196" s="50"/>
      <c r="Z196" s="50"/>
      <c r="AA196" s="50"/>
      <c r="AB196" s="50"/>
      <c r="AC196" s="59"/>
      <c r="AD196" s="58"/>
      <c r="AE196" s="50"/>
      <c r="AF196" s="50"/>
      <c r="AG196" s="50"/>
      <c r="AH196" s="50"/>
      <c r="AI196" s="50"/>
      <c r="AJ196" s="50"/>
      <c r="AK196" s="50"/>
      <c r="AL196" s="50"/>
      <c r="AM196" s="50"/>
      <c r="AN196" s="50"/>
      <c r="AO196" s="59"/>
      <c r="AP196" s="229" t="str">
        <f>IFERROR(IF(SUM(F196:K196)&lt;&gt;0,SUM(F196:K196),""),"")</f>
        <v/>
      </c>
      <c r="AQ196" s="230" t="str">
        <f>IFERROR(IF(SUM(L196:Q196)&lt;&gt;0,SUM(L196:Q196),""),"")</f>
        <v/>
      </c>
      <c r="AR196" s="229" t="str">
        <f>IFERROR(IF(SUM(R196:W196)&lt;&gt;0,SUM(R196:W196),""),"")</f>
        <v/>
      </c>
      <c r="AS196" s="230" t="str">
        <f>IFERROR(IF(SUM(X196:AC196)&lt;&gt;0,SUM(X196:AC196),""),"")</f>
        <v/>
      </c>
      <c r="AT196" s="229" t="str">
        <f>IFERROR(IF(SUM(AD196:AI196)&lt;&gt;0,SUM(AD196:AI196),""),"")</f>
        <v/>
      </c>
      <c r="AU196" s="230" t="str">
        <f>IFERROR(IF(SUM(AJ196:AO196)&lt;&gt;0,SUM(AJ196:AO196),""),"")</f>
        <v/>
      </c>
      <c r="AV196" s="72"/>
      <c r="AW196" s="73"/>
      <c r="AX196" s="72"/>
      <c r="AY196" s="73"/>
      <c r="AZ196" s="72"/>
      <c r="BA196" s="73"/>
      <c r="BB196" s="72"/>
      <c r="BC196" s="73"/>
      <c r="BD196" s="72"/>
      <c r="BE196" s="266"/>
      <c r="BF196" s="286" t="e">
        <f t="shared" ref="BF196:BF199" si="900">IF(SUM(AP196,AQ196)&lt;&gt;0,SUM(AP196,AQ196),#N/A)</f>
        <v>#N/A</v>
      </c>
      <c r="BG196" s="286" t="e">
        <f t="shared" ref="BG196:BG199" si="901">IF(SUM(AR196,AS196)&lt;&gt;0,SUM(AR196,AS196),#N/A)</f>
        <v>#N/A</v>
      </c>
      <c r="BH196" s="286" t="e">
        <f t="shared" ref="BH196:BH199" si="902">IF(SUM(AT196,AU196)&lt;&gt;0,SUM(AT196,AU196),#N/A)</f>
        <v>#N/A</v>
      </c>
      <c r="BI196" s="286" t="e">
        <f t="shared" ref="BI196:BI199" si="903">IF(SUM(AV196,AW196)&lt;&gt;0,SUM(AV196,AW196),#N/A)</f>
        <v>#N/A</v>
      </c>
      <c r="BJ196" s="286" t="e">
        <f t="shared" ref="BJ196:BJ199" si="904">IF(SUM(AX196,AY196)&lt;&gt;0,SUM(AX196,AY196),#N/A)</f>
        <v>#N/A</v>
      </c>
      <c r="BK196" s="286" t="e">
        <f t="shared" ref="BK196:BK199" si="905">IF(SUM(AZ196,BA196)&lt;&gt;0,SUM(AZ196,BA196),#N/A)</f>
        <v>#N/A</v>
      </c>
      <c r="BL196" s="286" t="e">
        <f t="shared" ref="BL196:BL199" si="906">IF(SUM(BB196,BC196)&lt;&gt;0,SUM(BB196,BC196),#N/A)</f>
        <v>#N/A</v>
      </c>
      <c r="BM196" s="286" t="e">
        <f t="shared" ref="BM196:BM199" si="907">IF(SUM(BD196,BE196)&lt;&gt;0,SUM(BD196,BE196),#N/A)</f>
        <v>#N/A</v>
      </c>
    </row>
    <row r="197" spans="1:65" s="102" customFormat="1" ht="14.25" customHeight="1" outlineLevel="2" x14ac:dyDescent="0.2">
      <c r="A197" s="320" t="s">
        <v>226</v>
      </c>
      <c r="B197" s="347"/>
      <c r="C197" s="350"/>
      <c r="D197" s="344"/>
      <c r="E197" s="280" t="s">
        <v>26</v>
      </c>
      <c r="F197" s="60"/>
      <c r="G197" s="61"/>
      <c r="H197" s="61"/>
      <c r="I197" s="61"/>
      <c r="J197" s="61"/>
      <c r="K197" s="61"/>
      <c r="L197" s="61"/>
      <c r="M197" s="61"/>
      <c r="N197" s="61"/>
      <c r="O197" s="61"/>
      <c r="P197" s="61"/>
      <c r="Q197" s="62"/>
      <c r="R197" s="60"/>
      <c r="S197" s="61"/>
      <c r="T197" s="61"/>
      <c r="U197" s="61"/>
      <c r="V197" s="61"/>
      <c r="W197" s="61"/>
      <c r="X197" s="61"/>
      <c r="Y197" s="61"/>
      <c r="Z197" s="61"/>
      <c r="AA197" s="61"/>
      <c r="AB197" s="61"/>
      <c r="AC197" s="62"/>
      <c r="AD197" s="60"/>
      <c r="AE197" s="61"/>
      <c r="AF197" s="61"/>
      <c r="AG197" s="61"/>
      <c r="AH197" s="61"/>
      <c r="AI197" s="61"/>
      <c r="AJ197" s="61"/>
      <c r="AK197" s="61"/>
      <c r="AL197" s="61"/>
      <c r="AM197" s="61"/>
      <c r="AN197" s="61"/>
      <c r="AO197" s="62"/>
      <c r="AP197" s="231" t="str">
        <f>IFERROR(IF(SUM(F197:K197)&lt;&gt;0,SUM(F197:K197),""),"")</f>
        <v/>
      </c>
      <c r="AQ197" s="232" t="str">
        <f>IFERROR(IF(SUM(L197:Q197)&lt;&gt;0,SUM(L197:Q197),""),"")</f>
        <v/>
      </c>
      <c r="AR197" s="231" t="str">
        <f>IFERROR(IF(SUM(R197:W197)&lt;&gt;0,SUM(R197:W197),""),"")</f>
        <v/>
      </c>
      <c r="AS197" s="232" t="str">
        <f>IFERROR(IF(SUM(X197:AC197)&lt;&gt;0,SUM(X197:AC197),""),"")</f>
        <v/>
      </c>
      <c r="AT197" s="231" t="str">
        <f>IFERROR(IF(SUM(AD197:AI197)&lt;&gt;0,SUM(AD197:AI197),""),"")</f>
        <v/>
      </c>
      <c r="AU197" s="232" t="str">
        <f>IFERROR(IF(SUM(AJ197:AO197)&lt;&gt;0,SUM(AJ197:AO197),""),"")</f>
        <v/>
      </c>
      <c r="AV197" s="74"/>
      <c r="AW197" s="61"/>
      <c r="AX197" s="74"/>
      <c r="AY197" s="61"/>
      <c r="AZ197" s="74"/>
      <c r="BA197" s="61"/>
      <c r="BB197" s="74"/>
      <c r="BC197" s="61"/>
      <c r="BD197" s="74"/>
      <c r="BE197" s="267"/>
      <c r="BF197" s="287" t="e">
        <f t="shared" si="900"/>
        <v>#N/A</v>
      </c>
      <c r="BG197" s="287" t="e">
        <f t="shared" si="901"/>
        <v>#N/A</v>
      </c>
      <c r="BH197" s="287" t="e">
        <f t="shared" si="902"/>
        <v>#N/A</v>
      </c>
      <c r="BI197" s="287" t="e">
        <f t="shared" si="903"/>
        <v>#N/A</v>
      </c>
      <c r="BJ197" s="287" t="e">
        <f t="shared" si="904"/>
        <v>#N/A</v>
      </c>
      <c r="BK197" s="287" t="e">
        <f t="shared" si="905"/>
        <v>#N/A</v>
      </c>
      <c r="BL197" s="287" t="e">
        <f t="shared" si="906"/>
        <v>#N/A</v>
      </c>
      <c r="BM197" s="287" t="e">
        <f t="shared" si="907"/>
        <v>#N/A</v>
      </c>
    </row>
    <row r="198" spans="1:65" s="102" customFormat="1" ht="14.25" customHeight="1" outlineLevel="2" x14ac:dyDescent="0.2">
      <c r="A198" s="320" t="s">
        <v>226</v>
      </c>
      <c r="B198" s="347"/>
      <c r="C198" s="350"/>
      <c r="D198" s="344"/>
      <c r="E198" s="280" t="s">
        <v>27</v>
      </c>
      <c r="F198" s="60"/>
      <c r="G198" s="61"/>
      <c r="H198" s="61"/>
      <c r="I198" s="61"/>
      <c r="J198" s="61"/>
      <c r="K198" s="61"/>
      <c r="L198" s="61"/>
      <c r="M198" s="61"/>
      <c r="N198" s="61"/>
      <c r="O198" s="61"/>
      <c r="P198" s="61"/>
      <c r="Q198" s="62"/>
      <c r="R198" s="60"/>
      <c r="S198" s="61"/>
      <c r="T198" s="61"/>
      <c r="U198" s="61"/>
      <c r="V198" s="61"/>
      <c r="W198" s="61"/>
      <c r="X198" s="61"/>
      <c r="Y198" s="61"/>
      <c r="Z198" s="61"/>
      <c r="AA198" s="61"/>
      <c r="AB198" s="61"/>
      <c r="AC198" s="62"/>
      <c r="AD198" s="60"/>
      <c r="AE198" s="61"/>
      <c r="AF198" s="61"/>
      <c r="AG198" s="61"/>
      <c r="AH198" s="61"/>
      <c r="AI198" s="61"/>
      <c r="AJ198" s="61"/>
      <c r="AK198" s="61"/>
      <c r="AL198" s="61"/>
      <c r="AM198" s="61"/>
      <c r="AN198" s="61"/>
      <c r="AO198" s="62"/>
      <c r="AP198" s="231" t="str">
        <f>IFERROR(IF(SUM(F198:K198)&lt;&gt;0,SUM(F198:K198),""),"")</f>
        <v/>
      </c>
      <c r="AQ198" s="232" t="str">
        <f>IFERROR(IF(SUM(L198:Q198)&lt;&gt;0,SUM(L198:Q198),""),"")</f>
        <v/>
      </c>
      <c r="AR198" s="231" t="str">
        <f>IFERROR(IF(SUM(R198:W198)&lt;&gt;0,SUM(R198:W198),""),"")</f>
        <v/>
      </c>
      <c r="AS198" s="232" t="str">
        <f>IFERROR(IF(SUM(X198:AC198)&lt;&gt;0,SUM(X198:AC198),""),"")</f>
        <v/>
      </c>
      <c r="AT198" s="231" t="str">
        <f>IFERROR(IF(SUM(AD198:AI198)&lt;&gt;0,SUM(AD198:AI198),""),"")</f>
        <v/>
      </c>
      <c r="AU198" s="232" t="str">
        <f>IFERROR(IF(SUM(AJ198:AO198)&lt;&gt;0,SUM(AJ198:AO198),""),"")</f>
        <v/>
      </c>
      <c r="AV198" s="74"/>
      <c r="AW198" s="61"/>
      <c r="AX198" s="74"/>
      <c r="AY198" s="61"/>
      <c r="AZ198" s="74"/>
      <c r="BA198" s="61"/>
      <c r="BB198" s="74"/>
      <c r="BC198" s="61"/>
      <c r="BD198" s="74"/>
      <c r="BE198" s="267"/>
      <c r="BF198" s="287" t="e">
        <f t="shared" si="900"/>
        <v>#N/A</v>
      </c>
      <c r="BG198" s="287" t="e">
        <f t="shared" si="901"/>
        <v>#N/A</v>
      </c>
      <c r="BH198" s="287" t="e">
        <f t="shared" si="902"/>
        <v>#N/A</v>
      </c>
      <c r="BI198" s="287" t="e">
        <f t="shared" si="903"/>
        <v>#N/A</v>
      </c>
      <c r="BJ198" s="287" t="e">
        <f t="shared" si="904"/>
        <v>#N/A</v>
      </c>
      <c r="BK198" s="287" t="e">
        <f t="shared" si="905"/>
        <v>#N/A</v>
      </c>
      <c r="BL198" s="287" t="e">
        <f t="shared" si="906"/>
        <v>#N/A</v>
      </c>
      <c r="BM198" s="287" t="e">
        <f t="shared" si="907"/>
        <v>#N/A</v>
      </c>
    </row>
    <row r="199" spans="1:65" s="102" customFormat="1" ht="15" customHeight="1" outlineLevel="2" thickBot="1" x14ac:dyDescent="0.25">
      <c r="A199" s="320" t="s">
        <v>226</v>
      </c>
      <c r="B199" s="347"/>
      <c r="C199" s="350"/>
      <c r="D199" s="344"/>
      <c r="E199" s="281" t="s">
        <v>88</v>
      </c>
      <c r="F199" s="63"/>
      <c r="G199" s="48"/>
      <c r="H199" s="48"/>
      <c r="I199" s="48"/>
      <c r="J199" s="48"/>
      <c r="K199" s="48"/>
      <c r="L199" s="48"/>
      <c r="M199" s="48"/>
      <c r="N199" s="48"/>
      <c r="O199" s="48"/>
      <c r="P199" s="48"/>
      <c r="Q199" s="51"/>
      <c r="R199" s="63"/>
      <c r="S199" s="48"/>
      <c r="T199" s="48"/>
      <c r="U199" s="48"/>
      <c r="V199" s="48"/>
      <c r="W199" s="48"/>
      <c r="X199" s="48"/>
      <c r="Y199" s="48"/>
      <c r="Z199" s="48"/>
      <c r="AA199" s="48"/>
      <c r="AB199" s="48"/>
      <c r="AC199" s="51"/>
      <c r="AD199" s="63"/>
      <c r="AE199" s="48"/>
      <c r="AF199" s="48"/>
      <c r="AG199" s="48"/>
      <c r="AH199" s="48"/>
      <c r="AI199" s="48"/>
      <c r="AJ199" s="48"/>
      <c r="AK199" s="48"/>
      <c r="AL199" s="48"/>
      <c r="AM199" s="48"/>
      <c r="AN199" s="48"/>
      <c r="AO199" s="51"/>
      <c r="AP199" s="233" t="str">
        <f>IFERROR(IF(SUM(F199:K199)&lt;&gt;0,SUM(F199:K199),""),"")</f>
        <v/>
      </c>
      <c r="AQ199" s="234" t="str">
        <f>IFERROR(IF(SUM(L199:Q199)&lt;&gt;0,SUM(L199:Q199),""),"")</f>
        <v/>
      </c>
      <c r="AR199" s="233" t="str">
        <f>IFERROR(IF(SUM(R199:W199)&lt;&gt;0,SUM(R199:W199),""),"")</f>
        <v/>
      </c>
      <c r="AS199" s="234" t="str">
        <f>IFERROR(IF(SUM(X199:AC199)&lt;&gt;0,SUM(X199:AC199),""),"")</f>
        <v/>
      </c>
      <c r="AT199" s="233" t="str">
        <f>IFERROR(IF(SUM(AD199:AI199)&lt;&gt;0,SUM(AD199:AI199),""),"")</f>
        <v/>
      </c>
      <c r="AU199" s="234" t="str">
        <f>IFERROR(IF(SUM(AJ199:AO199)&lt;&gt;0,SUM(AJ199:AO199),""),"")</f>
        <v/>
      </c>
      <c r="AV199" s="75"/>
      <c r="AW199" s="76"/>
      <c r="AX199" s="75"/>
      <c r="AY199" s="76"/>
      <c r="AZ199" s="75"/>
      <c r="BA199" s="76"/>
      <c r="BB199" s="75"/>
      <c r="BC199" s="76"/>
      <c r="BD199" s="75"/>
      <c r="BE199" s="268"/>
      <c r="BF199" s="271" t="e">
        <f t="shared" si="900"/>
        <v>#N/A</v>
      </c>
      <c r="BG199" s="271" t="e">
        <f t="shared" si="901"/>
        <v>#N/A</v>
      </c>
      <c r="BH199" s="271" t="e">
        <f t="shared" si="902"/>
        <v>#N/A</v>
      </c>
      <c r="BI199" s="271" t="e">
        <f t="shared" si="903"/>
        <v>#N/A</v>
      </c>
      <c r="BJ199" s="271" t="e">
        <f t="shared" si="904"/>
        <v>#N/A</v>
      </c>
      <c r="BK199" s="271" t="e">
        <f t="shared" si="905"/>
        <v>#N/A</v>
      </c>
      <c r="BL199" s="271" t="e">
        <f t="shared" si="906"/>
        <v>#N/A</v>
      </c>
      <c r="BM199" s="271" t="e">
        <f t="shared" si="907"/>
        <v>#N/A</v>
      </c>
    </row>
    <row r="200" spans="1:65" s="102" customFormat="1" ht="14.25" customHeight="1" outlineLevel="2" x14ac:dyDescent="0.2">
      <c r="A200" s="320" t="s">
        <v>226</v>
      </c>
      <c r="B200" s="347"/>
      <c r="C200" s="350"/>
      <c r="D200" s="344"/>
      <c r="E200" s="279" t="s">
        <v>32</v>
      </c>
      <c r="F200" s="64"/>
      <c r="G200" s="65"/>
      <c r="H200" s="65"/>
      <c r="I200" s="65"/>
      <c r="J200" s="65"/>
      <c r="K200" s="65"/>
      <c r="L200" s="65"/>
      <c r="M200" s="65"/>
      <c r="N200" s="65"/>
      <c r="O200" s="65"/>
      <c r="P200" s="65"/>
      <c r="Q200" s="66"/>
      <c r="R200" s="64"/>
      <c r="S200" s="65"/>
      <c r="T200" s="65"/>
      <c r="U200" s="65"/>
      <c r="V200" s="65"/>
      <c r="W200" s="65"/>
      <c r="X200" s="65"/>
      <c r="Y200" s="65"/>
      <c r="Z200" s="65"/>
      <c r="AA200" s="65"/>
      <c r="AB200" s="65"/>
      <c r="AC200" s="66"/>
      <c r="AD200" s="64"/>
      <c r="AE200" s="65"/>
      <c r="AF200" s="65"/>
      <c r="AG200" s="65"/>
      <c r="AH200" s="65"/>
      <c r="AI200" s="65"/>
      <c r="AJ200" s="65"/>
      <c r="AK200" s="65"/>
      <c r="AL200" s="65"/>
      <c r="AM200" s="65"/>
      <c r="AN200" s="65"/>
      <c r="AO200" s="66"/>
      <c r="AP200" s="32" t="str">
        <f>IFERROR(IF(AVERAGE(F200:K200)&lt;&gt;0,AVERAGE(F200:K200),""),"")</f>
        <v/>
      </c>
      <c r="AQ200" s="235" t="str">
        <f>IFERROR(IF(AVERAGE(L200:Q200)&lt;&gt;0,AVERAGE(L200:Q200),""),"")</f>
        <v/>
      </c>
      <c r="AR200" s="32" t="str">
        <f>IFERROR(IF(AVERAGE(R200:W200)&lt;&gt;0,AVERAGE(R200:W200),""),"")</f>
        <v/>
      </c>
      <c r="AS200" s="235" t="str">
        <f>IFERROR(IF(AVERAGE(X200:AC200)&lt;&gt;0,AVERAGE(X200:AC200),""),"")</f>
        <v/>
      </c>
      <c r="AT200" s="32" t="str">
        <f>IFERROR(IF(AVERAGE(AD200:AI200)&lt;&gt;0,AVERAGE(AD200:AI200),""),"")</f>
        <v/>
      </c>
      <c r="AU200" s="235" t="str">
        <f>IFERROR(IF(AVERAGE(AJ200:AO200)&lt;&gt;0,AVERAGE(AJ200:AO200),""),"")</f>
        <v/>
      </c>
      <c r="AV200" s="77"/>
      <c r="AW200" s="65"/>
      <c r="AX200" s="77"/>
      <c r="AY200" s="65"/>
      <c r="AZ200" s="77"/>
      <c r="BA200" s="65"/>
      <c r="BB200" s="77"/>
      <c r="BC200" s="65"/>
      <c r="BD200" s="77"/>
      <c r="BE200" s="269"/>
      <c r="BF200" s="272" t="str">
        <f>IFERROR(IF(AVERAGE(AP200:AQ200)&lt;&gt;0,AVERAGE(AP200:AQ200),""),"")</f>
        <v/>
      </c>
      <c r="BG200" s="272" t="str">
        <f>IFERROR(IF(AVERAGE(AR200:AS200)&lt;&gt;0,AVERAGE(AR200:AS200),""),"")</f>
        <v/>
      </c>
      <c r="BH200" s="272" t="str">
        <f>IFERROR(IF(AVERAGE(AT200:AU200)&lt;&gt;0,AVERAGE(AT200:AU200),""),"")</f>
        <v/>
      </c>
      <c r="BI200" s="272" t="str">
        <f>IFERROR(IF(AVERAGE(AV200:AW200)&lt;&gt;0,AVERAGE(AV200:AW200),""),"")</f>
        <v/>
      </c>
      <c r="BJ200" s="272" t="str">
        <f>IFERROR(IF(AVERAGE(AX200:AY200)&lt;&gt;0,AVERAGE(AX200:AY200),""),"")</f>
        <v/>
      </c>
      <c r="BK200" s="272" t="str">
        <f>IFERROR(IF(AVERAGE(AZ200:BA200)&lt;&gt;0,AVERAGE(AZ200:BA200),""),"")</f>
        <v/>
      </c>
      <c r="BL200" s="272" t="str">
        <f>IFERROR(IF(AVERAGE(BB200:BC200)&lt;&gt;0,AVERAGE(BB200:BC200),""),"")</f>
        <v/>
      </c>
      <c r="BM200" s="272" t="str">
        <f>IFERROR(IF(AVERAGE(BD200:BE200)&lt;&gt;0,AVERAGE(BD200:BE200),""),"")</f>
        <v/>
      </c>
    </row>
    <row r="201" spans="1:65" s="102" customFormat="1" ht="15" customHeight="1" outlineLevel="2" thickBot="1" x14ac:dyDescent="0.25">
      <c r="A201" s="320" t="s">
        <v>226</v>
      </c>
      <c r="B201" s="347"/>
      <c r="C201" s="350"/>
      <c r="D201" s="344"/>
      <c r="E201" s="281" t="s">
        <v>2</v>
      </c>
      <c r="F201" s="67"/>
      <c r="G201" s="68"/>
      <c r="H201" s="68"/>
      <c r="I201" s="68"/>
      <c r="J201" s="68"/>
      <c r="K201" s="68"/>
      <c r="L201" s="68"/>
      <c r="M201" s="68"/>
      <c r="N201" s="68"/>
      <c r="O201" s="68"/>
      <c r="P201" s="68"/>
      <c r="Q201" s="69"/>
      <c r="R201" s="67"/>
      <c r="S201" s="68"/>
      <c r="T201" s="68"/>
      <c r="U201" s="68"/>
      <c r="V201" s="68"/>
      <c r="W201" s="68"/>
      <c r="X201" s="68"/>
      <c r="Y201" s="68"/>
      <c r="Z201" s="68"/>
      <c r="AA201" s="68"/>
      <c r="AB201" s="68"/>
      <c r="AC201" s="69"/>
      <c r="AD201" s="67"/>
      <c r="AE201" s="68"/>
      <c r="AF201" s="68"/>
      <c r="AG201" s="68"/>
      <c r="AH201" s="68"/>
      <c r="AI201" s="68"/>
      <c r="AJ201" s="68"/>
      <c r="AK201" s="68"/>
      <c r="AL201" s="68"/>
      <c r="AM201" s="68"/>
      <c r="AN201" s="68"/>
      <c r="AO201" s="69"/>
      <c r="AP201" s="236" t="str">
        <f>IFERROR(IF(AVERAGE(F201:K201)&lt;&gt;0,AVERAGE(F201:K201),""),"")</f>
        <v/>
      </c>
      <c r="AQ201" s="237" t="str">
        <f>IFERROR(IF(AVERAGE(L201:Q201)&lt;&gt;0,AVERAGE(L201:Q201),""),"")</f>
        <v/>
      </c>
      <c r="AR201" s="236" t="str">
        <f>IFERROR(IF(AVERAGE(R201:W201)&lt;&gt;0,AVERAGE(R201:W201),""),"")</f>
        <v/>
      </c>
      <c r="AS201" s="237" t="str">
        <f>IFERROR(IF(AVERAGE(X201:AC201)&lt;&gt;0,AVERAGE(X201:AC201),""),"")</f>
        <v/>
      </c>
      <c r="AT201" s="236" t="str">
        <f>IFERROR(IF(AVERAGE(AD201:AI201)&lt;&gt;0,AVERAGE(AD201:AI201),""),"")</f>
        <v/>
      </c>
      <c r="AU201" s="237" t="str">
        <f>IFERROR(IF(AVERAGE(AJ201:AO201)&lt;&gt;0,AVERAGE(AJ201:AO201),""),"")</f>
        <v/>
      </c>
      <c r="AV201" s="78"/>
      <c r="AW201" s="68"/>
      <c r="AX201" s="78"/>
      <c r="AY201" s="68"/>
      <c r="AZ201" s="78"/>
      <c r="BA201" s="68"/>
      <c r="BB201" s="78"/>
      <c r="BC201" s="68"/>
      <c r="BD201" s="78"/>
      <c r="BE201" s="270"/>
      <c r="BF201" s="288" t="str">
        <f>IFERROR(IF(AVERAGE(AP201:AQ201)&lt;&gt;0,AVERAGE(AP201:AQ201),""),"")</f>
        <v/>
      </c>
      <c r="BG201" s="288" t="str">
        <f>IFERROR(IF(AVERAGE(AR201:AS201)&lt;&gt;0,AVERAGE(AR201:AS201),""),"")</f>
        <v/>
      </c>
      <c r="BH201" s="288" t="str">
        <f>IFERROR(IF(AVERAGE(AT201:AU201)&lt;&gt;0,AVERAGE(AT201:AU201),""),"")</f>
        <v/>
      </c>
      <c r="BI201" s="288" t="str">
        <f>IFERROR(IF(AVERAGE(AV201:AW201)&lt;&gt;0,AVERAGE(AV201:AW201),""),"")</f>
        <v/>
      </c>
      <c r="BJ201" s="288" t="str">
        <f>IFERROR(IF(AVERAGE(AX201:AY201)&lt;&gt;0,AVERAGE(AX201:AY201),""),"")</f>
        <v/>
      </c>
      <c r="BK201" s="288" t="str">
        <f>IFERROR(IF(AVERAGE(AZ201:BA201)&lt;&gt;0,AVERAGE(AZ201:BA201),""),"")</f>
        <v/>
      </c>
      <c r="BL201" s="288" t="str">
        <f>IFERROR(IF(AVERAGE(BB201:BC201)&lt;&gt;0,AVERAGE(BB201:BC201),""),"")</f>
        <v/>
      </c>
      <c r="BM201" s="288" t="str">
        <f>IFERROR(IF(AVERAGE(BD201:BE201)&lt;&gt;0,AVERAGE(BD201:BE201),""),"")</f>
        <v/>
      </c>
    </row>
    <row r="202" spans="1:65" s="102" customFormat="1" ht="14.25" customHeight="1" outlineLevel="1" x14ac:dyDescent="0.2">
      <c r="A202" s="320" t="s">
        <v>226</v>
      </c>
      <c r="B202" s="347"/>
      <c r="C202" s="350"/>
      <c r="D202" s="344"/>
      <c r="E202" s="282" t="s">
        <v>228</v>
      </c>
      <c r="F202" s="283" t="str">
        <f ca="1">IF(IFERROR((F$11*(F194-SUM(F196:F199)/F$11)*F201*3600)/(F200),"")&gt;0,IFERROR((F$11*(F194-SUM(F196:F199)/F$11)*F201*3600)/(F200),""),"")</f>
        <v/>
      </c>
      <c r="G202" s="284" t="str">
        <f t="shared" ref="G202:AO202" ca="1" si="908">IF(IFERROR((G$11*(G194-SUM(G196:G199)/G$11)*G201*3600)/(G200),"")&gt;0,IFERROR((G$11*(G194-SUM(G196:G199)/G$11)*G201*3600)/(G200),""),"")</f>
        <v/>
      </c>
      <c r="H202" s="284" t="str">
        <f t="shared" ca="1" si="908"/>
        <v/>
      </c>
      <c r="I202" s="284" t="str">
        <f t="shared" ca="1" si="908"/>
        <v/>
      </c>
      <c r="J202" s="284" t="str">
        <f t="shared" ca="1" si="908"/>
        <v/>
      </c>
      <c r="K202" s="284" t="str">
        <f t="shared" ca="1" si="908"/>
        <v/>
      </c>
      <c r="L202" s="284" t="str">
        <f t="shared" ca="1" si="908"/>
        <v/>
      </c>
      <c r="M202" s="284" t="str">
        <f t="shared" ca="1" si="908"/>
        <v/>
      </c>
      <c r="N202" s="284" t="str">
        <f t="shared" ca="1" si="908"/>
        <v/>
      </c>
      <c r="O202" s="284" t="str">
        <f t="shared" ca="1" si="908"/>
        <v/>
      </c>
      <c r="P202" s="284" t="str">
        <f t="shared" ca="1" si="908"/>
        <v/>
      </c>
      <c r="Q202" s="284" t="str">
        <f t="shared" ca="1" si="908"/>
        <v/>
      </c>
      <c r="R202" s="283" t="str">
        <f t="shared" ca="1" si="908"/>
        <v/>
      </c>
      <c r="S202" s="284" t="str">
        <f t="shared" ca="1" si="908"/>
        <v/>
      </c>
      <c r="T202" s="284" t="str">
        <f t="shared" ca="1" si="908"/>
        <v/>
      </c>
      <c r="U202" s="284" t="str">
        <f t="shared" ca="1" si="908"/>
        <v/>
      </c>
      <c r="V202" s="284" t="str">
        <f t="shared" ca="1" si="908"/>
        <v/>
      </c>
      <c r="W202" s="284" t="str">
        <f t="shared" ca="1" si="908"/>
        <v/>
      </c>
      <c r="X202" s="284" t="str">
        <f t="shared" ca="1" si="908"/>
        <v/>
      </c>
      <c r="Y202" s="284" t="str">
        <f t="shared" ca="1" si="908"/>
        <v/>
      </c>
      <c r="Z202" s="284" t="str">
        <f t="shared" ca="1" si="908"/>
        <v/>
      </c>
      <c r="AA202" s="284" t="str">
        <f t="shared" ca="1" si="908"/>
        <v/>
      </c>
      <c r="AB202" s="284" t="str">
        <f t="shared" ca="1" si="908"/>
        <v/>
      </c>
      <c r="AC202" s="284" t="str">
        <f t="shared" ca="1" si="908"/>
        <v/>
      </c>
      <c r="AD202" s="283" t="str">
        <f t="shared" ca="1" si="908"/>
        <v/>
      </c>
      <c r="AE202" s="284" t="str">
        <f t="shared" ca="1" si="908"/>
        <v/>
      </c>
      <c r="AF202" s="284" t="str">
        <f t="shared" ca="1" si="908"/>
        <v/>
      </c>
      <c r="AG202" s="284" t="str">
        <f t="shared" ca="1" si="908"/>
        <v/>
      </c>
      <c r="AH202" s="284" t="str">
        <f t="shared" ca="1" si="908"/>
        <v/>
      </c>
      <c r="AI202" s="284" t="str">
        <f t="shared" ca="1" si="908"/>
        <v/>
      </c>
      <c r="AJ202" s="284" t="str">
        <f t="shared" ca="1" si="908"/>
        <v/>
      </c>
      <c r="AK202" s="284" t="str">
        <f t="shared" ca="1" si="908"/>
        <v/>
      </c>
      <c r="AL202" s="284" t="str">
        <f t="shared" ca="1" si="908"/>
        <v/>
      </c>
      <c r="AM202" s="284" t="str">
        <f t="shared" ca="1" si="908"/>
        <v/>
      </c>
      <c r="AN202" s="284" t="str">
        <f t="shared" ca="1" si="908"/>
        <v/>
      </c>
      <c r="AO202" s="284" t="str">
        <f t="shared" ca="1" si="908"/>
        <v/>
      </c>
      <c r="AP202" s="283" t="e">
        <f t="shared" ref="AP202:AP203" ca="1" si="909">IF(SUM(F202:K202)&lt;&gt;0,SUM(F202:K202),#N/A)</f>
        <v>#N/A</v>
      </c>
      <c r="AQ202" s="284" t="e">
        <f t="shared" ref="AQ202:AQ203" ca="1" si="910">IF(SUM(L202:Q202)&lt;&gt;0,SUM(L202:Q202),#N/A)</f>
        <v>#N/A</v>
      </c>
      <c r="AR202" s="283" t="e">
        <f t="shared" ref="AR202:AR203" ca="1" si="911">IF(SUM(R202:W202)&lt;&gt;0,SUM(R202:W202),#N/A)</f>
        <v>#N/A</v>
      </c>
      <c r="AS202" s="284" t="e">
        <f t="shared" ref="AS202:AS203" ca="1" si="912">IF(SUM(X202:AC202)&lt;&gt;0,SUM(X202:AC202),#N/A)</f>
        <v>#N/A</v>
      </c>
      <c r="AT202" s="283" t="e">
        <f t="shared" ref="AT202:AT203" ca="1" si="913">IF(SUM(AD202:AI202)&lt;&gt;0,SUM(AD202:AI202),#N/A)</f>
        <v>#N/A</v>
      </c>
      <c r="AU202" s="284" t="e">
        <f t="shared" ref="AU202:AU203" ca="1" si="914">IF(SUM(AJ202:AO202)&lt;&gt;0,SUM(AJ202:AO202),#N/A)</f>
        <v>#N/A</v>
      </c>
      <c r="AV202" s="283" t="str">
        <f ca="1">IF(IFERROR((AV$11*(AV194-SUM(AV196:AV199)/AV$11)*AV201*3600)/(AV200),"")&lt;&gt;0,IFERROR((AV$11*(AV194-SUM(AV196:AV199)/AV$11)*AV201*3600)/(AV200),""),"")</f>
        <v/>
      </c>
      <c r="AW202" s="284" t="str">
        <f t="shared" ref="AW202:BE202" ca="1" si="915">IF(IFERROR((AW$11*(AW194-SUM(AW196:AW199)/AW$11)*AW201*3600)/(AW200),"")&lt;&gt;0,IFERROR((AW$11*(AW194-SUM(AW196:AW199)/AW$11)*AW201*3600)/(AW200),""),"")</f>
        <v/>
      </c>
      <c r="AX202" s="283" t="str">
        <f t="shared" ca="1" si="915"/>
        <v/>
      </c>
      <c r="AY202" s="284" t="str">
        <f t="shared" ca="1" si="915"/>
        <v/>
      </c>
      <c r="AZ202" s="283" t="str">
        <f t="shared" ca="1" si="915"/>
        <v/>
      </c>
      <c r="BA202" s="284" t="str">
        <f t="shared" ca="1" si="915"/>
        <v/>
      </c>
      <c r="BB202" s="283" t="str">
        <f t="shared" ca="1" si="915"/>
        <v/>
      </c>
      <c r="BC202" s="284" t="str">
        <f t="shared" ca="1" si="915"/>
        <v/>
      </c>
      <c r="BD202" s="283" t="str">
        <f t="shared" ca="1" si="915"/>
        <v/>
      </c>
      <c r="BE202" s="285" t="str">
        <f t="shared" ca="1" si="915"/>
        <v/>
      </c>
      <c r="BF202" s="285" t="e">
        <f t="shared" ref="BF202:BF204" ca="1" si="916">IF(SUM(AP202,AQ202)&lt;&gt;0,SUM(AP202,AQ202),#N/A)</f>
        <v>#N/A</v>
      </c>
      <c r="BG202" s="285" t="e">
        <f t="shared" ref="BG202:BG204" ca="1" si="917">IF(SUM(AR202,AS202)&lt;&gt;0,SUM(AR202,AS202),#N/A)</f>
        <v>#N/A</v>
      </c>
      <c r="BH202" s="285" t="e">
        <f t="shared" ref="BH202:BH204" ca="1" si="918">IF(SUM(AT202,AU202)&lt;&gt;0,SUM(AT202,AU202),#N/A)</f>
        <v>#N/A</v>
      </c>
      <c r="BI202" s="285" t="e">
        <f t="shared" ref="BI202:BI204" ca="1" si="919">IF(SUM(AV202,AW202)&lt;&gt;0,SUM(AV202,AW202),#N/A)</f>
        <v>#N/A</v>
      </c>
      <c r="BJ202" s="285" t="e">
        <f t="shared" ref="BJ202:BJ204" ca="1" si="920">IF(SUM(AX202,AY202)&lt;&gt;0,SUM(AX202,AY202),#N/A)</f>
        <v>#N/A</v>
      </c>
      <c r="BK202" s="285" t="e">
        <f t="shared" ref="BK202:BK204" ca="1" si="921">IF(SUM(AZ202,BA202)&lt;&gt;0,SUM(AZ202,BA202),#N/A)</f>
        <v>#N/A</v>
      </c>
      <c r="BL202" s="285" t="e">
        <f t="shared" ref="BL202:BL204" ca="1" si="922">IF(SUM(BB202,BC202)&lt;&gt;0,SUM(BB202,BC202),#N/A)</f>
        <v>#N/A</v>
      </c>
      <c r="BM202" s="285" t="e">
        <f t="shared" ref="BM202:BM204" ca="1" si="923">IF(SUM(BD202,BE202)&lt;&gt;0,SUM(BD202,BE202),#N/A)</f>
        <v>#N/A</v>
      </c>
    </row>
    <row r="203" spans="1:65" s="102" customFormat="1" ht="15" customHeight="1" outlineLevel="1" thickBot="1" x14ac:dyDescent="0.25">
      <c r="A203" s="320" t="s">
        <v>226</v>
      </c>
      <c r="B203" s="348"/>
      <c r="C203" s="351"/>
      <c r="D203" s="345"/>
      <c r="E203" s="104" t="s">
        <v>225</v>
      </c>
      <c r="F203" s="36" t="str">
        <f ca="1">IFERROR(F202+((F193*F195*F201*3600)/(F200)),"")</f>
        <v/>
      </c>
      <c r="G203" s="37" t="str">
        <f t="shared" ref="G203:AO203" ca="1" si="924">IFERROR(G202+((G193*G195*G201*3600)/(G200)),"")</f>
        <v/>
      </c>
      <c r="H203" s="37" t="str">
        <f t="shared" ca="1" si="924"/>
        <v/>
      </c>
      <c r="I203" s="37" t="str">
        <f t="shared" ca="1" si="924"/>
        <v/>
      </c>
      <c r="J203" s="37" t="str">
        <f t="shared" ca="1" si="924"/>
        <v/>
      </c>
      <c r="K203" s="37" t="str">
        <f t="shared" ca="1" si="924"/>
        <v/>
      </c>
      <c r="L203" s="37" t="str">
        <f t="shared" ca="1" si="924"/>
        <v/>
      </c>
      <c r="M203" s="37" t="str">
        <f t="shared" ca="1" si="924"/>
        <v/>
      </c>
      <c r="N203" s="37" t="str">
        <f t="shared" ca="1" si="924"/>
        <v/>
      </c>
      <c r="O203" s="37" t="str">
        <f t="shared" ca="1" si="924"/>
        <v/>
      </c>
      <c r="P203" s="37" t="str">
        <f t="shared" ca="1" si="924"/>
        <v/>
      </c>
      <c r="Q203" s="37" t="str">
        <f t="shared" ca="1" si="924"/>
        <v/>
      </c>
      <c r="R203" s="36" t="str">
        <f t="shared" ca="1" si="924"/>
        <v/>
      </c>
      <c r="S203" s="37" t="str">
        <f t="shared" ca="1" si="924"/>
        <v/>
      </c>
      <c r="T203" s="37" t="str">
        <f t="shared" ca="1" si="924"/>
        <v/>
      </c>
      <c r="U203" s="37" t="str">
        <f t="shared" ca="1" si="924"/>
        <v/>
      </c>
      <c r="V203" s="37" t="str">
        <f t="shared" ca="1" si="924"/>
        <v/>
      </c>
      <c r="W203" s="37" t="str">
        <f t="shared" ca="1" si="924"/>
        <v/>
      </c>
      <c r="X203" s="37" t="str">
        <f t="shared" ca="1" si="924"/>
        <v/>
      </c>
      <c r="Y203" s="37" t="str">
        <f t="shared" ca="1" si="924"/>
        <v/>
      </c>
      <c r="Z203" s="37" t="str">
        <f t="shared" ca="1" si="924"/>
        <v/>
      </c>
      <c r="AA203" s="37" t="str">
        <f t="shared" ca="1" si="924"/>
        <v/>
      </c>
      <c r="AB203" s="37" t="str">
        <f t="shared" ca="1" si="924"/>
        <v/>
      </c>
      <c r="AC203" s="37" t="str">
        <f t="shared" ca="1" si="924"/>
        <v/>
      </c>
      <c r="AD203" s="36" t="str">
        <f t="shared" ca="1" si="924"/>
        <v/>
      </c>
      <c r="AE203" s="37" t="str">
        <f t="shared" ca="1" si="924"/>
        <v/>
      </c>
      <c r="AF203" s="37" t="str">
        <f t="shared" ca="1" si="924"/>
        <v/>
      </c>
      <c r="AG203" s="37" t="str">
        <f t="shared" ca="1" si="924"/>
        <v/>
      </c>
      <c r="AH203" s="37" t="str">
        <f t="shared" ca="1" si="924"/>
        <v/>
      </c>
      <c r="AI203" s="37" t="str">
        <f t="shared" ca="1" si="924"/>
        <v/>
      </c>
      <c r="AJ203" s="37" t="str">
        <f t="shared" ca="1" si="924"/>
        <v/>
      </c>
      <c r="AK203" s="37" t="str">
        <f t="shared" ca="1" si="924"/>
        <v/>
      </c>
      <c r="AL203" s="37" t="str">
        <f t="shared" ca="1" si="924"/>
        <v/>
      </c>
      <c r="AM203" s="37" t="str">
        <f t="shared" ca="1" si="924"/>
        <v/>
      </c>
      <c r="AN203" s="37" t="str">
        <f t="shared" ca="1" si="924"/>
        <v/>
      </c>
      <c r="AO203" s="37" t="str">
        <f t="shared" ca="1" si="924"/>
        <v/>
      </c>
      <c r="AP203" s="36" t="e">
        <f t="shared" ca="1" si="909"/>
        <v>#N/A</v>
      </c>
      <c r="AQ203" s="37" t="e">
        <f t="shared" ca="1" si="910"/>
        <v>#N/A</v>
      </c>
      <c r="AR203" s="36" t="e">
        <f t="shared" ca="1" si="911"/>
        <v>#N/A</v>
      </c>
      <c r="AS203" s="37" t="e">
        <f t="shared" ca="1" si="912"/>
        <v>#N/A</v>
      </c>
      <c r="AT203" s="36" t="e">
        <f t="shared" ca="1" si="913"/>
        <v>#N/A</v>
      </c>
      <c r="AU203" s="37" t="e">
        <f t="shared" ca="1" si="914"/>
        <v>#N/A</v>
      </c>
      <c r="AV203" s="36" t="str">
        <f t="shared" ref="AV203:BE203" ca="1" si="925">IFERROR(AV202+((AV193*AV195*AV201*3600)/(AV200)),"")</f>
        <v/>
      </c>
      <c r="AW203" s="37" t="str">
        <f t="shared" ca="1" si="925"/>
        <v/>
      </c>
      <c r="AX203" s="36" t="str">
        <f t="shared" ca="1" si="925"/>
        <v/>
      </c>
      <c r="AY203" s="37" t="str">
        <f t="shared" ca="1" si="925"/>
        <v/>
      </c>
      <c r="AZ203" s="36" t="str">
        <f t="shared" ca="1" si="925"/>
        <v/>
      </c>
      <c r="BA203" s="37" t="str">
        <f t="shared" ca="1" si="925"/>
        <v/>
      </c>
      <c r="BB203" s="36" t="str">
        <f t="shared" ca="1" si="925"/>
        <v/>
      </c>
      <c r="BC203" s="37" t="str">
        <f t="shared" ca="1" si="925"/>
        <v/>
      </c>
      <c r="BD203" s="36" t="str">
        <f t="shared" ca="1" si="925"/>
        <v/>
      </c>
      <c r="BE203" s="43" t="str">
        <f t="shared" ca="1" si="925"/>
        <v/>
      </c>
      <c r="BF203" s="43" t="e">
        <f t="shared" ca="1" si="916"/>
        <v>#N/A</v>
      </c>
      <c r="BG203" s="43" t="e">
        <f t="shared" ca="1" si="917"/>
        <v>#N/A</v>
      </c>
      <c r="BH203" s="43" t="e">
        <f t="shared" ca="1" si="918"/>
        <v>#N/A</v>
      </c>
      <c r="BI203" s="43" t="e">
        <f t="shared" ca="1" si="919"/>
        <v>#N/A</v>
      </c>
      <c r="BJ203" s="43" t="e">
        <f t="shared" ca="1" si="920"/>
        <v>#N/A</v>
      </c>
      <c r="BK203" s="43" t="e">
        <f t="shared" ca="1" si="921"/>
        <v>#N/A</v>
      </c>
      <c r="BL203" s="43" t="e">
        <f t="shared" ca="1" si="922"/>
        <v>#N/A</v>
      </c>
      <c r="BM203" s="43" t="e">
        <f t="shared" ca="1" si="923"/>
        <v>#N/A</v>
      </c>
    </row>
    <row r="204" spans="1:65" s="102" customFormat="1" ht="22.5" outlineLevel="2" x14ac:dyDescent="0.2">
      <c r="A204" s="320" t="s">
        <v>226</v>
      </c>
      <c r="B204" s="346"/>
      <c r="C204" s="349" t="str">
        <f t="shared" ref="C204" si="926">IF(AND($B204&lt;&gt;0,$C$9&lt;&gt;0),$C$9,"")</f>
        <v/>
      </c>
      <c r="D204" s="343"/>
      <c r="E204" s="277" t="s">
        <v>40</v>
      </c>
      <c r="F204" s="33">
        <f ca="1">IF(F$11-(SUM(F208:F211)/24)=0,"",F$11-(SUM(F208:F211)/24))</f>
        <v>27</v>
      </c>
      <c r="G204" s="34">
        <f t="shared" ref="G204:AO204" ca="1" si="927">IF(G$11-(SUM(G208:G211)/24)=0,"",G$11-(SUM(G208:G211)/24))</f>
        <v>24</v>
      </c>
      <c r="H204" s="34">
        <f t="shared" ca="1" si="927"/>
        <v>26</v>
      </c>
      <c r="I204" s="34">
        <f t="shared" ca="1" si="927"/>
        <v>26</v>
      </c>
      <c r="J204" s="34">
        <f t="shared" ca="1" si="927"/>
        <v>27</v>
      </c>
      <c r="K204" s="34">
        <f t="shared" ca="1" si="927"/>
        <v>25</v>
      </c>
      <c r="L204" s="34">
        <f t="shared" ca="1" si="927"/>
        <v>27</v>
      </c>
      <c r="M204" s="34">
        <f t="shared" ca="1" si="927"/>
        <v>26</v>
      </c>
      <c r="N204" s="34">
        <f t="shared" ca="1" si="927"/>
        <v>26</v>
      </c>
      <c r="O204" s="34">
        <f t="shared" ca="1" si="927"/>
        <v>27</v>
      </c>
      <c r="P204" s="34">
        <f t="shared" ca="1" si="927"/>
        <v>25</v>
      </c>
      <c r="Q204" s="34">
        <f t="shared" ca="1" si="927"/>
        <v>27</v>
      </c>
      <c r="R204" s="32">
        <f t="shared" ca="1" si="927"/>
        <v>27</v>
      </c>
      <c r="S204" s="29">
        <f t="shared" ca="1" si="927"/>
        <v>24</v>
      </c>
      <c r="T204" s="29">
        <f t="shared" ca="1" si="927"/>
        <v>26</v>
      </c>
      <c r="U204" s="29">
        <f t="shared" ca="1" si="927"/>
        <v>26</v>
      </c>
      <c r="V204" s="29">
        <f t="shared" ca="1" si="927"/>
        <v>26</v>
      </c>
      <c r="W204" s="29">
        <f t="shared" ca="1" si="927"/>
        <v>26</v>
      </c>
      <c r="X204" s="29">
        <f t="shared" ca="1" si="927"/>
        <v>27</v>
      </c>
      <c r="Y204" s="29">
        <f t="shared" ca="1" si="927"/>
        <v>26</v>
      </c>
      <c r="Z204" s="29">
        <f t="shared" ca="1" si="927"/>
        <v>26</v>
      </c>
      <c r="AA204" s="29">
        <f t="shared" ca="1" si="927"/>
        <v>27</v>
      </c>
      <c r="AB204" s="29">
        <f t="shared" ca="1" si="927"/>
        <v>25</v>
      </c>
      <c r="AC204" s="29">
        <f t="shared" ca="1" si="927"/>
        <v>27</v>
      </c>
      <c r="AD204" s="32">
        <f t="shared" ca="1" si="927"/>
        <v>26</v>
      </c>
      <c r="AE204" s="29">
        <f t="shared" ca="1" si="927"/>
        <v>24</v>
      </c>
      <c r="AF204" s="29">
        <f t="shared" ca="1" si="927"/>
        <v>27</v>
      </c>
      <c r="AG204" s="29">
        <f t="shared" ca="1" si="927"/>
        <v>26</v>
      </c>
      <c r="AH204" s="29">
        <f t="shared" ca="1" si="927"/>
        <v>26</v>
      </c>
      <c r="AI204" s="29">
        <f t="shared" ca="1" si="927"/>
        <v>26</v>
      </c>
      <c r="AJ204" s="29">
        <f t="shared" ca="1" si="927"/>
        <v>27</v>
      </c>
      <c r="AK204" s="29">
        <f t="shared" ca="1" si="927"/>
        <v>26</v>
      </c>
      <c r="AL204" s="29">
        <f t="shared" ca="1" si="927"/>
        <v>26</v>
      </c>
      <c r="AM204" s="29">
        <f t="shared" ca="1" si="927"/>
        <v>26</v>
      </c>
      <c r="AN204" s="29">
        <f t="shared" ca="1" si="927"/>
        <v>26</v>
      </c>
      <c r="AO204" s="29">
        <f t="shared" ca="1" si="927"/>
        <v>27</v>
      </c>
      <c r="AP204" s="32">
        <f ca="1">IF(SUM(F204:K204)&lt;&gt;0,SUM(F204:K204),"")</f>
        <v>155</v>
      </c>
      <c r="AQ204" s="29">
        <f ca="1">IF(SUM(L204:Q204)&lt;&gt;0,SUM(L204:Q204),"")</f>
        <v>158</v>
      </c>
      <c r="AR204" s="32">
        <f ca="1">IF(SUM(R204:W204)&lt;&gt;0,SUM(R204:W204),"")</f>
        <v>155</v>
      </c>
      <c r="AS204" s="29">
        <f ca="1">IF(SUM(X204:AC204)&lt;&gt;0,SUM(X204:AC204),"")</f>
        <v>158</v>
      </c>
      <c r="AT204" s="32">
        <f ca="1">IF(SUM(AD204:AI204)&lt;&gt;0,SUM(AD204:AI204),"")</f>
        <v>155</v>
      </c>
      <c r="AU204" s="296">
        <f ca="1">SUM(AJ204:AO204)</f>
        <v>158</v>
      </c>
      <c r="AV204" s="32">
        <f t="shared" ref="AV204:BE204" ca="1" si="928">IF(AV$11-(SUM(AV208:AV211)/24)=0,"",AV$11-(SUM(AV208:AV211)/24))</f>
        <v>156</v>
      </c>
      <c r="AW204" s="29">
        <f t="shared" ca="1" si="928"/>
        <v>157</v>
      </c>
      <c r="AX204" s="32">
        <f t="shared" ca="1" si="928"/>
        <v>156</v>
      </c>
      <c r="AY204" s="29">
        <f t="shared" ca="1" si="928"/>
        <v>158</v>
      </c>
      <c r="AZ204" s="32">
        <f t="shared" ca="1" si="928"/>
        <v>155</v>
      </c>
      <c r="BA204" s="29">
        <f t="shared" ca="1" si="928"/>
        <v>158</v>
      </c>
      <c r="BB204" s="32">
        <f t="shared" ca="1" si="928"/>
        <v>155</v>
      </c>
      <c r="BC204" s="29">
        <f t="shared" ca="1" si="928"/>
        <v>158</v>
      </c>
      <c r="BD204" s="32">
        <f t="shared" ca="1" si="928"/>
        <v>156</v>
      </c>
      <c r="BE204" s="262">
        <f t="shared" ca="1" si="928"/>
        <v>158</v>
      </c>
      <c r="BF204" s="286">
        <f t="shared" ca="1" si="916"/>
        <v>313</v>
      </c>
      <c r="BG204" s="286">
        <f t="shared" ca="1" si="917"/>
        <v>313</v>
      </c>
      <c r="BH204" s="286">
        <f t="shared" ca="1" si="918"/>
        <v>313</v>
      </c>
      <c r="BI204" s="286">
        <f t="shared" ca="1" si="919"/>
        <v>313</v>
      </c>
      <c r="BJ204" s="286">
        <f t="shared" ca="1" si="920"/>
        <v>314</v>
      </c>
      <c r="BK204" s="286">
        <f t="shared" ca="1" si="921"/>
        <v>313</v>
      </c>
      <c r="BL204" s="286">
        <f t="shared" ca="1" si="922"/>
        <v>313</v>
      </c>
      <c r="BM204" s="286">
        <f t="shared" ca="1" si="923"/>
        <v>314</v>
      </c>
    </row>
    <row r="205" spans="1:65" s="102" customFormat="1" ht="15" customHeight="1" outlineLevel="2" thickBot="1" x14ac:dyDescent="0.25">
      <c r="A205" s="320" t="s">
        <v>226</v>
      </c>
      <c r="B205" s="347"/>
      <c r="C205" s="350"/>
      <c r="D205" s="344"/>
      <c r="E205" s="278" t="s">
        <v>29</v>
      </c>
      <c r="F205" s="47"/>
      <c r="G205" s="48"/>
      <c r="H205" s="48"/>
      <c r="I205" s="48"/>
      <c r="J205" s="48"/>
      <c r="K205" s="48"/>
      <c r="L205" s="48"/>
      <c r="M205" s="48"/>
      <c r="N205" s="48"/>
      <c r="O205" s="48"/>
      <c r="P205" s="48"/>
      <c r="Q205" s="51"/>
      <c r="R205" s="47"/>
      <c r="S205" s="48"/>
      <c r="T205" s="48"/>
      <c r="U205" s="48"/>
      <c r="V205" s="48"/>
      <c r="W205" s="48"/>
      <c r="X205" s="48"/>
      <c r="Y205" s="48"/>
      <c r="Z205" s="48"/>
      <c r="AA205" s="48"/>
      <c r="AB205" s="48"/>
      <c r="AC205" s="51"/>
      <c r="AD205" s="47"/>
      <c r="AE205" s="48"/>
      <c r="AF205" s="48"/>
      <c r="AG205" s="48"/>
      <c r="AH205" s="48"/>
      <c r="AI205" s="48"/>
      <c r="AJ205" s="48"/>
      <c r="AK205" s="48"/>
      <c r="AL205" s="48"/>
      <c r="AM205" s="48"/>
      <c r="AN205" s="48"/>
      <c r="AO205" s="51"/>
      <c r="AP205" s="294" t="str">
        <f>IFERROR(IF(SUM(F205:K205)&lt;&gt;0,SUM(F205:K205),""),"")</f>
        <v/>
      </c>
      <c r="AQ205" s="295" t="str">
        <f>IFERROR(IF(SUM(L205:Q205)&lt;&gt;0,SUM(L205:Q205),""),"")</f>
        <v/>
      </c>
      <c r="AR205" s="294" t="str">
        <f>IFERROR(IF(SUM(R205:W205)&lt;&gt;0,SUM(R205:W205),""),"")</f>
        <v/>
      </c>
      <c r="AS205" s="295" t="str">
        <f>IFERROR(IF(SUM(X205:AC205)&lt;&gt;0,SUM(X205:AC205),""),"")</f>
        <v/>
      </c>
      <c r="AT205" s="294" t="str">
        <f>IFERROR(IF(SUM(AD205:AI205)&lt;&gt;0,SUM(AD205:AI205),""),"")</f>
        <v/>
      </c>
      <c r="AU205" s="295" t="str">
        <f>IFERROR(IF(SUM(AJ205:AO205)&lt;&gt;0,SUM(AJ205:AO205),""),"")</f>
        <v/>
      </c>
      <c r="AV205" s="47"/>
      <c r="AW205" s="51"/>
      <c r="AX205" s="47"/>
      <c r="AY205" s="51"/>
      <c r="AZ205" s="47"/>
      <c r="BA205" s="51"/>
      <c r="BB205" s="47"/>
      <c r="BC205" s="51"/>
      <c r="BD205" s="47"/>
      <c r="BE205" s="263"/>
      <c r="BF205" s="271" t="str">
        <f>IFERROR(IF(AVERAGE(AP205:AQ205)&lt;&gt;0,AVERAGE(AP205:AQ205),""),"")</f>
        <v/>
      </c>
      <c r="BG205" s="271" t="str">
        <f>IFERROR(IF(AVERAGE(AR205:AS205)&lt;&gt;0,AVERAGE(AR205:AS205),""),"")</f>
        <v/>
      </c>
      <c r="BH205" s="271" t="str">
        <f>IFERROR(IF(AVERAGE(AT205:AU205)&lt;&gt;0,AVERAGE(AT205:AU205),""),"")</f>
        <v/>
      </c>
      <c r="BI205" s="271" t="str">
        <f>IFERROR(IF(AVERAGE(AV205:AW205)&lt;&gt;0,AVERAGE(AV205:AW205),""),"")</f>
        <v/>
      </c>
      <c r="BJ205" s="271" t="str">
        <f>IFERROR(IF(AVERAGE(AX205:AY205)&lt;&gt;0,AVERAGE(AX205:AY205),""),"")</f>
        <v/>
      </c>
      <c r="BK205" s="271" t="str">
        <f>IFERROR(IF(AVERAGE(AZ205:BA205)&lt;&gt;0,AVERAGE(AZ205:BA205),""),"")</f>
        <v/>
      </c>
      <c r="BL205" s="271" t="str">
        <f>IFERROR(IF(AVERAGE(BB205:BC205)&lt;&gt;0,AVERAGE(BB205:BC205),""),"")</f>
        <v/>
      </c>
      <c r="BM205" s="271" t="str">
        <f>IFERROR(IF(AVERAGE(BD205:BE205)&lt;&gt;0,AVERAGE(BD205:BE205),""),"")</f>
        <v/>
      </c>
    </row>
    <row r="206" spans="1:65" s="102" customFormat="1" ht="14.25" customHeight="1" outlineLevel="2" x14ac:dyDescent="0.2">
      <c r="A206" s="320" t="s">
        <v>226</v>
      </c>
      <c r="B206" s="347"/>
      <c r="C206" s="350"/>
      <c r="D206" s="344"/>
      <c r="E206" s="279" t="s">
        <v>28</v>
      </c>
      <c r="F206" s="52"/>
      <c r="G206" s="53"/>
      <c r="H206" s="53"/>
      <c r="I206" s="53"/>
      <c r="J206" s="53"/>
      <c r="K206" s="53"/>
      <c r="L206" s="53"/>
      <c r="M206" s="53"/>
      <c r="N206" s="53"/>
      <c r="O206" s="53"/>
      <c r="P206" s="53"/>
      <c r="Q206" s="54"/>
      <c r="R206" s="52"/>
      <c r="S206" s="53"/>
      <c r="T206" s="53"/>
      <c r="U206" s="53"/>
      <c r="V206" s="53"/>
      <c r="W206" s="53"/>
      <c r="X206" s="53"/>
      <c r="Y206" s="53"/>
      <c r="Z206" s="53"/>
      <c r="AA206" s="53"/>
      <c r="AB206" s="53"/>
      <c r="AC206" s="54"/>
      <c r="AD206" s="52"/>
      <c r="AE206" s="53"/>
      <c r="AF206" s="53"/>
      <c r="AG206" s="53"/>
      <c r="AH206" s="53"/>
      <c r="AI206" s="53"/>
      <c r="AJ206" s="53"/>
      <c r="AK206" s="53"/>
      <c r="AL206" s="53"/>
      <c r="AM206" s="53"/>
      <c r="AN206" s="53"/>
      <c r="AO206" s="54"/>
      <c r="AP206" s="225" t="str">
        <f>IFERROR(IF(AVERAGE(F206:K206)&lt;&gt;0,AVERAGE(F206:K206),""),"")</f>
        <v/>
      </c>
      <c r="AQ206" s="226" t="str">
        <f>IFERROR(IF(AVERAGE(L206:Q206)&lt;&gt;0,AVERAGE(L206:Q206),""),"")</f>
        <v/>
      </c>
      <c r="AR206" s="225" t="str">
        <f>IFERROR(IF(AVERAGE(R206:W206)&lt;&gt;0,AVERAGE(R206:W206),""),"")</f>
        <v/>
      </c>
      <c r="AS206" s="226" t="str">
        <f>IFERROR(IF(AVERAGE(X206:AC206)&lt;&gt;0,AVERAGE(X206:AC206),""),"")</f>
        <v/>
      </c>
      <c r="AT206" s="225" t="str">
        <f>IFERROR(IF(AVERAGE(AD206:AI206)&lt;&gt;0,AVERAGE(AD206:AI206),""),"")</f>
        <v/>
      </c>
      <c r="AU206" s="226" t="str">
        <f>IFERROR(IF(AVERAGE(AJ206:AO206)&lt;&gt;0,AVERAGE(AJ206:AO206),""),"")</f>
        <v/>
      </c>
      <c r="AV206" s="70"/>
      <c r="AW206" s="53"/>
      <c r="AX206" s="70"/>
      <c r="AY206" s="53"/>
      <c r="AZ206" s="70"/>
      <c r="BA206" s="53"/>
      <c r="BB206" s="70"/>
      <c r="BC206" s="53"/>
      <c r="BD206" s="70"/>
      <c r="BE206" s="264"/>
      <c r="BF206" s="272" t="str">
        <f>IFERROR(IF(AVERAGE(AP206:AQ206)&lt;&gt;0,AVERAGE(AP206:AQ206),""),"")</f>
        <v/>
      </c>
      <c r="BG206" s="272" t="str">
        <f>IFERROR(IF(AVERAGE(AR206:AS206)&lt;&gt;0,AVERAGE(AR206:AS206),""),"")</f>
        <v/>
      </c>
      <c r="BH206" s="272" t="str">
        <f>IFERROR(IF(AVERAGE(AT206:AU206)&lt;&gt;0,AVERAGE(AT206:AU206),""),"")</f>
        <v/>
      </c>
      <c r="BI206" s="272" t="str">
        <f>IFERROR(IF(AVERAGE(AV206:AW206)&lt;&gt;0,AVERAGE(AV206:AW206),""),"")</f>
        <v/>
      </c>
      <c r="BJ206" s="272" t="str">
        <f>IFERROR(IF(AVERAGE(AX206:AY206)&lt;&gt;0,AVERAGE(AX206:AY206),""),"")</f>
        <v/>
      </c>
      <c r="BK206" s="272" t="str">
        <f>IFERROR(IF(AVERAGE(AZ206:BA206)&lt;&gt;0,AVERAGE(AZ206:BA206),""),"")</f>
        <v/>
      </c>
      <c r="BL206" s="272" t="str">
        <f>IFERROR(IF(AVERAGE(BB206:BC206)&lt;&gt;0,AVERAGE(BB206:BC206),""),"")</f>
        <v/>
      </c>
      <c r="BM206" s="272" t="str">
        <f>IFERROR(IF(AVERAGE(BD206:BE206)&lt;&gt;0,AVERAGE(BD206:BE206),""),"")</f>
        <v/>
      </c>
    </row>
    <row r="207" spans="1:65" s="102" customFormat="1" ht="15" customHeight="1" outlineLevel="2" thickBot="1" x14ac:dyDescent="0.25">
      <c r="A207" s="320" t="s">
        <v>226</v>
      </c>
      <c r="B207" s="347"/>
      <c r="C207" s="350"/>
      <c r="D207" s="344"/>
      <c r="E207" s="278" t="s">
        <v>30</v>
      </c>
      <c r="F207" s="55"/>
      <c r="G207" s="56"/>
      <c r="H207" s="56"/>
      <c r="I207" s="56"/>
      <c r="J207" s="56"/>
      <c r="K207" s="56"/>
      <c r="L207" s="56"/>
      <c r="M207" s="56"/>
      <c r="N207" s="56"/>
      <c r="O207" s="56"/>
      <c r="P207" s="56"/>
      <c r="Q207" s="57"/>
      <c r="R207" s="55"/>
      <c r="S207" s="56"/>
      <c r="T207" s="56"/>
      <c r="U207" s="56"/>
      <c r="V207" s="56"/>
      <c r="W207" s="56"/>
      <c r="X207" s="56"/>
      <c r="Y207" s="56"/>
      <c r="Z207" s="56"/>
      <c r="AA207" s="56"/>
      <c r="AB207" s="56"/>
      <c r="AC207" s="57"/>
      <c r="AD207" s="55"/>
      <c r="AE207" s="56"/>
      <c r="AF207" s="56"/>
      <c r="AG207" s="56"/>
      <c r="AH207" s="56"/>
      <c r="AI207" s="56"/>
      <c r="AJ207" s="56"/>
      <c r="AK207" s="56"/>
      <c r="AL207" s="56"/>
      <c r="AM207" s="56"/>
      <c r="AN207" s="56"/>
      <c r="AO207" s="57"/>
      <c r="AP207" s="227" t="str">
        <f>IFERROR(IF(AVERAGE(F207:K207)&lt;&gt;0,AVERAGE(F207:K207),""),"")</f>
        <v/>
      </c>
      <c r="AQ207" s="228" t="str">
        <f>IFERROR(IF(AVERAGE(L207:Q207)&lt;&gt;0,AVERAGE(L207:Q207),""),"")</f>
        <v/>
      </c>
      <c r="AR207" s="227" t="str">
        <f>IFERROR(IF(AVERAGE(R207:W207)&lt;&gt;0,AVERAGE(R207:W207),""),"")</f>
        <v/>
      </c>
      <c r="AS207" s="228" t="str">
        <f>IFERROR(IF(AVERAGE(X207:AC207)&lt;&gt;0,AVERAGE(X207:AC207),""),"")</f>
        <v/>
      </c>
      <c r="AT207" s="227" t="str">
        <f>IFERROR(IF(AVERAGE(AD207:AI207)&lt;&gt;0,AVERAGE(AD207:AI207),""),"")</f>
        <v/>
      </c>
      <c r="AU207" s="228" t="str">
        <f>IFERROR(IF(AVERAGE(AJ207:AO207)&lt;&gt;0,AVERAGE(AJ207:AO207),""),"")</f>
        <v/>
      </c>
      <c r="AV207" s="71"/>
      <c r="AW207" s="56"/>
      <c r="AX207" s="71"/>
      <c r="AY207" s="56"/>
      <c r="AZ207" s="71"/>
      <c r="BA207" s="56"/>
      <c r="BB207" s="71"/>
      <c r="BC207" s="56"/>
      <c r="BD207" s="71"/>
      <c r="BE207" s="265"/>
      <c r="BF207" s="273" t="str">
        <f>IFERROR(IF(AVERAGE(AP207:AQ207)&lt;&gt;0,AVERAGE(AP207:AQ207),""),"")</f>
        <v/>
      </c>
      <c r="BG207" s="273" t="str">
        <f>IFERROR(IF(AVERAGE(AR207:AS207)&lt;&gt;0,AVERAGE(AR207:AS207),""),"")</f>
        <v/>
      </c>
      <c r="BH207" s="273" t="str">
        <f>IFERROR(IF(AVERAGE(AT207:AU207)&lt;&gt;0,AVERAGE(AT207:AU207),""),"")</f>
        <v/>
      </c>
      <c r="BI207" s="273" t="str">
        <f>IFERROR(IF(AVERAGE(AV207:AW207)&lt;&gt;0,AVERAGE(AV207:AW207),""),"")</f>
        <v/>
      </c>
      <c r="BJ207" s="273" t="str">
        <f>IFERROR(IF(AVERAGE(AX207:AY207)&lt;&gt;0,AVERAGE(AX207:AY207),""),"")</f>
        <v/>
      </c>
      <c r="BK207" s="273" t="str">
        <f>IFERROR(IF(AVERAGE(AZ207:BA207)&lt;&gt;0,AVERAGE(AZ207:BA207),""),"")</f>
        <v/>
      </c>
      <c r="BL207" s="273" t="str">
        <f>IFERROR(IF(AVERAGE(BB207:BC207)&lt;&gt;0,AVERAGE(BB207:BC207),""),"")</f>
        <v/>
      </c>
      <c r="BM207" s="273" t="str">
        <f>IFERROR(IF(AVERAGE(BD207:BE207)&lt;&gt;0,AVERAGE(BD207:BE207),""),"")</f>
        <v/>
      </c>
    </row>
    <row r="208" spans="1:65" s="102" customFormat="1" ht="14.25" customHeight="1" outlineLevel="2" x14ac:dyDescent="0.2">
      <c r="A208" s="320" t="s">
        <v>226</v>
      </c>
      <c r="B208" s="347"/>
      <c r="C208" s="350"/>
      <c r="D208" s="344"/>
      <c r="E208" s="279" t="s">
        <v>25</v>
      </c>
      <c r="F208" s="58"/>
      <c r="G208" s="50"/>
      <c r="H208" s="50"/>
      <c r="I208" s="50"/>
      <c r="J208" s="50"/>
      <c r="K208" s="50"/>
      <c r="L208" s="50"/>
      <c r="M208" s="50"/>
      <c r="N208" s="50"/>
      <c r="O208" s="50"/>
      <c r="P208" s="50"/>
      <c r="Q208" s="59"/>
      <c r="R208" s="58"/>
      <c r="S208" s="50"/>
      <c r="T208" s="50"/>
      <c r="U208" s="50"/>
      <c r="V208" s="50"/>
      <c r="W208" s="50"/>
      <c r="X208" s="50"/>
      <c r="Y208" s="50"/>
      <c r="Z208" s="50"/>
      <c r="AA208" s="50"/>
      <c r="AB208" s="50"/>
      <c r="AC208" s="59"/>
      <c r="AD208" s="58"/>
      <c r="AE208" s="50"/>
      <c r="AF208" s="50"/>
      <c r="AG208" s="50"/>
      <c r="AH208" s="50"/>
      <c r="AI208" s="50"/>
      <c r="AJ208" s="50"/>
      <c r="AK208" s="50"/>
      <c r="AL208" s="50"/>
      <c r="AM208" s="50"/>
      <c r="AN208" s="50"/>
      <c r="AO208" s="59"/>
      <c r="AP208" s="229" t="str">
        <f>IFERROR(IF(SUM(F208:K208)&lt;&gt;0,SUM(F208:K208),""),"")</f>
        <v/>
      </c>
      <c r="AQ208" s="230" t="str">
        <f>IFERROR(IF(SUM(L208:Q208)&lt;&gt;0,SUM(L208:Q208),""),"")</f>
        <v/>
      </c>
      <c r="AR208" s="229" t="str">
        <f>IFERROR(IF(SUM(R208:W208)&lt;&gt;0,SUM(R208:W208),""),"")</f>
        <v/>
      </c>
      <c r="AS208" s="230" t="str">
        <f>IFERROR(IF(SUM(X208:AC208)&lt;&gt;0,SUM(X208:AC208),""),"")</f>
        <v/>
      </c>
      <c r="AT208" s="229" t="str">
        <f>IFERROR(IF(SUM(AD208:AI208)&lt;&gt;0,SUM(AD208:AI208),""),"")</f>
        <v/>
      </c>
      <c r="AU208" s="230" t="str">
        <f>IFERROR(IF(SUM(AJ208:AO208)&lt;&gt;0,SUM(AJ208:AO208),""),"")</f>
        <v/>
      </c>
      <c r="AV208" s="72"/>
      <c r="AW208" s="73"/>
      <c r="AX208" s="72"/>
      <c r="AY208" s="73"/>
      <c r="AZ208" s="72"/>
      <c r="BA208" s="73"/>
      <c r="BB208" s="72"/>
      <c r="BC208" s="73"/>
      <c r="BD208" s="72"/>
      <c r="BE208" s="266"/>
      <c r="BF208" s="286" t="e">
        <f t="shared" ref="BF208:BF211" si="929">IF(SUM(AP208,AQ208)&lt;&gt;0,SUM(AP208,AQ208),#N/A)</f>
        <v>#N/A</v>
      </c>
      <c r="BG208" s="286" t="e">
        <f t="shared" ref="BG208:BG211" si="930">IF(SUM(AR208,AS208)&lt;&gt;0,SUM(AR208,AS208),#N/A)</f>
        <v>#N/A</v>
      </c>
      <c r="BH208" s="286" t="e">
        <f t="shared" ref="BH208:BH211" si="931">IF(SUM(AT208,AU208)&lt;&gt;0,SUM(AT208,AU208),#N/A)</f>
        <v>#N/A</v>
      </c>
      <c r="BI208" s="286" t="e">
        <f t="shared" ref="BI208:BI211" si="932">IF(SUM(AV208,AW208)&lt;&gt;0,SUM(AV208,AW208),#N/A)</f>
        <v>#N/A</v>
      </c>
      <c r="BJ208" s="286" t="e">
        <f t="shared" ref="BJ208:BJ211" si="933">IF(SUM(AX208,AY208)&lt;&gt;0,SUM(AX208,AY208),#N/A)</f>
        <v>#N/A</v>
      </c>
      <c r="BK208" s="286" t="e">
        <f t="shared" ref="BK208:BK211" si="934">IF(SUM(AZ208,BA208)&lt;&gt;0,SUM(AZ208,BA208),#N/A)</f>
        <v>#N/A</v>
      </c>
      <c r="BL208" s="286" t="e">
        <f t="shared" ref="BL208:BL211" si="935">IF(SUM(BB208,BC208)&lt;&gt;0,SUM(BB208,BC208),#N/A)</f>
        <v>#N/A</v>
      </c>
      <c r="BM208" s="286" t="e">
        <f t="shared" ref="BM208:BM211" si="936">IF(SUM(BD208,BE208)&lt;&gt;0,SUM(BD208,BE208),#N/A)</f>
        <v>#N/A</v>
      </c>
    </row>
    <row r="209" spans="1:65" s="102" customFormat="1" ht="14.25" customHeight="1" outlineLevel="2" x14ac:dyDescent="0.2">
      <c r="A209" s="320" t="s">
        <v>226</v>
      </c>
      <c r="B209" s="347"/>
      <c r="C209" s="350"/>
      <c r="D209" s="344"/>
      <c r="E209" s="280" t="s">
        <v>26</v>
      </c>
      <c r="F209" s="60"/>
      <c r="G209" s="61"/>
      <c r="H209" s="61"/>
      <c r="I209" s="61"/>
      <c r="J209" s="61"/>
      <c r="K209" s="61"/>
      <c r="L209" s="61"/>
      <c r="M209" s="61"/>
      <c r="N209" s="61"/>
      <c r="O209" s="61"/>
      <c r="P209" s="61"/>
      <c r="Q209" s="62"/>
      <c r="R209" s="60"/>
      <c r="S209" s="61"/>
      <c r="T209" s="61"/>
      <c r="U209" s="61"/>
      <c r="V209" s="61"/>
      <c r="W209" s="61"/>
      <c r="X209" s="61"/>
      <c r="Y209" s="61"/>
      <c r="Z209" s="61"/>
      <c r="AA209" s="61"/>
      <c r="AB209" s="61"/>
      <c r="AC209" s="62"/>
      <c r="AD209" s="60"/>
      <c r="AE209" s="61"/>
      <c r="AF209" s="61"/>
      <c r="AG209" s="61"/>
      <c r="AH209" s="61"/>
      <c r="AI209" s="61"/>
      <c r="AJ209" s="61"/>
      <c r="AK209" s="61"/>
      <c r="AL209" s="61"/>
      <c r="AM209" s="61"/>
      <c r="AN209" s="61"/>
      <c r="AO209" s="62"/>
      <c r="AP209" s="231" t="str">
        <f>IFERROR(IF(SUM(F209:K209)&lt;&gt;0,SUM(F209:K209),""),"")</f>
        <v/>
      </c>
      <c r="AQ209" s="232" t="str">
        <f>IFERROR(IF(SUM(L209:Q209)&lt;&gt;0,SUM(L209:Q209),""),"")</f>
        <v/>
      </c>
      <c r="AR209" s="231" t="str">
        <f>IFERROR(IF(SUM(R209:W209)&lt;&gt;0,SUM(R209:W209),""),"")</f>
        <v/>
      </c>
      <c r="AS209" s="232" t="str">
        <f>IFERROR(IF(SUM(X209:AC209)&lt;&gt;0,SUM(X209:AC209),""),"")</f>
        <v/>
      </c>
      <c r="AT209" s="231" t="str">
        <f>IFERROR(IF(SUM(AD209:AI209)&lt;&gt;0,SUM(AD209:AI209),""),"")</f>
        <v/>
      </c>
      <c r="AU209" s="232" t="str">
        <f>IFERROR(IF(SUM(AJ209:AO209)&lt;&gt;0,SUM(AJ209:AO209),""),"")</f>
        <v/>
      </c>
      <c r="AV209" s="74"/>
      <c r="AW209" s="61"/>
      <c r="AX209" s="74"/>
      <c r="AY209" s="61"/>
      <c r="AZ209" s="74"/>
      <c r="BA209" s="61"/>
      <c r="BB209" s="74"/>
      <c r="BC209" s="61"/>
      <c r="BD209" s="74"/>
      <c r="BE209" s="267"/>
      <c r="BF209" s="287" t="e">
        <f t="shared" si="929"/>
        <v>#N/A</v>
      </c>
      <c r="BG209" s="287" t="e">
        <f t="shared" si="930"/>
        <v>#N/A</v>
      </c>
      <c r="BH209" s="287" t="e">
        <f t="shared" si="931"/>
        <v>#N/A</v>
      </c>
      <c r="BI209" s="287" t="e">
        <f t="shared" si="932"/>
        <v>#N/A</v>
      </c>
      <c r="BJ209" s="287" t="e">
        <f t="shared" si="933"/>
        <v>#N/A</v>
      </c>
      <c r="BK209" s="287" t="e">
        <f t="shared" si="934"/>
        <v>#N/A</v>
      </c>
      <c r="BL209" s="287" t="e">
        <f t="shared" si="935"/>
        <v>#N/A</v>
      </c>
      <c r="BM209" s="287" t="e">
        <f t="shared" si="936"/>
        <v>#N/A</v>
      </c>
    </row>
    <row r="210" spans="1:65" s="102" customFormat="1" ht="14.25" customHeight="1" outlineLevel="2" x14ac:dyDescent="0.2">
      <c r="A210" s="320" t="s">
        <v>226</v>
      </c>
      <c r="B210" s="347"/>
      <c r="C210" s="350"/>
      <c r="D210" s="344"/>
      <c r="E210" s="280" t="s">
        <v>27</v>
      </c>
      <c r="F210" s="60"/>
      <c r="G210" s="61"/>
      <c r="H210" s="61"/>
      <c r="I210" s="61"/>
      <c r="J210" s="61"/>
      <c r="K210" s="61"/>
      <c r="L210" s="61"/>
      <c r="M210" s="61"/>
      <c r="N210" s="61"/>
      <c r="O210" s="61"/>
      <c r="P210" s="61"/>
      <c r="Q210" s="62"/>
      <c r="R210" s="60"/>
      <c r="S210" s="61"/>
      <c r="T210" s="61"/>
      <c r="U210" s="61"/>
      <c r="V210" s="61"/>
      <c r="W210" s="61"/>
      <c r="X210" s="61"/>
      <c r="Y210" s="61"/>
      <c r="Z210" s="61"/>
      <c r="AA210" s="61"/>
      <c r="AB210" s="61"/>
      <c r="AC210" s="62"/>
      <c r="AD210" s="60"/>
      <c r="AE210" s="61"/>
      <c r="AF210" s="61"/>
      <c r="AG210" s="61"/>
      <c r="AH210" s="61"/>
      <c r="AI210" s="61"/>
      <c r="AJ210" s="61"/>
      <c r="AK210" s="61"/>
      <c r="AL210" s="61"/>
      <c r="AM210" s="61"/>
      <c r="AN210" s="61"/>
      <c r="AO210" s="62"/>
      <c r="AP210" s="231" t="str">
        <f>IFERROR(IF(SUM(F210:K210)&lt;&gt;0,SUM(F210:K210),""),"")</f>
        <v/>
      </c>
      <c r="AQ210" s="232" t="str">
        <f>IFERROR(IF(SUM(L210:Q210)&lt;&gt;0,SUM(L210:Q210),""),"")</f>
        <v/>
      </c>
      <c r="AR210" s="231" t="str">
        <f>IFERROR(IF(SUM(R210:W210)&lt;&gt;0,SUM(R210:W210),""),"")</f>
        <v/>
      </c>
      <c r="AS210" s="232" t="str">
        <f>IFERROR(IF(SUM(X210:AC210)&lt;&gt;0,SUM(X210:AC210),""),"")</f>
        <v/>
      </c>
      <c r="AT210" s="231" t="str">
        <f>IFERROR(IF(SUM(AD210:AI210)&lt;&gt;0,SUM(AD210:AI210),""),"")</f>
        <v/>
      </c>
      <c r="AU210" s="232" t="str">
        <f>IFERROR(IF(SUM(AJ210:AO210)&lt;&gt;0,SUM(AJ210:AO210),""),"")</f>
        <v/>
      </c>
      <c r="AV210" s="74"/>
      <c r="AW210" s="61"/>
      <c r="AX210" s="74"/>
      <c r="AY210" s="61"/>
      <c r="AZ210" s="74"/>
      <c r="BA210" s="61"/>
      <c r="BB210" s="74"/>
      <c r="BC210" s="61"/>
      <c r="BD210" s="74"/>
      <c r="BE210" s="267"/>
      <c r="BF210" s="287" t="e">
        <f t="shared" si="929"/>
        <v>#N/A</v>
      </c>
      <c r="BG210" s="287" t="e">
        <f t="shared" si="930"/>
        <v>#N/A</v>
      </c>
      <c r="BH210" s="287" t="e">
        <f t="shared" si="931"/>
        <v>#N/A</v>
      </c>
      <c r="BI210" s="287" t="e">
        <f t="shared" si="932"/>
        <v>#N/A</v>
      </c>
      <c r="BJ210" s="287" t="e">
        <f t="shared" si="933"/>
        <v>#N/A</v>
      </c>
      <c r="BK210" s="287" t="e">
        <f t="shared" si="934"/>
        <v>#N/A</v>
      </c>
      <c r="BL210" s="287" t="e">
        <f t="shared" si="935"/>
        <v>#N/A</v>
      </c>
      <c r="BM210" s="287" t="e">
        <f t="shared" si="936"/>
        <v>#N/A</v>
      </c>
    </row>
    <row r="211" spans="1:65" s="102" customFormat="1" ht="15" customHeight="1" outlineLevel="2" thickBot="1" x14ac:dyDescent="0.25">
      <c r="A211" s="320" t="s">
        <v>226</v>
      </c>
      <c r="B211" s="347"/>
      <c r="C211" s="350"/>
      <c r="D211" s="344"/>
      <c r="E211" s="281" t="s">
        <v>88</v>
      </c>
      <c r="F211" s="63"/>
      <c r="G211" s="48"/>
      <c r="H211" s="48"/>
      <c r="I211" s="48"/>
      <c r="J211" s="48"/>
      <c r="K211" s="48"/>
      <c r="L211" s="48"/>
      <c r="M211" s="48"/>
      <c r="N211" s="48"/>
      <c r="O211" s="48"/>
      <c r="P211" s="48"/>
      <c r="Q211" s="51"/>
      <c r="R211" s="63"/>
      <c r="S211" s="48"/>
      <c r="T211" s="48"/>
      <c r="U211" s="48"/>
      <c r="V211" s="48"/>
      <c r="W211" s="48"/>
      <c r="X211" s="48"/>
      <c r="Y211" s="48"/>
      <c r="Z211" s="48"/>
      <c r="AA211" s="48"/>
      <c r="AB211" s="48"/>
      <c r="AC211" s="51"/>
      <c r="AD211" s="63"/>
      <c r="AE211" s="48"/>
      <c r="AF211" s="48"/>
      <c r="AG211" s="48"/>
      <c r="AH211" s="48"/>
      <c r="AI211" s="48"/>
      <c r="AJ211" s="48"/>
      <c r="AK211" s="48"/>
      <c r="AL211" s="48"/>
      <c r="AM211" s="48"/>
      <c r="AN211" s="48"/>
      <c r="AO211" s="51"/>
      <c r="AP211" s="233" t="str">
        <f>IFERROR(IF(SUM(F211:K211)&lt;&gt;0,SUM(F211:K211),""),"")</f>
        <v/>
      </c>
      <c r="AQ211" s="234" t="str">
        <f>IFERROR(IF(SUM(L211:Q211)&lt;&gt;0,SUM(L211:Q211),""),"")</f>
        <v/>
      </c>
      <c r="AR211" s="233" t="str">
        <f>IFERROR(IF(SUM(R211:W211)&lt;&gt;0,SUM(R211:W211),""),"")</f>
        <v/>
      </c>
      <c r="AS211" s="234" t="str">
        <f>IFERROR(IF(SUM(X211:AC211)&lt;&gt;0,SUM(X211:AC211),""),"")</f>
        <v/>
      </c>
      <c r="AT211" s="233" t="str">
        <f>IFERROR(IF(SUM(AD211:AI211)&lt;&gt;0,SUM(AD211:AI211),""),"")</f>
        <v/>
      </c>
      <c r="AU211" s="234" t="str">
        <f>IFERROR(IF(SUM(AJ211:AO211)&lt;&gt;0,SUM(AJ211:AO211),""),"")</f>
        <v/>
      </c>
      <c r="AV211" s="75"/>
      <c r="AW211" s="76"/>
      <c r="AX211" s="75"/>
      <c r="AY211" s="76"/>
      <c r="AZ211" s="75"/>
      <c r="BA211" s="76"/>
      <c r="BB211" s="75"/>
      <c r="BC211" s="76"/>
      <c r="BD211" s="75"/>
      <c r="BE211" s="268"/>
      <c r="BF211" s="271" t="e">
        <f t="shared" si="929"/>
        <v>#N/A</v>
      </c>
      <c r="BG211" s="271" t="e">
        <f t="shared" si="930"/>
        <v>#N/A</v>
      </c>
      <c r="BH211" s="271" t="e">
        <f t="shared" si="931"/>
        <v>#N/A</v>
      </c>
      <c r="BI211" s="271" t="e">
        <f t="shared" si="932"/>
        <v>#N/A</v>
      </c>
      <c r="BJ211" s="271" t="e">
        <f t="shared" si="933"/>
        <v>#N/A</v>
      </c>
      <c r="BK211" s="271" t="e">
        <f t="shared" si="934"/>
        <v>#N/A</v>
      </c>
      <c r="BL211" s="271" t="e">
        <f t="shared" si="935"/>
        <v>#N/A</v>
      </c>
      <c r="BM211" s="271" t="e">
        <f t="shared" si="936"/>
        <v>#N/A</v>
      </c>
    </row>
    <row r="212" spans="1:65" s="102" customFormat="1" ht="14.25" customHeight="1" outlineLevel="2" x14ac:dyDescent="0.2">
      <c r="A212" s="320" t="s">
        <v>226</v>
      </c>
      <c r="B212" s="347"/>
      <c r="C212" s="350"/>
      <c r="D212" s="344"/>
      <c r="E212" s="279" t="s">
        <v>32</v>
      </c>
      <c r="F212" s="64"/>
      <c r="G212" s="65"/>
      <c r="H212" s="65"/>
      <c r="I212" s="65"/>
      <c r="J212" s="65"/>
      <c r="K212" s="65"/>
      <c r="L212" s="65"/>
      <c r="M212" s="65"/>
      <c r="N212" s="65"/>
      <c r="O212" s="65"/>
      <c r="P212" s="65"/>
      <c r="Q212" s="66"/>
      <c r="R212" s="64"/>
      <c r="S212" s="65"/>
      <c r="T212" s="65"/>
      <c r="U212" s="65"/>
      <c r="V212" s="65"/>
      <c r="W212" s="65"/>
      <c r="X212" s="65"/>
      <c r="Y212" s="65"/>
      <c r="Z212" s="65"/>
      <c r="AA212" s="65"/>
      <c r="AB212" s="65"/>
      <c r="AC212" s="66"/>
      <c r="AD212" s="64"/>
      <c r="AE212" s="65"/>
      <c r="AF212" s="65"/>
      <c r="AG212" s="65"/>
      <c r="AH212" s="65"/>
      <c r="AI212" s="65"/>
      <c r="AJ212" s="65"/>
      <c r="AK212" s="65"/>
      <c r="AL212" s="65"/>
      <c r="AM212" s="65"/>
      <c r="AN212" s="65"/>
      <c r="AO212" s="66"/>
      <c r="AP212" s="32" t="str">
        <f>IFERROR(IF(AVERAGE(F212:K212)&lt;&gt;0,AVERAGE(F212:K212),""),"")</f>
        <v/>
      </c>
      <c r="AQ212" s="235" t="str">
        <f>IFERROR(IF(AVERAGE(L212:Q212)&lt;&gt;0,AVERAGE(L212:Q212),""),"")</f>
        <v/>
      </c>
      <c r="AR212" s="32" t="str">
        <f>IFERROR(IF(AVERAGE(R212:W212)&lt;&gt;0,AVERAGE(R212:W212),""),"")</f>
        <v/>
      </c>
      <c r="AS212" s="235" t="str">
        <f>IFERROR(IF(AVERAGE(X212:AC212)&lt;&gt;0,AVERAGE(X212:AC212),""),"")</f>
        <v/>
      </c>
      <c r="AT212" s="32" t="str">
        <f>IFERROR(IF(AVERAGE(AD212:AI212)&lt;&gt;0,AVERAGE(AD212:AI212),""),"")</f>
        <v/>
      </c>
      <c r="AU212" s="235" t="str">
        <f>IFERROR(IF(AVERAGE(AJ212:AO212)&lt;&gt;0,AVERAGE(AJ212:AO212),""),"")</f>
        <v/>
      </c>
      <c r="AV212" s="77"/>
      <c r="AW212" s="65"/>
      <c r="AX212" s="77"/>
      <c r="AY212" s="65"/>
      <c r="AZ212" s="77"/>
      <c r="BA212" s="65"/>
      <c r="BB212" s="77"/>
      <c r="BC212" s="65"/>
      <c r="BD212" s="77"/>
      <c r="BE212" s="269"/>
      <c r="BF212" s="272" t="str">
        <f>IFERROR(IF(AVERAGE(AP212:AQ212)&lt;&gt;0,AVERAGE(AP212:AQ212),""),"")</f>
        <v/>
      </c>
      <c r="BG212" s="272" t="str">
        <f>IFERROR(IF(AVERAGE(AR212:AS212)&lt;&gt;0,AVERAGE(AR212:AS212),""),"")</f>
        <v/>
      </c>
      <c r="BH212" s="272" t="str">
        <f>IFERROR(IF(AVERAGE(AT212:AU212)&lt;&gt;0,AVERAGE(AT212:AU212),""),"")</f>
        <v/>
      </c>
      <c r="BI212" s="272" t="str">
        <f>IFERROR(IF(AVERAGE(AV212:AW212)&lt;&gt;0,AVERAGE(AV212:AW212),""),"")</f>
        <v/>
      </c>
      <c r="BJ212" s="272" t="str">
        <f>IFERROR(IF(AVERAGE(AX212:AY212)&lt;&gt;0,AVERAGE(AX212:AY212),""),"")</f>
        <v/>
      </c>
      <c r="BK212" s="272" t="str">
        <f>IFERROR(IF(AVERAGE(AZ212:BA212)&lt;&gt;0,AVERAGE(AZ212:BA212),""),"")</f>
        <v/>
      </c>
      <c r="BL212" s="272" t="str">
        <f>IFERROR(IF(AVERAGE(BB212:BC212)&lt;&gt;0,AVERAGE(BB212:BC212),""),"")</f>
        <v/>
      </c>
      <c r="BM212" s="272" t="str">
        <f>IFERROR(IF(AVERAGE(BD212:BE212)&lt;&gt;0,AVERAGE(BD212:BE212),""),"")</f>
        <v/>
      </c>
    </row>
    <row r="213" spans="1:65" s="102" customFormat="1" ht="15" customHeight="1" outlineLevel="2" thickBot="1" x14ac:dyDescent="0.25">
      <c r="A213" s="320" t="s">
        <v>226</v>
      </c>
      <c r="B213" s="347"/>
      <c r="C213" s="350"/>
      <c r="D213" s="344"/>
      <c r="E213" s="281" t="s">
        <v>2</v>
      </c>
      <c r="F213" s="67"/>
      <c r="G213" s="68"/>
      <c r="H213" s="68"/>
      <c r="I213" s="68"/>
      <c r="J213" s="68"/>
      <c r="K213" s="68"/>
      <c r="L213" s="68"/>
      <c r="M213" s="68"/>
      <c r="N213" s="68"/>
      <c r="O213" s="68"/>
      <c r="P213" s="68"/>
      <c r="Q213" s="69"/>
      <c r="R213" s="67"/>
      <c r="S213" s="68"/>
      <c r="T213" s="68"/>
      <c r="U213" s="68"/>
      <c r="V213" s="68"/>
      <c r="W213" s="68"/>
      <c r="X213" s="68"/>
      <c r="Y213" s="68"/>
      <c r="Z213" s="68"/>
      <c r="AA213" s="68"/>
      <c r="AB213" s="68"/>
      <c r="AC213" s="69"/>
      <c r="AD213" s="67"/>
      <c r="AE213" s="68"/>
      <c r="AF213" s="68"/>
      <c r="AG213" s="68"/>
      <c r="AH213" s="68"/>
      <c r="AI213" s="68"/>
      <c r="AJ213" s="68"/>
      <c r="AK213" s="68"/>
      <c r="AL213" s="68"/>
      <c r="AM213" s="68"/>
      <c r="AN213" s="68"/>
      <c r="AO213" s="69"/>
      <c r="AP213" s="236" t="str">
        <f>IFERROR(IF(AVERAGE(F213:K213)&lt;&gt;0,AVERAGE(F213:K213),""),"")</f>
        <v/>
      </c>
      <c r="AQ213" s="237" t="str">
        <f>IFERROR(IF(AVERAGE(L213:Q213)&lt;&gt;0,AVERAGE(L213:Q213),""),"")</f>
        <v/>
      </c>
      <c r="AR213" s="236" t="str">
        <f>IFERROR(IF(AVERAGE(R213:W213)&lt;&gt;0,AVERAGE(R213:W213),""),"")</f>
        <v/>
      </c>
      <c r="AS213" s="237" t="str">
        <f>IFERROR(IF(AVERAGE(X213:AC213)&lt;&gt;0,AVERAGE(X213:AC213),""),"")</f>
        <v/>
      </c>
      <c r="AT213" s="236" t="str">
        <f>IFERROR(IF(AVERAGE(AD213:AI213)&lt;&gt;0,AVERAGE(AD213:AI213),""),"")</f>
        <v/>
      </c>
      <c r="AU213" s="237" t="str">
        <f>IFERROR(IF(AVERAGE(AJ213:AO213)&lt;&gt;0,AVERAGE(AJ213:AO213),""),"")</f>
        <v/>
      </c>
      <c r="AV213" s="78"/>
      <c r="AW213" s="68"/>
      <c r="AX213" s="78"/>
      <c r="AY213" s="68"/>
      <c r="AZ213" s="78"/>
      <c r="BA213" s="68"/>
      <c r="BB213" s="78"/>
      <c r="BC213" s="68"/>
      <c r="BD213" s="78"/>
      <c r="BE213" s="270"/>
      <c r="BF213" s="288" t="str">
        <f>IFERROR(IF(AVERAGE(AP213:AQ213)&lt;&gt;0,AVERAGE(AP213:AQ213),""),"")</f>
        <v/>
      </c>
      <c r="BG213" s="288" t="str">
        <f>IFERROR(IF(AVERAGE(AR213:AS213)&lt;&gt;0,AVERAGE(AR213:AS213),""),"")</f>
        <v/>
      </c>
      <c r="BH213" s="288" t="str">
        <f>IFERROR(IF(AVERAGE(AT213:AU213)&lt;&gt;0,AVERAGE(AT213:AU213),""),"")</f>
        <v/>
      </c>
      <c r="BI213" s="288" t="str">
        <f>IFERROR(IF(AVERAGE(AV213:AW213)&lt;&gt;0,AVERAGE(AV213:AW213),""),"")</f>
        <v/>
      </c>
      <c r="BJ213" s="288" t="str">
        <f>IFERROR(IF(AVERAGE(AX213:AY213)&lt;&gt;0,AVERAGE(AX213:AY213),""),"")</f>
        <v/>
      </c>
      <c r="BK213" s="288" t="str">
        <f>IFERROR(IF(AVERAGE(AZ213:BA213)&lt;&gt;0,AVERAGE(AZ213:BA213),""),"")</f>
        <v/>
      </c>
      <c r="BL213" s="288" t="str">
        <f>IFERROR(IF(AVERAGE(BB213:BC213)&lt;&gt;0,AVERAGE(BB213:BC213),""),"")</f>
        <v/>
      </c>
      <c r="BM213" s="288" t="str">
        <f>IFERROR(IF(AVERAGE(BD213:BE213)&lt;&gt;0,AVERAGE(BD213:BE213),""),"")</f>
        <v/>
      </c>
    </row>
    <row r="214" spans="1:65" s="102" customFormat="1" ht="14.25" customHeight="1" outlineLevel="1" x14ac:dyDescent="0.2">
      <c r="A214" s="320" t="s">
        <v>226</v>
      </c>
      <c r="B214" s="347"/>
      <c r="C214" s="350"/>
      <c r="D214" s="344"/>
      <c r="E214" s="282" t="s">
        <v>228</v>
      </c>
      <c r="F214" s="283" t="str">
        <f ca="1">IF(IFERROR((F$11*(F206-SUM(F208:F211)/F$11)*F213*3600)/(F212),"")&gt;0,IFERROR((F$11*(F206-SUM(F208:F211)/F$11)*F213*3600)/(F212),""),"")</f>
        <v/>
      </c>
      <c r="G214" s="284" t="str">
        <f t="shared" ref="G214:AO214" ca="1" si="937">IF(IFERROR((G$11*(G206-SUM(G208:G211)/G$11)*G213*3600)/(G212),"")&gt;0,IFERROR((G$11*(G206-SUM(G208:G211)/G$11)*G213*3600)/(G212),""),"")</f>
        <v/>
      </c>
      <c r="H214" s="284" t="str">
        <f t="shared" ca="1" si="937"/>
        <v/>
      </c>
      <c r="I214" s="284" t="str">
        <f t="shared" ca="1" si="937"/>
        <v/>
      </c>
      <c r="J214" s="284" t="str">
        <f t="shared" ca="1" si="937"/>
        <v/>
      </c>
      <c r="K214" s="284" t="str">
        <f t="shared" ca="1" si="937"/>
        <v/>
      </c>
      <c r="L214" s="284" t="str">
        <f t="shared" ca="1" si="937"/>
        <v/>
      </c>
      <c r="M214" s="284" t="str">
        <f t="shared" ca="1" si="937"/>
        <v/>
      </c>
      <c r="N214" s="284" t="str">
        <f t="shared" ca="1" si="937"/>
        <v/>
      </c>
      <c r="O214" s="284" t="str">
        <f t="shared" ca="1" si="937"/>
        <v/>
      </c>
      <c r="P214" s="284" t="str">
        <f t="shared" ca="1" si="937"/>
        <v/>
      </c>
      <c r="Q214" s="284" t="str">
        <f t="shared" ca="1" si="937"/>
        <v/>
      </c>
      <c r="R214" s="283" t="str">
        <f t="shared" ca="1" si="937"/>
        <v/>
      </c>
      <c r="S214" s="284" t="str">
        <f t="shared" ca="1" si="937"/>
        <v/>
      </c>
      <c r="T214" s="284" t="str">
        <f t="shared" ca="1" si="937"/>
        <v/>
      </c>
      <c r="U214" s="284" t="str">
        <f t="shared" ca="1" si="937"/>
        <v/>
      </c>
      <c r="V214" s="284" t="str">
        <f t="shared" ca="1" si="937"/>
        <v/>
      </c>
      <c r="W214" s="284" t="str">
        <f t="shared" ca="1" si="937"/>
        <v/>
      </c>
      <c r="X214" s="284" t="str">
        <f t="shared" ca="1" si="937"/>
        <v/>
      </c>
      <c r="Y214" s="284" t="str">
        <f t="shared" ca="1" si="937"/>
        <v/>
      </c>
      <c r="Z214" s="284" t="str">
        <f t="shared" ca="1" si="937"/>
        <v/>
      </c>
      <c r="AA214" s="284" t="str">
        <f t="shared" ca="1" si="937"/>
        <v/>
      </c>
      <c r="AB214" s="284" t="str">
        <f t="shared" ca="1" si="937"/>
        <v/>
      </c>
      <c r="AC214" s="284" t="str">
        <f t="shared" ca="1" si="937"/>
        <v/>
      </c>
      <c r="AD214" s="283" t="str">
        <f t="shared" ca="1" si="937"/>
        <v/>
      </c>
      <c r="AE214" s="284" t="str">
        <f t="shared" ca="1" si="937"/>
        <v/>
      </c>
      <c r="AF214" s="284" t="str">
        <f t="shared" ca="1" si="937"/>
        <v/>
      </c>
      <c r="AG214" s="284" t="str">
        <f t="shared" ca="1" si="937"/>
        <v/>
      </c>
      <c r="AH214" s="284" t="str">
        <f t="shared" ca="1" si="937"/>
        <v/>
      </c>
      <c r="AI214" s="284" t="str">
        <f t="shared" ca="1" si="937"/>
        <v/>
      </c>
      <c r="AJ214" s="284" t="str">
        <f t="shared" ca="1" si="937"/>
        <v/>
      </c>
      <c r="AK214" s="284" t="str">
        <f t="shared" ca="1" si="937"/>
        <v/>
      </c>
      <c r="AL214" s="284" t="str">
        <f t="shared" ca="1" si="937"/>
        <v/>
      </c>
      <c r="AM214" s="284" t="str">
        <f t="shared" ca="1" si="937"/>
        <v/>
      </c>
      <c r="AN214" s="284" t="str">
        <f t="shared" ca="1" si="937"/>
        <v/>
      </c>
      <c r="AO214" s="284" t="str">
        <f t="shared" ca="1" si="937"/>
        <v/>
      </c>
      <c r="AP214" s="283" t="e">
        <f t="shared" ref="AP214:AP215" ca="1" si="938">IF(SUM(F214:K214)&lt;&gt;0,SUM(F214:K214),#N/A)</f>
        <v>#N/A</v>
      </c>
      <c r="AQ214" s="284" t="e">
        <f t="shared" ref="AQ214:AQ215" ca="1" si="939">IF(SUM(L214:Q214)&lt;&gt;0,SUM(L214:Q214),#N/A)</f>
        <v>#N/A</v>
      </c>
      <c r="AR214" s="283" t="e">
        <f t="shared" ref="AR214:AR215" ca="1" si="940">IF(SUM(R214:W214)&lt;&gt;0,SUM(R214:W214),#N/A)</f>
        <v>#N/A</v>
      </c>
      <c r="AS214" s="284" t="e">
        <f t="shared" ref="AS214:AS215" ca="1" si="941">IF(SUM(X214:AC214)&lt;&gt;0,SUM(X214:AC214),#N/A)</f>
        <v>#N/A</v>
      </c>
      <c r="AT214" s="283" t="e">
        <f t="shared" ref="AT214:AT215" ca="1" si="942">IF(SUM(AD214:AI214)&lt;&gt;0,SUM(AD214:AI214),#N/A)</f>
        <v>#N/A</v>
      </c>
      <c r="AU214" s="284" t="e">
        <f t="shared" ref="AU214:AU215" ca="1" si="943">IF(SUM(AJ214:AO214)&lt;&gt;0,SUM(AJ214:AO214),#N/A)</f>
        <v>#N/A</v>
      </c>
      <c r="AV214" s="283" t="str">
        <f ca="1">IF(IFERROR((AV$11*(AV206-SUM(AV208:AV211)/AV$11)*AV213*3600)/(AV212),"")&lt;&gt;0,IFERROR((AV$11*(AV206-SUM(AV208:AV211)/AV$11)*AV213*3600)/(AV212),""),"")</f>
        <v/>
      </c>
      <c r="AW214" s="284" t="str">
        <f t="shared" ref="AW214:BE214" ca="1" si="944">IF(IFERROR((AW$11*(AW206-SUM(AW208:AW211)/AW$11)*AW213*3600)/(AW212),"")&lt;&gt;0,IFERROR((AW$11*(AW206-SUM(AW208:AW211)/AW$11)*AW213*3600)/(AW212),""),"")</f>
        <v/>
      </c>
      <c r="AX214" s="283" t="str">
        <f t="shared" ca="1" si="944"/>
        <v/>
      </c>
      <c r="AY214" s="284" t="str">
        <f t="shared" ca="1" si="944"/>
        <v/>
      </c>
      <c r="AZ214" s="283" t="str">
        <f t="shared" ca="1" si="944"/>
        <v/>
      </c>
      <c r="BA214" s="284" t="str">
        <f t="shared" ca="1" si="944"/>
        <v/>
      </c>
      <c r="BB214" s="283" t="str">
        <f t="shared" ca="1" si="944"/>
        <v/>
      </c>
      <c r="BC214" s="284" t="str">
        <f t="shared" ca="1" si="944"/>
        <v/>
      </c>
      <c r="BD214" s="283" t="str">
        <f t="shared" ca="1" si="944"/>
        <v/>
      </c>
      <c r="BE214" s="285" t="str">
        <f t="shared" ca="1" si="944"/>
        <v/>
      </c>
      <c r="BF214" s="285" t="e">
        <f t="shared" ref="BF214:BF216" ca="1" si="945">IF(SUM(AP214,AQ214)&lt;&gt;0,SUM(AP214,AQ214),#N/A)</f>
        <v>#N/A</v>
      </c>
      <c r="BG214" s="285" t="e">
        <f t="shared" ref="BG214:BG216" ca="1" si="946">IF(SUM(AR214,AS214)&lt;&gt;0,SUM(AR214,AS214),#N/A)</f>
        <v>#N/A</v>
      </c>
      <c r="BH214" s="285" t="e">
        <f t="shared" ref="BH214:BH216" ca="1" si="947">IF(SUM(AT214,AU214)&lt;&gt;0,SUM(AT214,AU214),#N/A)</f>
        <v>#N/A</v>
      </c>
      <c r="BI214" s="285" t="e">
        <f t="shared" ref="BI214:BI216" ca="1" si="948">IF(SUM(AV214,AW214)&lt;&gt;0,SUM(AV214,AW214),#N/A)</f>
        <v>#N/A</v>
      </c>
      <c r="BJ214" s="285" t="e">
        <f t="shared" ref="BJ214:BJ216" ca="1" si="949">IF(SUM(AX214,AY214)&lt;&gt;0,SUM(AX214,AY214),#N/A)</f>
        <v>#N/A</v>
      </c>
      <c r="BK214" s="285" t="e">
        <f t="shared" ref="BK214:BK216" ca="1" si="950">IF(SUM(AZ214,BA214)&lt;&gt;0,SUM(AZ214,BA214),#N/A)</f>
        <v>#N/A</v>
      </c>
      <c r="BL214" s="285" t="e">
        <f t="shared" ref="BL214:BL216" ca="1" si="951">IF(SUM(BB214,BC214)&lt;&gt;0,SUM(BB214,BC214),#N/A)</f>
        <v>#N/A</v>
      </c>
      <c r="BM214" s="285" t="e">
        <f t="shared" ref="BM214:BM216" ca="1" si="952">IF(SUM(BD214,BE214)&lt;&gt;0,SUM(BD214,BE214),#N/A)</f>
        <v>#N/A</v>
      </c>
    </row>
    <row r="215" spans="1:65" s="102" customFormat="1" ht="15" customHeight="1" outlineLevel="1" thickBot="1" x14ac:dyDescent="0.25">
      <c r="A215" s="320" t="s">
        <v>226</v>
      </c>
      <c r="B215" s="348"/>
      <c r="C215" s="351"/>
      <c r="D215" s="345"/>
      <c r="E215" s="104" t="s">
        <v>225</v>
      </c>
      <c r="F215" s="36" t="str">
        <f ca="1">IFERROR(F214+((F205*F207*F213*3600)/(F212)),"")</f>
        <v/>
      </c>
      <c r="G215" s="37" t="str">
        <f t="shared" ref="G215:AO215" ca="1" si="953">IFERROR(G214+((G205*G207*G213*3600)/(G212)),"")</f>
        <v/>
      </c>
      <c r="H215" s="37" t="str">
        <f t="shared" ca="1" si="953"/>
        <v/>
      </c>
      <c r="I215" s="37" t="str">
        <f t="shared" ca="1" si="953"/>
        <v/>
      </c>
      <c r="J215" s="37" t="str">
        <f t="shared" ca="1" si="953"/>
        <v/>
      </c>
      <c r="K215" s="37" t="str">
        <f t="shared" ca="1" si="953"/>
        <v/>
      </c>
      <c r="L215" s="37" t="str">
        <f t="shared" ca="1" si="953"/>
        <v/>
      </c>
      <c r="M215" s="37" t="str">
        <f t="shared" ca="1" si="953"/>
        <v/>
      </c>
      <c r="N215" s="37" t="str">
        <f t="shared" ca="1" si="953"/>
        <v/>
      </c>
      <c r="O215" s="37" t="str">
        <f t="shared" ca="1" si="953"/>
        <v/>
      </c>
      <c r="P215" s="37" t="str">
        <f t="shared" ca="1" si="953"/>
        <v/>
      </c>
      <c r="Q215" s="37" t="str">
        <f t="shared" ca="1" si="953"/>
        <v/>
      </c>
      <c r="R215" s="36" t="str">
        <f t="shared" ca="1" si="953"/>
        <v/>
      </c>
      <c r="S215" s="37" t="str">
        <f t="shared" ca="1" si="953"/>
        <v/>
      </c>
      <c r="T215" s="37" t="str">
        <f t="shared" ca="1" si="953"/>
        <v/>
      </c>
      <c r="U215" s="37" t="str">
        <f t="shared" ca="1" si="953"/>
        <v/>
      </c>
      <c r="V215" s="37" t="str">
        <f t="shared" ca="1" si="953"/>
        <v/>
      </c>
      <c r="W215" s="37" t="str">
        <f t="shared" ca="1" si="953"/>
        <v/>
      </c>
      <c r="X215" s="37" t="str">
        <f t="shared" ca="1" si="953"/>
        <v/>
      </c>
      <c r="Y215" s="37" t="str">
        <f t="shared" ca="1" si="953"/>
        <v/>
      </c>
      <c r="Z215" s="37" t="str">
        <f t="shared" ca="1" si="953"/>
        <v/>
      </c>
      <c r="AA215" s="37" t="str">
        <f t="shared" ca="1" si="953"/>
        <v/>
      </c>
      <c r="AB215" s="37" t="str">
        <f t="shared" ca="1" si="953"/>
        <v/>
      </c>
      <c r="AC215" s="37" t="str">
        <f t="shared" ca="1" si="953"/>
        <v/>
      </c>
      <c r="AD215" s="36" t="str">
        <f t="shared" ca="1" si="953"/>
        <v/>
      </c>
      <c r="AE215" s="37" t="str">
        <f t="shared" ca="1" si="953"/>
        <v/>
      </c>
      <c r="AF215" s="37" t="str">
        <f t="shared" ca="1" si="953"/>
        <v/>
      </c>
      <c r="AG215" s="37" t="str">
        <f t="shared" ca="1" si="953"/>
        <v/>
      </c>
      <c r="AH215" s="37" t="str">
        <f t="shared" ca="1" si="953"/>
        <v/>
      </c>
      <c r="AI215" s="37" t="str">
        <f t="shared" ca="1" si="953"/>
        <v/>
      </c>
      <c r="AJ215" s="37" t="str">
        <f t="shared" ca="1" si="953"/>
        <v/>
      </c>
      <c r="AK215" s="37" t="str">
        <f t="shared" ca="1" si="953"/>
        <v/>
      </c>
      <c r="AL215" s="37" t="str">
        <f t="shared" ca="1" si="953"/>
        <v/>
      </c>
      <c r="AM215" s="37" t="str">
        <f t="shared" ca="1" si="953"/>
        <v/>
      </c>
      <c r="AN215" s="37" t="str">
        <f t="shared" ca="1" si="953"/>
        <v/>
      </c>
      <c r="AO215" s="37" t="str">
        <f t="shared" ca="1" si="953"/>
        <v/>
      </c>
      <c r="AP215" s="36" t="e">
        <f t="shared" ca="1" si="938"/>
        <v>#N/A</v>
      </c>
      <c r="AQ215" s="37" t="e">
        <f t="shared" ca="1" si="939"/>
        <v>#N/A</v>
      </c>
      <c r="AR215" s="36" t="e">
        <f t="shared" ca="1" si="940"/>
        <v>#N/A</v>
      </c>
      <c r="AS215" s="37" t="e">
        <f t="shared" ca="1" si="941"/>
        <v>#N/A</v>
      </c>
      <c r="AT215" s="36" t="e">
        <f t="shared" ca="1" si="942"/>
        <v>#N/A</v>
      </c>
      <c r="AU215" s="37" t="e">
        <f t="shared" ca="1" si="943"/>
        <v>#N/A</v>
      </c>
      <c r="AV215" s="36" t="str">
        <f t="shared" ref="AV215:BE215" ca="1" si="954">IFERROR(AV214+((AV205*AV207*AV213*3600)/(AV212)),"")</f>
        <v/>
      </c>
      <c r="AW215" s="37" t="str">
        <f t="shared" ca="1" si="954"/>
        <v/>
      </c>
      <c r="AX215" s="36" t="str">
        <f t="shared" ca="1" si="954"/>
        <v/>
      </c>
      <c r="AY215" s="37" t="str">
        <f t="shared" ca="1" si="954"/>
        <v/>
      </c>
      <c r="AZ215" s="36" t="str">
        <f t="shared" ca="1" si="954"/>
        <v/>
      </c>
      <c r="BA215" s="37" t="str">
        <f t="shared" ca="1" si="954"/>
        <v/>
      </c>
      <c r="BB215" s="36" t="str">
        <f t="shared" ca="1" si="954"/>
        <v/>
      </c>
      <c r="BC215" s="37" t="str">
        <f t="shared" ca="1" si="954"/>
        <v/>
      </c>
      <c r="BD215" s="36" t="str">
        <f t="shared" ca="1" si="954"/>
        <v/>
      </c>
      <c r="BE215" s="43" t="str">
        <f t="shared" ca="1" si="954"/>
        <v/>
      </c>
      <c r="BF215" s="43" t="e">
        <f t="shared" ca="1" si="945"/>
        <v>#N/A</v>
      </c>
      <c r="BG215" s="43" t="e">
        <f t="shared" ca="1" si="946"/>
        <v>#N/A</v>
      </c>
      <c r="BH215" s="43" t="e">
        <f t="shared" ca="1" si="947"/>
        <v>#N/A</v>
      </c>
      <c r="BI215" s="43" t="e">
        <f t="shared" ca="1" si="948"/>
        <v>#N/A</v>
      </c>
      <c r="BJ215" s="43" t="e">
        <f t="shared" ca="1" si="949"/>
        <v>#N/A</v>
      </c>
      <c r="BK215" s="43" t="e">
        <f t="shared" ca="1" si="950"/>
        <v>#N/A</v>
      </c>
      <c r="BL215" s="43" t="e">
        <f t="shared" ca="1" si="951"/>
        <v>#N/A</v>
      </c>
      <c r="BM215" s="43" t="e">
        <f t="shared" ca="1" si="952"/>
        <v>#N/A</v>
      </c>
    </row>
    <row r="216" spans="1:65" s="102" customFormat="1" ht="22.5" outlineLevel="2" x14ac:dyDescent="0.2">
      <c r="A216" s="320" t="s">
        <v>226</v>
      </c>
      <c r="B216" s="346"/>
      <c r="C216" s="349" t="str">
        <f t="shared" ref="C216" si="955">IF(AND($B216&lt;&gt;0,$C$9&lt;&gt;0),$C$9,"")</f>
        <v/>
      </c>
      <c r="D216" s="343"/>
      <c r="E216" s="277" t="s">
        <v>40</v>
      </c>
      <c r="F216" s="33">
        <f ca="1">IF(F$11-(SUM(F220:F223)/24)=0,"",F$11-(SUM(F220:F223)/24))</f>
        <v>27</v>
      </c>
      <c r="G216" s="34">
        <f t="shared" ref="G216:AO216" ca="1" si="956">IF(G$11-(SUM(G220:G223)/24)=0,"",G$11-(SUM(G220:G223)/24))</f>
        <v>24</v>
      </c>
      <c r="H216" s="34">
        <f t="shared" ca="1" si="956"/>
        <v>26</v>
      </c>
      <c r="I216" s="34">
        <f t="shared" ca="1" si="956"/>
        <v>26</v>
      </c>
      <c r="J216" s="34">
        <f t="shared" ca="1" si="956"/>
        <v>27</v>
      </c>
      <c r="K216" s="34">
        <f t="shared" ca="1" si="956"/>
        <v>25</v>
      </c>
      <c r="L216" s="34">
        <f t="shared" ca="1" si="956"/>
        <v>27</v>
      </c>
      <c r="M216" s="34">
        <f t="shared" ca="1" si="956"/>
        <v>26</v>
      </c>
      <c r="N216" s="34">
        <f t="shared" ca="1" si="956"/>
        <v>26</v>
      </c>
      <c r="O216" s="34">
        <f t="shared" ca="1" si="956"/>
        <v>27</v>
      </c>
      <c r="P216" s="34">
        <f t="shared" ca="1" si="956"/>
        <v>25</v>
      </c>
      <c r="Q216" s="34">
        <f t="shared" ca="1" si="956"/>
        <v>27</v>
      </c>
      <c r="R216" s="32">
        <f t="shared" ca="1" si="956"/>
        <v>27</v>
      </c>
      <c r="S216" s="29">
        <f t="shared" ca="1" si="956"/>
        <v>24</v>
      </c>
      <c r="T216" s="29">
        <f t="shared" ca="1" si="956"/>
        <v>26</v>
      </c>
      <c r="U216" s="29">
        <f t="shared" ca="1" si="956"/>
        <v>26</v>
      </c>
      <c r="V216" s="29">
        <f t="shared" ca="1" si="956"/>
        <v>26</v>
      </c>
      <c r="W216" s="29">
        <f t="shared" ca="1" si="956"/>
        <v>26</v>
      </c>
      <c r="X216" s="29">
        <f t="shared" ca="1" si="956"/>
        <v>27</v>
      </c>
      <c r="Y216" s="29">
        <f t="shared" ca="1" si="956"/>
        <v>26</v>
      </c>
      <c r="Z216" s="29">
        <f t="shared" ca="1" si="956"/>
        <v>26</v>
      </c>
      <c r="AA216" s="29">
        <f t="shared" ca="1" si="956"/>
        <v>27</v>
      </c>
      <c r="AB216" s="29">
        <f t="shared" ca="1" si="956"/>
        <v>25</v>
      </c>
      <c r="AC216" s="29">
        <f t="shared" ca="1" si="956"/>
        <v>27</v>
      </c>
      <c r="AD216" s="32">
        <f t="shared" ca="1" si="956"/>
        <v>26</v>
      </c>
      <c r="AE216" s="29">
        <f t="shared" ca="1" si="956"/>
        <v>24</v>
      </c>
      <c r="AF216" s="29">
        <f t="shared" ca="1" si="956"/>
        <v>27</v>
      </c>
      <c r="AG216" s="29">
        <f t="shared" ca="1" si="956"/>
        <v>26</v>
      </c>
      <c r="AH216" s="29">
        <f t="shared" ca="1" si="956"/>
        <v>26</v>
      </c>
      <c r="AI216" s="29">
        <f t="shared" ca="1" si="956"/>
        <v>26</v>
      </c>
      <c r="AJ216" s="29">
        <f t="shared" ca="1" si="956"/>
        <v>27</v>
      </c>
      <c r="AK216" s="29">
        <f t="shared" ca="1" si="956"/>
        <v>26</v>
      </c>
      <c r="AL216" s="29">
        <f t="shared" ca="1" si="956"/>
        <v>26</v>
      </c>
      <c r="AM216" s="29">
        <f t="shared" ca="1" si="956"/>
        <v>26</v>
      </c>
      <c r="AN216" s="29">
        <f t="shared" ca="1" si="956"/>
        <v>26</v>
      </c>
      <c r="AO216" s="29">
        <f t="shared" ca="1" si="956"/>
        <v>27</v>
      </c>
      <c r="AP216" s="32">
        <f ca="1">IF(SUM(F216:K216)&lt;&gt;0,SUM(F216:K216),"")</f>
        <v>155</v>
      </c>
      <c r="AQ216" s="29">
        <f ca="1">IF(SUM(L216:Q216)&lt;&gt;0,SUM(L216:Q216),"")</f>
        <v>158</v>
      </c>
      <c r="AR216" s="32">
        <f ca="1">IF(SUM(R216:W216)&lt;&gt;0,SUM(R216:W216),"")</f>
        <v>155</v>
      </c>
      <c r="AS216" s="29">
        <f ca="1">IF(SUM(X216:AC216)&lt;&gt;0,SUM(X216:AC216),"")</f>
        <v>158</v>
      </c>
      <c r="AT216" s="32">
        <f ca="1">IF(SUM(AD216:AI216)&lt;&gt;0,SUM(AD216:AI216),"")</f>
        <v>155</v>
      </c>
      <c r="AU216" s="296">
        <f ca="1">SUM(AJ216:AO216)</f>
        <v>158</v>
      </c>
      <c r="AV216" s="32">
        <f t="shared" ref="AV216:BE216" ca="1" si="957">IF(AV$11-(SUM(AV220:AV223)/24)=0,"",AV$11-(SUM(AV220:AV223)/24))</f>
        <v>156</v>
      </c>
      <c r="AW216" s="29">
        <f t="shared" ca="1" si="957"/>
        <v>157</v>
      </c>
      <c r="AX216" s="32">
        <f t="shared" ca="1" si="957"/>
        <v>156</v>
      </c>
      <c r="AY216" s="29">
        <f t="shared" ca="1" si="957"/>
        <v>158</v>
      </c>
      <c r="AZ216" s="32">
        <f t="shared" ca="1" si="957"/>
        <v>155</v>
      </c>
      <c r="BA216" s="29">
        <f t="shared" ca="1" si="957"/>
        <v>158</v>
      </c>
      <c r="BB216" s="32">
        <f t="shared" ca="1" si="957"/>
        <v>155</v>
      </c>
      <c r="BC216" s="29">
        <f t="shared" ca="1" si="957"/>
        <v>158</v>
      </c>
      <c r="BD216" s="32">
        <f t="shared" ca="1" si="957"/>
        <v>156</v>
      </c>
      <c r="BE216" s="262">
        <f t="shared" ca="1" si="957"/>
        <v>158</v>
      </c>
      <c r="BF216" s="286">
        <f t="shared" ca="1" si="945"/>
        <v>313</v>
      </c>
      <c r="BG216" s="286">
        <f t="shared" ca="1" si="946"/>
        <v>313</v>
      </c>
      <c r="BH216" s="286">
        <f t="shared" ca="1" si="947"/>
        <v>313</v>
      </c>
      <c r="BI216" s="286">
        <f t="shared" ca="1" si="948"/>
        <v>313</v>
      </c>
      <c r="BJ216" s="286">
        <f t="shared" ca="1" si="949"/>
        <v>314</v>
      </c>
      <c r="BK216" s="286">
        <f t="shared" ca="1" si="950"/>
        <v>313</v>
      </c>
      <c r="BL216" s="286">
        <f t="shared" ca="1" si="951"/>
        <v>313</v>
      </c>
      <c r="BM216" s="286">
        <f t="shared" ca="1" si="952"/>
        <v>314</v>
      </c>
    </row>
    <row r="217" spans="1:65" s="102" customFormat="1" ht="15" customHeight="1" outlineLevel="2" thickBot="1" x14ac:dyDescent="0.25">
      <c r="A217" s="320" t="s">
        <v>226</v>
      </c>
      <c r="B217" s="347"/>
      <c r="C217" s="350"/>
      <c r="D217" s="344"/>
      <c r="E217" s="278" t="s">
        <v>29</v>
      </c>
      <c r="F217" s="47"/>
      <c r="G217" s="48"/>
      <c r="H217" s="48"/>
      <c r="I217" s="48"/>
      <c r="J217" s="48"/>
      <c r="K217" s="48"/>
      <c r="L217" s="48"/>
      <c r="M217" s="48"/>
      <c r="N217" s="48"/>
      <c r="O217" s="48"/>
      <c r="P217" s="48"/>
      <c r="Q217" s="51"/>
      <c r="R217" s="47"/>
      <c r="S217" s="48"/>
      <c r="T217" s="48"/>
      <c r="U217" s="48"/>
      <c r="V217" s="48"/>
      <c r="W217" s="48"/>
      <c r="X217" s="48"/>
      <c r="Y217" s="48"/>
      <c r="Z217" s="48"/>
      <c r="AA217" s="48"/>
      <c r="AB217" s="48"/>
      <c r="AC217" s="51"/>
      <c r="AD217" s="47"/>
      <c r="AE217" s="48"/>
      <c r="AF217" s="48"/>
      <c r="AG217" s="48"/>
      <c r="AH217" s="48"/>
      <c r="AI217" s="48"/>
      <c r="AJ217" s="48"/>
      <c r="AK217" s="48"/>
      <c r="AL217" s="48"/>
      <c r="AM217" s="48"/>
      <c r="AN217" s="48"/>
      <c r="AO217" s="51"/>
      <c r="AP217" s="294" t="str">
        <f>IFERROR(IF(SUM(F217:K217)&lt;&gt;0,SUM(F217:K217),""),"")</f>
        <v/>
      </c>
      <c r="AQ217" s="295" t="str">
        <f>IFERROR(IF(SUM(L217:Q217)&lt;&gt;0,SUM(L217:Q217),""),"")</f>
        <v/>
      </c>
      <c r="AR217" s="294" t="str">
        <f>IFERROR(IF(SUM(R217:W217)&lt;&gt;0,SUM(R217:W217),""),"")</f>
        <v/>
      </c>
      <c r="AS217" s="295" t="str">
        <f>IFERROR(IF(SUM(X217:AC217)&lt;&gt;0,SUM(X217:AC217),""),"")</f>
        <v/>
      </c>
      <c r="AT217" s="294" t="str">
        <f>IFERROR(IF(SUM(AD217:AI217)&lt;&gt;0,SUM(AD217:AI217),""),"")</f>
        <v/>
      </c>
      <c r="AU217" s="295" t="str">
        <f>IFERROR(IF(SUM(AJ217:AO217)&lt;&gt;0,SUM(AJ217:AO217),""),"")</f>
        <v/>
      </c>
      <c r="AV217" s="47"/>
      <c r="AW217" s="51"/>
      <c r="AX217" s="47"/>
      <c r="AY217" s="51"/>
      <c r="AZ217" s="47"/>
      <c r="BA217" s="51"/>
      <c r="BB217" s="47"/>
      <c r="BC217" s="51"/>
      <c r="BD217" s="47"/>
      <c r="BE217" s="263"/>
      <c r="BF217" s="271" t="str">
        <f>IFERROR(IF(AVERAGE(AP217:AQ217)&lt;&gt;0,AVERAGE(AP217:AQ217),""),"")</f>
        <v/>
      </c>
      <c r="BG217" s="271" t="str">
        <f>IFERROR(IF(AVERAGE(AR217:AS217)&lt;&gt;0,AVERAGE(AR217:AS217),""),"")</f>
        <v/>
      </c>
      <c r="BH217" s="271" t="str">
        <f>IFERROR(IF(AVERAGE(AT217:AU217)&lt;&gt;0,AVERAGE(AT217:AU217),""),"")</f>
        <v/>
      </c>
      <c r="BI217" s="271" t="str">
        <f>IFERROR(IF(AVERAGE(AV217:AW217)&lt;&gt;0,AVERAGE(AV217:AW217),""),"")</f>
        <v/>
      </c>
      <c r="BJ217" s="271" t="str">
        <f>IFERROR(IF(AVERAGE(AX217:AY217)&lt;&gt;0,AVERAGE(AX217:AY217),""),"")</f>
        <v/>
      </c>
      <c r="BK217" s="271" t="str">
        <f>IFERROR(IF(AVERAGE(AZ217:BA217)&lt;&gt;0,AVERAGE(AZ217:BA217),""),"")</f>
        <v/>
      </c>
      <c r="BL217" s="271" t="str">
        <f>IFERROR(IF(AVERAGE(BB217:BC217)&lt;&gt;0,AVERAGE(BB217:BC217),""),"")</f>
        <v/>
      </c>
      <c r="BM217" s="271" t="str">
        <f>IFERROR(IF(AVERAGE(BD217:BE217)&lt;&gt;0,AVERAGE(BD217:BE217),""),"")</f>
        <v/>
      </c>
    </row>
    <row r="218" spans="1:65" s="102" customFormat="1" ht="14.25" customHeight="1" outlineLevel="2" x14ac:dyDescent="0.2">
      <c r="A218" s="320" t="s">
        <v>226</v>
      </c>
      <c r="B218" s="347"/>
      <c r="C218" s="350"/>
      <c r="D218" s="344"/>
      <c r="E218" s="279" t="s">
        <v>28</v>
      </c>
      <c r="F218" s="52"/>
      <c r="G218" s="53"/>
      <c r="H218" s="53"/>
      <c r="I218" s="53"/>
      <c r="J218" s="53"/>
      <c r="K218" s="53"/>
      <c r="L218" s="53"/>
      <c r="M218" s="53"/>
      <c r="N218" s="53"/>
      <c r="O218" s="53"/>
      <c r="P218" s="53"/>
      <c r="Q218" s="54"/>
      <c r="R218" s="52"/>
      <c r="S218" s="53"/>
      <c r="T218" s="53"/>
      <c r="U218" s="53"/>
      <c r="V218" s="53"/>
      <c r="W218" s="53"/>
      <c r="X218" s="53"/>
      <c r="Y218" s="53"/>
      <c r="Z218" s="53"/>
      <c r="AA218" s="53"/>
      <c r="AB218" s="53"/>
      <c r="AC218" s="54"/>
      <c r="AD218" s="52"/>
      <c r="AE218" s="53"/>
      <c r="AF218" s="53"/>
      <c r="AG218" s="53"/>
      <c r="AH218" s="53"/>
      <c r="AI218" s="53"/>
      <c r="AJ218" s="53"/>
      <c r="AK218" s="53"/>
      <c r="AL218" s="53"/>
      <c r="AM218" s="53"/>
      <c r="AN218" s="53"/>
      <c r="AO218" s="54"/>
      <c r="AP218" s="225" t="str">
        <f>IFERROR(IF(AVERAGE(F218:K218)&lt;&gt;0,AVERAGE(F218:K218),""),"")</f>
        <v/>
      </c>
      <c r="AQ218" s="226" t="str">
        <f>IFERROR(IF(AVERAGE(L218:Q218)&lt;&gt;0,AVERAGE(L218:Q218),""),"")</f>
        <v/>
      </c>
      <c r="AR218" s="225" t="str">
        <f>IFERROR(IF(AVERAGE(R218:W218)&lt;&gt;0,AVERAGE(R218:W218),""),"")</f>
        <v/>
      </c>
      <c r="AS218" s="226" t="str">
        <f>IFERROR(IF(AVERAGE(X218:AC218)&lt;&gt;0,AVERAGE(X218:AC218),""),"")</f>
        <v/>
      </c>
      <c r="AT218" s="225" t="str">
        <f>IFERROR(IF(AVERAGE(AD218:AI218)&lt;&gt;0,AVERAGE(AD218:AI218),""),"")</f>
        <v/>
      </c>
      <c r="AU218" s="226" t="str">
        <f>IFERROR(IF(AVERAGE(AJ218:AO218)&lt;&gt;0,AVERAGE(AJ218:AO218),""),"")</f>
        <v/>
      </c>
      <c r="AV218" s="70"/>
      <c r="AW218" s="53"/>
      <c r="AX218" s="70"/>
      <c r="AY218" s="53"/>
      <c r="AZ218" s="70"/>
      <c r="BA218" s="53"/>
      <c r="BB218" s="70"/>
      <c r="BC218" s="53"/>
      <c r="BD218" s="70"/>
      <c r="BE218" s="264"/>
      <c r="BF218" s="272" t="str">
        <f>IFERROR(IF(AVERAGE(AP218:AQ218)&lt;&gt;0,AVERAGE(AP218:AQ218),""),"")</f>
        <v/>
      </c>
      <c r="BG218" s="272" t="str">
        <f>IFERROR(IF(AVERAGE(AR218:AS218)&lt;&gt;0,AVERAGE(AR218:AS218),""),"")</f>
        <v/>
      </c>
      <c r="BH218" s="272" t="str">
        <f>IFERROR(IF(AVERAGE(AT218:AU218)&lt;&gt;0,AVERAGE(AT218:AU218),""),"")</f>
        <v/>
      </c>
      <c r="BI218" s="272" t="str">
        <f>IFERROR(IF(AVERAGE(AV218:AW218)&lt;&gt;0,AVERAGE(AV218:AW218),""),"")</f>
        <v/>
      </c>
      <c r="BJ218" s="272" t="str">
        <f>IFERROR(IF(AVERAGE(AX218:AY218)&lt;&gt;0,AVERAGE(AX218:AY218),""),"")</f>
        <v/>
      </c>
      <c r="BK218" s="272" t="str">
        <f>IFERROR(IF(AVERAGE(AZ218:BA218)&lt;&gt;0,AVERAGE(AZ218:BA218),""),"")</f>
        <v/>
      </c>
      <c r="BL218" s="272" t="str">
        <f>IFERROR(IF(AVERAGE(BB218:BC218)&lt;&gt;0,AVERAGE(BB218:BC218),""),"")</f>
        <v/>
      </c>
      <c r="BM218" s="272" t="str">
        <f>IFERROR(IF(AVERAGE(BD218:BE218)&lt;&gt;0,AVERAGE(BD218:BE218),""),"")</f>
        <v/>
      </c>
    </row>
    <row r="219" spans="1:65" s="102" customFormat="1" ht="15" customHeight="1" outlineLevel="2" thickBot="1" x14ac:dyDescent="0.25">
      <c r="A219" s="320" t="s">
        <v>226</v>
      </c>
      <c r="B219" s="347"/>
      <c r="C219" s="350"/>
      <c r="D219" s="344"/>
      <c r="E219" s="278" t="s">
        <v>30</v>
      </c>
      <c r="F219" s="55"/>
      <c r="G219" s="56"/>
      <c r="H219" s="56"/>
      <c r="I219" s="56"/>
      <c r="J219" s="56"/>
      <c r="K219" s="56"/>
      <c r="L219" s="56"/>
      <c r="M219" s="56"/>
      <c r="N219" s="56"/>
      <c r="O219" s="56"/>
      <c r="P219" s="56"/>
      <c r="Q219" s="57"/>
      <c r="R219" s="55"/>
      <c r="S219" s="56"/>
      <c r="T219" s="56"/>
      <c r="U219" s="56"/>
      <c r="V219" s="56"/>
      <c r="W219" s="56"/>
      <c r="X219" s="56"/>
      <c r="Y219" s="56"/>
      <c r="Z219" s="56"/>
      <c r="AA219" s="56"/>
      <c r="AB219" s="56"/>
      <c r="AC219" s="57"/>
      <c r="AD219" s="55"/>
      <c r="AE219" s="56"/>
      <c r="AF219" s="56"/>
      <c r="AG219" s="56"/>
      <c r="AH219" s="56"/>
      <c r="AI219" s="56"/>
      <c r="AJ219" s="56"/>
      <c r="AK219" s="56"/>
      <c r="AL219" s="56"/>
      <c r="AM219" s="56"/>
      <c r="AN219" s="56"/>
      <c r="AO219" s="57"/>
      <c r="AP219" s="227" t="str">
        <f>IFERROR(IF(AVERAGE(F219:K219)&lt;&gt;0,AVERAGE(F219:K219),""),"")</f>
        <v/>
      </c>
      <c r="AQ219" s="228" t="str">
        <f>IFERROR(IF(AVERAGE(L219:Q219)&lt;&gt;0,AVERAGE(L219:Q219),""),"")</f>
        <v/>
      </c>
      <c r="AR219" s="227" t="str">
        <f>IFERROR(IF(AVERAGE(R219:W219)&lt;&gt;0,AVERAGE(R219:W219),""),"")</f>
        <v/>
      </c>
      <c r="AS219" s="228" t="str">
        <f>IFERROR(IF(AVERAGE(X219:AC219)&lt;&gt;0,AVERAGE(X219:AC219),""),"")</f>
        <v/>
      </c>
      <c r="AT219" s="227" t="str">
        <f>IFERROR(IF(AVERAGE(AD219:AI219)&lt;&gt;0,AVERAGE(AD219:AI219),""),"")</f>
        <v/>
      </c>
      <c r="AU219" s="228" t="str">
        <f>IFERROR(IF(AVERAGE(AJ219:AO219)&lt;&gt;0,AVERAGE(AJ219:AO219),""),"")</f>
        <v/>
      </c>
      <c r="AV219" s="71"/>
      <c r="AW219" s="56"/>
      <c r="AX219" s="71"/>
      <c r="AY219" s="56"/>
      <c r="AZ219" s="71"/>
      <c r="BA219" s="56"/>
      <c r="BB219" s="71"/>
      <c r="BC219" s="56"/>
      <c r="BD219" s="71"/>
      <c r="BE219" s="265"/>
      <c r="BF219" s="273" t="str">
        <f>IFERROR(IF(AVERAGE(AP219:AQ219)&lt;&gt;0,AVERAGE(AP219:AQ219),""),"")</f>
        <v/>
      </c>
      <c r="BG219" s="273" t="str">
        <f>IFERROR(IF(AVERAGE(AR219:AS219)&lt;&gt;0,AVERAGE(AR219:AS219),""),"")</f>
        <v/>
      </c>
      <c r="BH219" s="273" t="str">
        <f>IFERROR(IF(AVERAGE(AT219:AU219)&lt;&gt;0,AVERAGE(AT219:AU219),""),"")</f>
        <v/>
      </c>
      <c r="BI219" s="273" t="str">
        <f>IFERROR(IF(AVERAGE(AV219:AW219)&lt;&gt;0,AVERAGE(AV219:AW219),""),"")</f>
        <v/>
      </c>
      <c r="BJ219" s="273" t="str">
        <f>IFERROR(IF(AVERAGE(AX219:AY219)&lt;&gt;0,AVERAGE(AX219:AY219),""),"")</f>
        <v/>
      </c>
      <c r="BK219" s="273" t="str">
        <f>IFERROR(IF(AVERAGE(AZ219:BA219)&lt;&gt;0,AVERAGE(AZ219:BA219),""),"")</f>
        <v/>
      </c>
      <c r="BL219" s="273" t="str">
        <f>IFERROR(IF(AVERAGE(BB219:BC219)&lt;&gt;0,AVERAGE(BB219:BC219),""),"")</f>
        <v/>
      </c>
      <c r="BM219" s="273" t="str">
        <f>IFERROR(IF(AVERAGE(BD219:BE219)&lt;&gt;0,AVERAGE(BD219:BE219),""),"")</f>
        <v/>
      </c>
    </row>
    <row r="220" spans="1:65" s="102" customFormat="1" ht="14.25" customHeight="1" outlineLevel="2" x14ac:dyDescent="0.2">
      <c r="A220" s="320" t="s">
        <v>226</v>
      </c>
      <c r="B220" s="347"/>
      <c r="C220" s="350"/>
      <c r="D220" s="344"/>
      <c r="E220" s="279" t="s">
        <v>25</v>
      </c>
      <c r="F220" s="58"/>
      <c r="G220" s="50"/>
      <c r="H220" s="50"/>
      <c r="I220" s="50"/>
      <c r="J220" s="50"/>
      <c r="K220" s="50"/>
      <c r="L220" s="50"/>
      <c r="M220" s="50"/>
      <c r="N220" s="50"/>
      <c r="O220" s="50"/>
      <c r="P220" s="50"/>
      <c r="Q220" s="59"/>
      <c r="R220" s="58"/>
      <c r="S220" s="50"/>
      <c r="T220" s="50"/>
      <c r="U220" s="50"/>
      <c r="V220" s="50"/>
      <c r="W220" s="50"/>
      <c r="X220" s="50"/>
      <c r="Y220" s="50"/>
      <c r="Z220" s="50"/>
      <c r="AA220" s="50"/>
      <c r="AB220" s="50"/>
      <c r="AC220" s="59"/>
      <c r="AD220" s="58"/>
      <c r="AE220" s="50"/>
      <c r="AF220" s="50"/>
      <c r="AG220" s="50"/>
      <c r="AH220" s="50"/>
      <c r="AI220" s="50"/>
      <c r="AJ220" s="50"/>
      <c r="AK220" s="50"/>
      <c r="AL220" s="50"/>
      <c r="AM220" s="50"/>
      <c r="AN220" s="50"/>
      <c r="AO220" s="59"/>
      <c r="AP220" s="229" t="str">
        <f>IFERROR(IF(SUM(F220:K220)&lt;&gt;0,SUM(F220:K220),""),"")</f>
        <v/>
      </c>
      <c r="AQ220" s="230" t="str">
        <f>IFERROR(IF(SUM(L220:Q220)&lt;&gt;0,SUM(L220:Q220),""),"")</f>
        <v/>
      </c>
      <c r="AR220" s="229" t="str">
        <f>IFERROR(IF(SUM(R220:W220)&lt;&gt;0,SUM(R220:W220),""),"")</f>
        <v/>
      </c>
      <c r="AS220" s="230" t="str">
        <f>IFERROR(IF(SUM(X220:AC220)&lt;&gt;0,SUM(X220:AC220),""),"")</f>
        <v/>
      </c>
      <c r="AT220" s="229" t="str">
        <f>IFERROR(IF(SUM(AD220:AI220)&lt;&gt;0,SUM(AD220:AI220),""),"")</f>
        <v/>
      </c>
      <c r="AU220" s="230" t="str">
        <f>IFERROR(IF(SUM(AJ220:AO220)&lt;&gt;0,SUM(AJ220:AO220),""),"")</f>
        <v/>
      </c>
      <c r="AV220" s="72"/>
      <c r="AW220" s="73"/>
      <c r="AX220" s="72"/>
      <c r="AY220" s="73"/>
      <c r="AZ220" s="72"/>
      <c r="BA220" s="73"/>
      <c r="BB220" s="72"/>
      <c r="BC220" s="73"/>
      <c r="BD220" s="72"/>
      <c r="BE220" s="266"/>
      <c r="BF220" s="286" t="e">
        <f t="shared" ref="BF220:BF223" si="958">IF(SUM(AP220,AQ220)&lt;&gt;0,SUM(AP220,AQ220),#N/A)</f>
        <v>#N/A</v>
      </c>
      <c r="BG220" s="286" t="e">
        <f t="shared" ref="BG220:BG223" si="959">IF(SUM(AR220,AS220)&lt;&gt;0,SUM(AR220,AS220),#N/A)</f>
        <v>#N/A</v>
      </c>
      <c r="BH220" s="286" t="e">
        <f t="shared" ref="BH220:BH223" si="960">IF(SUM(AT220,AU220)&lt;&gt;0,SUM(AT220,AU220),#N/A)</f>
        <v>#N/A</v>
      </c>
      <c r="BI220" s="286" t="e">
        <f t="shared" ref="BI220:BI223" si="961">IF(SUM(AV220,AW220)&lt;&gt;0,SUM(AV220,AW220),#N/A)</f>
        <v>#N/A</v>
      </c>
      <c r="BJ220" s="286" t="e">
        <f t="shared" ref="BJ220:BJ223" si="962">IF(SUM(AX220,AY220)&lt;&gt;0,SUM(AX220,AY220),#N/A)</f>
        <v>#N/A</v>
      </c>
      <c r="BK220" s="286" t="e">
        <f t="shared" ref="BK220:BK223" si="963">IF(SUM(AZ220,BA220)&lt;&gt;0,SUM(AZ220,BA220),#N/A)</f>
        <v>#N/A</v>
      </c>
      <c r="BL220" s="286" t="e">
        <f t="shared" ref="BL220:BL223" si="964">IF(SUM(BB220,BC220)&lt;&gt;0,SUM(BB220,BC220),#N/A)</f>
        <v>#N/A</v>
      </c>
      <c r="BM220" s="286" t="e">
        <f t="shared" ref="BM220:BM223" si="965">IF(SUM(BD220,BE220)&lt;&gt;0,SUM(BD220,BE220),#N/A)</f>
        <v>#N/A</v>
      </c>
    </row>
    <row r="221" spans="1:65" s="102" customFormat="1" ht="14.25" customHeight="1" outlineLevel="2" x14ac:dyDescent="0.2">
      <c r="A221" s="320" t="s">
        <v>226</v>
      </c>
      <c r="B221" s="347"/>
      <c r="C221" s="350"/>
      <c r="D221" s="344"/>
      <c r="E221" s="280" t="s">
        <v>26</v>
      </c>
      <c r="F221" s="60"/>
      <c r="G221" s="61"/>
      <c r="H221" s="61"/>
      <c r="I221" s="61"/>
      <c r="J221" s="61"/>
      <c r="K221" s="61"/>
      <c r="L221" s="61"/>
      <c r="M221" s="61"/>
      <c r="N221" s="61"/>
      <c r="O221" s="61"/>
      <c r="P221" s="61"/>
      <c r="Q221" s="62"/>
      <c r="R221" s="60"/>
      <c r="S221" s="61"/>
      <c r="T221" s="61"/>
      <c r="U221" s="61"/>
      <c r="V221" s="61"/>
      <c r="W221" s="61"/>
      <c r="X221" s="61"/>
      <c r="Y221" s="61"/>
      <c r="Z221" s="61"/>
      <c r="AA221" s="61"/>
      <c r="AB221" s="61"/>
      <c r="AC221" s="62"/>
      <c r="AD221" s="60"/>
      <c r="AE221" s="61"/>
      <c r="AF221" s="61"/>
      <c r="AG221" s="61"/>
      <c r="AH221" s="61"/>
      <c r="AI221" s="61"/>
      <c r="AJ221" s="61"/>
      <c r="AK221" s="61"/>
      <c r="AL221" s="61"/>
      <c r="AM221" s="61"/>
      <c r="AN221" s="61"/>
      <c r="AO221" s="62"/>
      <c r="AP221" s="231" t="str">
        <f>IFERROR(IF(SUM(F221:K221)&lt;&gt;0,SUM(F221:K221),""),"")</f>
        <v/>
      </c>
      <c r="AQ221" s="232" t="str">
        <f>IFERROR(IF(SUM(L221:Q221)&lt;&gt;0,SUM(L221:Q221),""),"")</f>
        <v/>
      </c>
      <c r="AR221" s="231" t="str">
        <f>IFERROR(IF(SUM(R221:W221)&lt;&gt;0,SUM(R221:W221),""),"")</f>
        <v/>
      </c>
      <c r="AS221" s="232" t="str">
        <f>IFERROR(IF(SUM(X221:AC221)&lt;&gt;0,SUM(X221:AC221),""),"")</f>
        <v/>
      </c>
      <c r="AT221" s="231" t="str">
        <f>IFERROR(IF(SUM(AD221:AI221)&lt;&gt;0,SUM(AD221:AI221),""),"")</f>
        <v/>
      </c>
      <c r="AU221" s="232" t="str">
        <f>IFERROR(IF(SUM(AJ221:AO221)&lt;&gt;0,SUM(AJ221:AO221),""),"")</f>
        <v/>
      </c>
      <c r="AV221" s="74"/>
      <c r="AW221" s="61"/>
      <c r="AX221" s="74"/>
      <c r="AY221" s="61"/>
      <c r="AZ221" s="74"/>
      <c r="BA221" s="61"/>
      <c r="BB221" s="74"/>
      <c r="BC221" s="61"/>
      <c r="BD221" s="74"/>
      <c r="BE221" s="267"/>
      <c r="BF221" s="287" t="e">
        <f t="shared" si="958"/>
        <v>#N/A</v>
      </c>
      <c r="BG221" s="287" t="e">
        <f t="shared" si="959"/>
        <v>#N/A</v>
      </c>
      <c r="BH221" s="287" t="e">
        <f t="shared" si="960"/>
        <v>#N/A</v>
      </c>
      <c r="BI221" s="287" t="e">
        <f t="shared" si="961"/>
        <v>#N/A</v>
      </c>
      <c r="BJ221" s="287" t="e">
        <f t="shared" si="962"/>
        <v>#N/A</v>
      </c>
      <c r="BK221" s="287" t="e">
        <f t="shared" si="963"/>
        <v>#N/A</v>
      </c>
      <c r="BL221" s="287" t="e">
        <f t="shared" si="964"/>
        <v>#N/A</v>
      </c>
      <c r="BM221" s="287" t="e">
        <f t="shared" si="965"/>
        <v>#N/A</v>
      </c>
    </row>
    <row r="222" spans="1:65" s="102" customFormat="1" ht="14.25" customHeight="1" outlineLevel="2" x14ac:dyDescent="0.2">
      <c r="A222" s="320" t="s">
        <v>226</v>
      </c>
      <c r="B222" s="347"/>
      <c r="C222" s="350"/>
      <c r="D222" s="344"/>
      <c r="E222" s="280" t="s">
        <v>27</v>
      </c>
      <c r="F222" s="60"/>
      <c r="G222" s="61"/>
      <c r="H222" s="61"/>
      <c r="I222" s="61"/>
      <c r="J222" s="61"/>
      <c r="K222" s="61"/>
      <c r="L222" s="61"/>
      <c r="M222" s="61"/>
      <c r="N222" s="61"/>
      <c r="O222" s="61"/>
      <c r="P222" s="61"/>
      <c r="Q222" s="62"/>
      <c r="R222" s="60"/>
      <c r="S222" s="61"/>
      <c r="T222" s="61"/>
      <c r="U222" s="61"/>
      <c r="V222" s="61"/>
      <c r="W222" s="61"/>
      <c r="X222" s="61"/>
      <c r="Y222" s="61"/>
      <c r="Z222" s="61"/>
      <c r="AA222" s="61"/>
      <c r="AB222" s="61"/>
      <c r="AC222" s="62"/>
      <c r="AD222" s="60"/>
      <c r="AE222" s="61"/>
      <c r="AF222" s="61"/>
      <c r="AG222" s="61"/>
      <c r="AH222" s="61"/>
      <c r="AI222" s="61"/>
      <c r="AJ222" s="61"/>
      <c r="AK222" s="61"/>
      <c r="AL222" s="61"/>
      <c r="AM222" s="61"/>
      <c r="AN222" s="61"/>
      <c r="AO222" s="62"/>
      <c r="AP222" s="231" t="str">
        <f>IFERROR(IF(SUM(F222:K222)&lt;&gt;0,SUM(F222:K222),""),"")</f>
        <v/>
      </c>
      <c r="AQ222" s="232" t="str">
        <f>IFERROR(IF(SUM(L222:Q222)&lt;&gt;0,SUM(L222:Q222),""),"")</f>
        <v/>
      </c>
      <c r="AR222" s="231" t="str">
        <f>IFERROR(IF(SUM(R222:W222)&lt;&gt;0,SUM(R222:W222),""),"")</f>
        <v/>
      </c>
      <c r="AS222" s="232" t="str">
        <f>IFERROR(IF(SUM(X222:AC222)&lt;&gt;0,SUM(X222:AC222),""),"")</f>
        <v/>
      </c>
      <c r="AT222" s="231" t="str">
        <f>IFERROR(IF(SUM(AD222:AI222)&lt;&gt;0,SUM(AD222:AI222),""),"")</f>
        <v/>
      </c>
      <c r="AU222" s="232" t="str">
        <f>IFERROR(IF(SUM(AJ222:AO222)&lt;&gt;0,SUM(AJ222:AO222),""),"")</f>
        <v/>
      </c>
      <c r="AV222" s="74"/>
      <c r="AW222" s="61"/>
      <c r="AX222" s="74"/>
      <c r="AY222" s="61"/>
      <c r="AZ222" s="74"/>
      <c r="BA222" s="61"/>
      <c r="BB222" s="74"/>
      <c r="BC222" s="61"/>
      <c r="BD222" s="74"/>
      <c r="BE222" s="267"/>
      <c r="BF222" s="287" t="e">
        <f t="shared" si="958"/>
        <v>#N/A</v>
      </c>
      <c r="BG222" s="287" t="e">
        <f t="shared" si="959"/>
        <v>#N/A</v>
      </c>
      <c r="BH222" s="287" t="e">
        <f t="shared" si="960"/>
        <v>#N/A</v>
      </c>
      <c r="BI222" s="287" t="e">
        <f t="shared" si="961"/>
        <v>#N/A</v>
      </c>
      <c r="BJ222" s="287" t="e">
        <f t="shared" si="962"/>
        <v>#N/A</v>
      </c>
      <c r="BK222" s="287" t="e">
        <f t="shared" si="963"/>
        <v>#N/A</v>
      </c>
      <c r="BL222" s="287" t="e">
        <f t="shared" si="964"/>
        <v>#N/A</v>
      </c>
      <c r="BM222" s="287" t="e">
        <f t="shared" si="965"/>
        <v>#N/A</v>
      </c>
    </row>
    <row r="223" spans="1:65" s="102" customFormat="1" ht="15" customHeight="1" outlineLevel="2" thickBot="1" x14ac:dyDescent="0.25">
      <c r="A223" s="320" t="s">
        <v>226</v>
      </c>
      <c r="B223" s="347"/>
      <c r="C223" s="350"/>
      <c r="D223" s="344"/>
      <c r="E223" s="281" t="s">
        <v>88</v>
      </c>
      <c r="F223" s="63"/>
      <c r="G223" s="48"/>
      <c r="H223" s="48"/>
      <c r="I223" s="48"/>
      <c r="J223" s="48"/>
      <c r="K223" s="48"/>
      <c r="L223" s="48"/>
      <c r="M223" s="48"/>
      <c r="N223" s="48"/>
      <c r="O223" s="48"/>
      <c r="P223" s="48"/>
      <c r="Q223" s="51"/>
      <c r="R223" s="63"/>
      <c r="S223" s="48"/>
      <c r="T223" s="48"/>
      <c r="U223" s="48"/>
      <c r="V223" s="48"/>
      <c r="W223" s="48"/>
      <c r="X223" s="48"/>
      <c r="Y223" s="48"/>
      <c r="Z223" s="48"/>
      <c r="AA223" s="48"/>
      <c r="AB223" s="48"/>
      <c r="AC223" s="51"/>
      <c r="AD223" s="63"/>
      <c r="AE223" s="48"/>
      <c r="AF223" s="48"/>
      <c r="AG223" s="48"/>
      <c r="AH223" s="48"/>
      <c r="AI223" s="48"/>
      <c r="AJ223" s="48"/>
      <c r="AK223" s="48"/>
      <c r="AL223" s="48"/>
      <c r="AM223" s="48"/>
      <c r="AN223" s="48"/>
      <c r="AO223" s="51"/>
      <c r="AP223" s="233" t="str">
        <f>IFERROR(IF(SUM(F223:K223)&lt;&gt;0,SUM(F223:K223),""),"")</f>
        <v/>
      </c>
      <c r="AQ223" s="234" t="str">
        <f>IFERROR(IF(SUM(L223:Q223)&lt;&gt;0,SUM(L223:Q223),""),"")</f>
        <v/>
      </c>
      <c r="AR223" s="233" t="str">
        <f>IFERROR(IF(SUM(R223:W223)&lt;&gt;0,SUM(R223:W223),""),"")</f>
        <v/>
      </c>
      <c r="AS223" s="234" t="str">
        <f>IFERROR(IF(SUM(X223:AC223)&lt;&gt;0,SUM(X223:AC223),""),"")</f>
        <v/>
      </c>
      <c r="AT223" s="233" t="str">
        <f>IFERROR(IF(SUM(AD223:AI223)&lt;&gt;0,SUM(AD223:AI223),""),"")</f>
        <v/>
      </c>
      <c r="AU223" s="234" t="str">
        <f>IFERROR(IF(SUM(AJ223:AO223)&lt;&gt;0,SUM(AJ223:AO223),""),"")</f>
        <v/>
      </c>
      <c r="AV223" s="75"/>
      <c r="AW223" s="76"/>
      <c r="AX223" s="75"/>
      <c r="AY223" s="76"/>
      <c r="AZ223" s="75"/>
      <c r="BA223" s="76"/>
      <c r="BB223" s="75"/>
      <c r="BC223" s="76"/>
      <c r="BD223" s="75"/>
      <c r="BE223" s="268"/>
      <c r="BF223" s="271" t="e">
        <f t="shared" si="958"/>
        <v>#N/A</v>
      </c>
      <c r="BG223" s="271" t="e">
        <f t="shared" si="959"/>
        <v>#N/A</v>
      </c>
      <c r="BH223" s="271" t="e">
        <f t="shared" si="960"/>
        <v>#N/A</v>
      </c>
      <c r="BI223" s="271" t="e">
        <f t="shared" si="961"/>
        <v>#N/A</v>
      </c>
      <c r="BJ223" s="271" t="e">
        <f t="shared" si="962"/>
        <v>#N/A</v>
      </c>
      <c r="BK223" s="271" t="e">
        <f t="shared" si="963"/>
        <v>#N/A</v>
      </c>
      <c r="BL223" s="271" t="e">
        <f t="shared" si="964"/>
        <v>#N/A</v>
      </c>
      <c r="BM223" s="271" t="e">
        <f t="shared" si="965"/>
        <v>#N/A</v>
      </c>
    </row>
    <row r="224" spans="1:65" s="102" customFormat="1" ht="14.25" customHeight="1" outlineLevel="2" x14ac:dyDescent="0.2">
      <c r="A224" s="320" t="s">
        <v>226</v>
      </c>
      <c r="B224" s="347"/>
      <c r="C224" s="350"/>
      <c r="D224" s="344"/>
      <c r="E224" s="279" t="s">
        <v>32</v>
      </c>
      <c r="F224" s="64"/>
      <c r="G224" s="65"/>
      <c r="H224" s="65"/>
      <c r="I224" s="65"/>
      <c r="J224" s="65"/>
      <c r="K224" s="65"/>
      <c r="L224" s="65"/>
      <c r="M224" s="65"/>
      <c r="N224" s="65"/>
      <c r="O224" s="65"/>
      <c r="P224" s="65"/>
      <c r="Q224" s="66"/>
      <c r="R224" s="64"/>
      <c r="S224" s="65"/>
      <c r="T224" s="65"/>
      <c r="U224" s="65"/>
      <c r="V224" s="65"/>
      <c r="W224" s="65"/>
      <c r="X224" s="65"/>
      <c r="Y224" s="65"/>
      <c r="Z224" s="65"/>
      <c r="AA224" s="65"/>
      <c r="AB224" s="65"/>
      <c r="AC224" s="66"/>
      <c r="AD224" s="64"/>
      <c r="AE224" s="65"/>
      <c r="AF224" s="65"/>
      <c r="AG224" s="65"/>
      <c r="AH224" s="65"/>
      <c r="AI224" s="65"/>
      <c r="AJ224" s="65"/>
      <c r="AK224" s="65"/>
      <c r="AL224" s="65"/>
      <c r="AM224" s="65"/>
      <c r="AN224" s="65"/>
      <c r="AO224" s="66"/>
      <c r="AP224" s="32" t="str">
        <f>IFERROR(IF(AVERAGE(F224:K224)&lt;&gt;0,AVERAGE(F224:K224),""),"")</f>
        <v/>
      </c>
      <c r="AQ224" s="235" t="str">
        <f>IFERROR(IF(AVERAGE(L224:Q224)&lt;&gt;0,AVERAGE(L224:Q224),""),"")</f>
        <v/>
      </c>
      <c r="AR224" s="32" t="str">
        <f>IFERROR(IF(AVERAGE(R224:W224)&lt;&gt;0,AVERAGE(R224:W224),""),"")</f>
        <v/>
      </c>
      <c r="AS224" s="235" t="str">
        <f>IFERROR(IF(AVERAGE(X224:AC224)&lt;&gt;0,AVERAGE(X224:AC224),""),"")</f>
        <v/>
      </c>
      <c r="AT224" s="32" t="str">
        <f>IFERROR(IF(AVERAGE(AD224:AI224)&lt;&gt;0,AVERAGE(AD224:AI224),""),"")</f>
        <v/>
      </c>
      <c r="AU224" s="235" t="str">
        <f>IFERROR(IF(AVERAGE(AJ224:AO224)&lt;&gt;0,AVERAGE(AJ224:AO224),""),"")</f>
        <v/>
      </c>
      <c r="AV224" s="77"/>
      <c r="AW224" s="65"/>
      <c r="AX224" s="77"/>
      <c r="AY224" s="65"/>
      <c r="AZ224" s="77"/>
      <c r="BA224" s="65"/>
      <c r="BB224" s="77"/>
      <c r="BC224" s="65"/>
      <c r="BD224" s="77"/>
      <c r="BE224" s="269"/>
      <c r="BF224" s="272" t="str">
        <f>IFERROR(IF(AVERAGE(AP224:AQ224)&lt;&gt;0,AVERAGE(AP224:AQ224),""),"")</f>
        <v/>
      </c>
      <c r="BG224" s="272" t="str">
        <f>IFERROR(IF(AVERAGE(AR224:AS224)&lt;&gt;0,AVERAGE(AR224:AS224),""),"")</f>
        <v/>
      </c>
      <c r="BH224" s="272" t="str">
        <f>IFERROR(IF(AVERAGE(AT224:AU224)&lt;&gt;0,AVERAGE(AT224:AU224),""),"")</f>
        <v/>
      </c>
      <c r="BI224" s="272" t="str">
        <f>IFERROR(IF(AVERAGE(AV224:AW224)&lt;&gt;0,AVERAGE(AV224:AW224),""),"")</f>
        <v/>
      </c>
      <c r="BJ224" s="272" t="str">
        <f>IFERROR(IF(AVERAGE(AX224:AY224)&lt;&gt;0,AVERAGE(AX224:AY224),""),"")</f>
        <v/>
      </c>
      <c r="BK224" s="272" t="str">
        <f>IFERROR(IF(AVERAGE(AZ224:BA224)&lt;&gt;0,AVERAGE(AZ224:BA224),""),"")</f>
        <v/>
      </c>
      <c r="BL224" s="272" t="str">
        <f>IFERROR(IF(AVERAGE(BB224:BC224)&lt;&gt;0,AVERAGE(BB224:BC224),""),"")</f>
        <v/>
      </c>
      <c r="BM224" s="272" t="str">
        <f>IFERROR(IF(AVERAGE(BD224:BE224)&lt;&gt;0,AVERAGE(BD224:BE224),""),"")</f>
        <v/>
      </c>
    </row>
    <row r="225" spans="1:65" s="102" customFormat="1" ht="15" customHeight="1" outlineLevel="2" thickBot="1" x14ac:dyDescent="0.25">
      <c r="A225" s="320" t="s">
        <v>226</v>
      </c>
      <c r="B225" s="347"/>
      <c r="C225" s="350"/>
      <c r="D225" s="344"/>
      <c r="E225" s="281" t="s">
        <v>2</v>
      </c>
      <c r="F225" s="67"/>
      <c r="G225" s="68"/>
      <c r="H225" s="68"/>
      <c r="I225" s="68"/>
      <c r="J225" s="68"/>
      <c r="K225" s="68"/>
      <c r="L225" s="68"/>
      <c r="M225" s="68"/>
      <c r="N225" s="68"/>
      <c r="O225" s="68"/>
      <c r="P225" s="68"/>
      <c r="Q225" s="69"/>
      <c r="R225" s="67"/>
      <c r="S225" s="68"/>
      <c r="T225" s="68"/>
      <c r="U225" s="68"/>
      <c r="V225" s="68"/>
      <c r="W225" s="68"/>
      <c r="X225" s="68"/>
      <c r="Y225" s="68"/>
      <c r="Z225" s="68"/>
      <c r="AA225" s="68"/>
      <c r="AB225" s="68"/>
      <c r="AC225" s="69"/>
      <c r="AD225" s="67"/>
      <c r="AE225" s="68"/>
      <c r="AF225" s="68"/>
      <c r="AG225" s="68"/>
      <c r="AH225" s="68"/>
      <c r="AI225" s="68"/>
      <c r="AJ225" s="68"/>
      <c r="AK225" s="68"/>
      <c r="AL225" s="68"/>
      <c r="AM225" s="68"/>
      <c r="AN225" s="68"/>
      <c r="AO225" s="69"/>
      <c r="AP225" s="236" t="str">
        <f>IFERROR(IF(AVERAGE(F225:K225)&lt;&gt;0,AVERAGE(F225:K225),""),"")</f>
        <v/>
      </c>
      <c r="AQ225" s="237" t="str">
        <f>IFERROR(IF(AVERAGE(L225:Q225)&lt;&gt;0,AVERAGE(L225:Q225),""),"")</f>
        <v/>
      </c>
      <c r="AR225" s="236" t="str">
        <f>IFERROR(IF(AVERAGE(R225:W225)&lt;&gt;0,AVERAGE(R225:W225),""),"")</f>
        <v/>
      </c>
      <c r="AS225" s="237" t="str">
        <f>IFERROR(IF(AVERAGE(X225:AC225)&lt;&gt;0,AVERAGE(X225:AC225),""),"")</f>
        <v/>
      </c>
      <c r="AT225" s="236" t="str">
        <f>IFERROR(IF(AVERAGE(AD225:AI225)&lt;&gt;0,AVERAGE(AD225:AI225),""),"")</f>
        <v/>
      </c>
      <c r="AU225" s="237" t="str">
        <f>IFERROR(IF(AVERAGE(AJ225:AO225)&lt;&gt;0,AVERAGE(AJ225:AO225),""),"")</f>
        <v/>
      </c>
      <c r="AV225" s="78"/>
      <c r="AW225" s="68"/>
      <c r="AX225" s="78"/>
      <c r="AY225" s="68"/>
      <c r="AZ225" s="78"/>
      <c r="BA225" s="68"/>
      <c r="BB225" s="78"/>
      <c r="BC225" s="68"/>
      <c r="BD225" s="78"/>
      <c r="BE225" s="270"/>
      <c r="BF225" s="288" t="str">
        <f>IFERROR(IF(AVERAGE(AP225:AQ225)&lt;&gt;0,AVERAGE(AP225:AQ225),""),"")</f>
        <v/>
      </c>
      <c r="BG225" s="288" t="str">
        <f>IFERROR(IF(AVERAGE(AR225:AS225)&lt;&gt;0,AVERAGE(AR225:AS225),""),"")</f>
        <v/>
      </c>
      <c r="BH225" s="288" t="str">
        <f>IFERROR(IF(AVERAGE(AT225:AU225)&lt;&gt;0,AVERAGE(AT225:AU225),""),"")</f>
        <v/>
      </c>
      <c r="BI225" s="288" t="str">
        <f>IFERROR(IF(AVERAGE(AV225:AW225)&lt;&gt;0,AVERAGE(AV225:AW225),""),"")</f>
        <v/>
      </c>
      <c r="BJ225" s="288" t="str">
        <f>IFERROR(IF(AVERAGE(AX225:AY225)&lt;&gt;0,AVERAGE(AX225:AY225),""),"")</f>
        <v/>
      </c>
      <c r="BK225" s="288" t="str">
        <f>IFERROR(IF(AVERAGE(AZ225:BA225)&lt;&gt;0,AVERAGE(AZ225:BA225),""),"")</f>
        <v/>
      </c>
      <c r="BL225" s="288" t="str">
        <f>IFERROR(IF(AVERAGE(BB225:BC225)&lt;&gt;0,AVERAGE(BB225:BC225),""),"")</f>
        <v/>
      </c>
      <c r="BM225" s="288" t="str">
        <f>IFERROR(IF(AVERAGE(BD225:BE225)&lt;&gt;0,AVERAGE(BD225:BE225),""),"")</f>
        <v/>
      </c>
    </row>
    <row r="226" spans="1:65" s="102" customFormat="1" ht="14.25" customHeight="1" outlineLevel="1" x14ac:dyDescent="0.2">
      <c r="A226" s="320" t="s">
        <v>226</v>
      </c>
      <c r="B226" s="347"/>
      <c r="C226" s="350"/>
      <c r="D226" s="344"/>
      <c r="E226" s="282" t="s">
        <v>228</v>
      </c>
      <c r="F226" s="283" t="str">
        <f ca="1">IF(IFERROR((F$11*(F218-SUM(F220:F223)/F$11)*F225*3600)/(F224),"")&gt;0,IFERROR((F$11*(F218-SUM(F220:F223)/F$11)*F225*3600)/(F224),""),"")</f>
        <v/>
      </c>
      <c r="G226" s="284" t="str">
        <f t="shared" ref="G226:AO226" ca="1" si="966">IF(IFERROR((G$11*(G218-SUM(G220:G223)/G$11)*G225*3600)/(G224),"")&gt;0,IFERROR((G$11*(G218-SUM(G220:G223)/G$11)*G225*3600)/(G224),""),"")</f>
        <v/>
      </c>
      <c r="H226" s="284" t="str">
        <f t="shared" ca="1" si="966"/>
        <v/>
      </c>
      <c r="I226" s="284" t="str">
        <f t="shared" ca="1" si="966"/>
        <v/>
      </c>
      <c r="J226" s="284" t="str">
        <f t="shared" ca="1" si="966"/>
        <v/>
      </c>
      <c r="K226" s="284" t="str">
        <f t="shared" ca="1" si="966"/>
        <v/>
      </c>
      <c r="L226" s="284" t="str">
        <f t="shared" ca="1" si="966"/>
        <v/>
      </c>
      <c r="M226" s="284" t="str">
        <f t="shared" ca="1" si="966"/>
        <v/>
      </c>
      <c r="N226" s="284" t="str">
        <f t="shared" ca="1" si="966"/>
        <v/>
      </c>
      <c r="O226" s="284" t="str">
        <f t="shared" ca="1" si="966"/>
        <v/>
      </c>
      <c r="P226" s="284" t="str">
        <f t="shared" ca="1" si="966"/>
        <v/>
      </c>
      <c r="Q226" s="284" t="str">
        <f t="shared" ca="1" si="966"/>
        <v/>
      </c>
      <c r="R226" s="283" t="str">
        <f t="shared" ca="1" si="966"/>
        <v/>
      </c>
      <c r="S226" s="284" t="str">
        <f t="shared" ca="1" si="966"/>
        <v/>
      </c>
      <c r="T226" s="284" t="str">
        <f t="shared" ca="1" si="966"/>
        <v/>
      </c>
      <c r="U226" s="284" t="str">
        <f t="shared" ca="1" si="966"/>
        <v/>
      </c>
      <c r="V226" s="284" t="str">
        <f t="shared" ca="1" si="966"/>
        <v/>
      </c>
      <c r="W226" s="284" t="str">
        <f t="shared" ca="1" si="966"/>
        <v/>
      </c>
      <c r="X226" s="284" t="str">
        <f t="shared" ca="1" si="966"/>
        <v/>
      </c>
      <c r="Y226" s="284" t="str">
        <f t="shared" ca="1" si="966"/>
        <v/>
      </c>
      <c r="Z226" s="284" t="str">
        <f t="shared" ca="1" si="966"/>
        <v/>
      </c>
      <c r="AA226" s="284" t="str">
        <f t="shared" ca="1" si="966"/>
        <v/>
      </c>
      <c r="AB226" s="284" t="str">
        <f t="shared" ca="1" si="966"/>
        <v/>
      </c>
      <c r="AC226" s="284" t="str">
        <f t="shared" ca="1" si="966"/>
        <v/>
      </c>
      <c r="AD226" s="283" t="str">
        <f t="shared" ca="1" si="966"/>
        <v/>
      </c>
      <c r="AE226" s="284" t="str">
        <f t="shared" ca="1" si="966"/>
        <v/>
      </c>
      <c r="AF226" s="284" t="str">
        <f t="shared" ca="1" si="966"/>
        <v/>
      </c>
      <c r="AG226" s="284" t="str">
        <f t="shared" ca="1" si="966"/>
        <v/>
      </c>
      <c r="AH226" s="284" t="str">
        <f t="shared" ca="1" si="966"/>
        <v/>
      </c>
      <c r="AI226" s="284" t="str">
        <f t="shared" ca="1" si="966"/>
        <v/>
      </c>
      <c r="AJ226" s="284" t="str">
        <f t="shared" ca="1" si="966"/>
        <v/>
      </c>
      <c r="AK226" s="284" t="str">
        <f t="shared" ca="1" si="966"/>
        <v/>
      </c>
      <c r="AL226" s="284" t="str">
        <f t="shared" ca="1" si="966"/>
        <v/>
      </c>
      <c r="AM226" s="284" t="str">
        <f t="shared" ca="1" si="966"/>
        <v/>
      </c>
      <c r="AN226" s="284" t="str">
        <f t="shared" ca="1" si="966"/>
        <v/>
      </c>
      <c r="AO226" s="284" t="str">
        <f t="shared" ca="1" si="966"/>
        <v/>
      </c>
      <c r="AP226" s="283" t="e">
        <f t="shared" ref="AP226:AP227" ca="1" si="967">IF(SUM(F226:K226)&lt;&gt;0,SUM(F226:K226),#N/A)</f>
        <v>#N/A</v>
      </c>
      <c r="AQ226" s="284" t="e">
        <f t="shared" ref="AQ226:AQ227" ca="1" si="968">IF(SUM(L226:Q226)&lt;&gt;0,SUM(L226:Q226),#N/A)</f>
        <v>#N/A</v>
      </c>
      <c r="AR226" s="283" t="e">
        <f t="shared" ref="AR226:AR227" ca="1" si="969">IF(SUM(R226:W226)&lt;&gt;0,SUM(R226:W226),#N/A)</f>
        <v>#N/A</v>
      </c>
      <c r="AS226" s="284" t="e">
        <f t="shared" ref="AS226:AS227" ca="1" si="970">IF(SUM(X226:AC226)&lt;&gt;0,SUM(X226:AC226),#N/A)</f>
        <v>#N/A</v>
      </c>
      <c r="AT226" s="283" t="e">
        <f t="shared" ref="AT226:AT227" ca="1" si="971">IF(SUM(AD226:AI226)&lt;&gt;0,SUM(AD226:AI226),#N/A)</f>
        <v>#N/A</v>
      </c>
      <c r="AU226" s="284" t="e">
        <f t="shared" ref="AU226:AU227" ca="1" si="972">IF(SUM(AJ226:AO226)&lt;&gt;0,SUM(AJ226:AO226),#N/A)</f>
        <v>#N/A</v>
      </c>
      <c r="AV226" s="283" t="str">
        <f ca="1">IF(IFERROR((AV$11*(AV218-SUM(AV220:AV223)/AV$11)*AV225*3600)/(AV224),"")&lt;&gt;0,IFERROR((AV$11*(AV218-SUM(AV220:AV223)/AV$11)*AV225*3600)/(AV224),""),"")</f>
        <v/>
      </c>
      <c r="AW226" s="284" t="str">
        <f t="shared" ref="AW226:BE226" ca="1" si="973">IF(IFERROR((AW$11*(AW218-SUM(AW220:AW223)/AW$11)*AW225*3600)/(AW224),"")&lt;&gt;0,IFERROR((AW$11*(AW218-SUM(AW220:AW223)/AW$11)*AW225*3600)/(AW224),""),"")</f>
        <v/>
      </c>
      <c r="AX226" s="283" t="str">
        <f t="shared" ca="1" si="973"/>
        <v/>
      </c>
      <c r="AY226" s="284" t="str">
        <f t="shared" ca="1" si="973"/>
        <v/>
      </c>
      <c r="AZ226" s="283" t="str">
        <f t="shared" ca="1" si="973"/>
        <v/>
      </c>
      <c r="BA226" s="284" t="str">
        <f t="shared" ca="1" si="973"/>
        <v/>
      </c>
      <c r="BB226" s="283" t="str">
        <f t="shared" ca="1" si="973"/>
        <v/>
      </c>
      <c r="BC226" s="284" t="str">
        <f t="shared" ca="1" si="973"/>
        <v/>
      </c>
      <c r="BD226" s="283" t="str">
        <f t="shared" ca="1" si="973"/>
        <v/>
      </c>
      <c r="BE226" s="285" t="str">
        <f t="shared" ca="1" si="973"/>
        <v/>
      </c>
      <c r="BF226" s="285" t="e">
        <f t="shared" ref="BF226:BF228" ca="1" si="974">IF(SUM(AP226,AQ226)&lt;&gt;0,SUM(AP226,AQ226),#N/A)</f>
        <v>#N/A</v>
      </c>
      <c r="BG226" s="285" t="e">
        <f t="shared" ref="BG226:BG228" ca="1" si="975">IF(SUM(AR226,AS226)&lt;&gt;0,SUM(AR226,AS226),#N/A)</f>
        <v>#N/A</v>
      </c>
      <c r="BH226" s="285" t="e">
        <f t="shared" ref="BH226:BH228" ca="1" si="976">IF(SUM(AT226,AU226)&lt;&gt;0,SUM(AT226,AU226),#N/A)</f>
        <v>#N/A</v>
      </c>
      <c r="BI226" s="285" t="e">
        <f t="shared" ref="BI226:BI228" ca="1" si="977">IF(SUM(AV226,AW226)&lt;&gt;0,SUM(AV226,AW226),#N/A)</f>
        <v>#N/A</v>
      </c>
      <c r="BJ226" s="285" t="e">
        <f t="shared" ref="BJ226:BJ228" ca="1" si="978">IF(SUM(AX226,AY226)&lt;&gt;0,SUM(AX226,AY226),#N/A)</f>
        <v>#N/A</v>
      </c>
      <c r="BK226" s="285" t="e">
        <f t="shared" ref="BK226:BK228" ca="1" si="979">IF(SUM(AZ226,BA226)&lt;&gt;0,SUM(AZ226,BA226),#N/A)</f>
        <v>#N/A</v>
      </c>
      <c r="BL226" s="285" t="e">
        <f t="shared" ref="BL226:BL228" ca="1" si="980">IF(SUM(BB226,BC226)&lt;&gt;0,SUM(BB226,BC226),#N/A)</f>
        <v>#N/A</v>
      </c>
      <c r="BM226" s="285" t="e">
        <f t="shared" ref="BM226:BM228" ca="1" si="981">IF(SUM(BD226,BE226)&lt;&gt;0,SUM(BD226,BE226),#N/A)</f>
        <v>#N/A</v>
      </c>
    </row>
    <row r="227" spans="1:65" s="102" customFormat="1" ht="15" customHeight="1" outlineLevel="1" thickBot="1" x14ac:dyDescent="0.25">
      <c r="A227" s="320" t="s">
        <v>226</v>
      </c>
      <c r="B227" s="348"/>
      <c r="C227" s="351"/>
      <c r="D227" s="345"/>
      <c r="E227" s="104" t="s">
        <v>225</v>
      </c>
      <c r="F227" s="36" t="str">
        <f ca="1">IFERROR(F226+((F217*F219*F225*3600)/(F224)),"")</f>
        <v/>
      </c>
      <c r="G227" s="37" t="str">
        <f t="shared" ref="G227:AO227" ca="1" si="982">IFERROR(G226+((G217*G219*G225*3600)/(G224)),"")</f>
        <v/>
      </c>
      <c r="H227" s="37" t="str">
        <f t="shared" ca="1" si="982"/>
        <v/>
      </c>
      <c r="I227" s="37" t="str">
        <f t="shared" ca="1" si="982"/>
        <v/>
      </c>
      <c r="J227" s="37" t="str">
        <f t="shared" ca="1" si="982"/>
        <v/>
      </c>
      <c r="K227" s="37" t="str">
        <f t="shared" ca="1" si="982"/>
        <v/>
      </c>
      <c r="L227" s="37" t="str">
        <f t="shared" ca="1" si="982"/>
        <v/>
      </c>
      <c r="M227" s="37" t="str">
        <f t="shared" ca="1" si="982"/>
        <v/>
      </c>
      <c r="N227" s="37" t="str">
        <f t="shared" ca="1" si="982"/>
        <v/>
      </c>
      <c r="O227" s="37" t="str">
        <f t="shared" ca="1" si="982"/>
        <v/>
      </c>
      <c r="P227" s="37" t="str">
        <f t="shared" ca="1" si="982"/>
        <v/>
      </c>
      <c r="Q227" s="37" t="str">
        <f t="shared" ca="1" si="982"/>
        <v/>
      </c>
      <c r="R227" s="36" t="str">
        <f t="shared" ca="1" si="982"/>
        <v/>
      </c>
      <c r="S227" s="37" t="str">
        <f t="shared" ca="1" si="982"/>
        <v/>
      </c>
      <c r="T227" s="37" t="str">
        <f t="shared" ca="1" si="982"/>
        <v/>
      </c>
      <c r="U227" s="37" t="str">
        <f t="shared" ca="1" si="982"/>
        <v/>
      </c>
      <c r="V227" s="37" t="str">
        <f t="shared" ca="1" si="982"/>
        <v/>
      </c>
      <c r="W227" s="37" t="str">
        <f t="shared" ca="1" si="982"/>
        <v/>
      </c>
      <c r="X227" s="37" t="str">
        <f t="shared" ca="1" si="982"/>
        <v/>
      </c>
      <c r="Y227" s="37" t="str">
        <f t="shared" ca="1" si="982"/>
        <v/>
      </c>
      <c r="Z227" s="37" t="str">
        <f t="shared" ca="1" si="982"/>
        <v/>
      </c>
      <c r="AA227" s="37" t="str">
        <f t="shared" ca="1" si="982"/>
        <v/>
      </c>
      <c r="AB227" s="37" t="str">
        <f t="shared" ca="1" si="982"/>
        <v/>
      </c>
      <c r="AC227" s="37" t="str">
        <f t="shared" ca="1" si="982"/>
        <v/>
      </c>
      <c r="AD227" s="36" t="str">
        <f t="shared" ca="1" si="982"/>
        <v/>
      </c>
      <c r="AE227" s="37" t="str">
        <f t="shared" ca="1" si="982"/>
        <v/>
      </c>
      <c r="AF227" s="37" t="str">
        <f t="shared" ca="1" si="982"/>
        <v/>
      </c>
      <c r="AG227" s="37" t="str">
        <f t="shared" ca="1" si="982"/>
        <v/>
      </c>
      <c r="AH227" s="37" t="str">
        <f t="shared" ca="1" si="982"/>
        <v/>
      </c>
      <c r="AI227" s="37" t="str">
        <f t="shared" ca="1" si="982"/>
        <v/>
      </c>
      <c r="AJ227" s="37" t="str">
        <f t="shared" ca="1" si="982"/>
        <v/>
      </c>
      <c r="AK227" s="37" t="str">
        <f t="shared" ca="1" si="982"/>
        <v/>
      </c>
      <c r="AL227" s="37" t="str">
        <f t="shared" ca="1" si="982"/>
        <v/>
      </c>
      <c r="AM227" s="37" t="str">
        <f t="shared" ca="1" si="982"/>
        <v/>
      </c>
      <c r="AN227" s="37" t="str">
        <f t="shared" ca="1" si="982"/>
        <v/>
      </c>
      <c r="AO227" s="37" t="str">
        <f t="shared" ca="1" si="982"/>
        <v/>
      </c>
      <c r="AP227" s="36" t="e">
        <f t="shared" ca="1" si="967"/>
        <v>#N/A</v>
      </c>
      <c r="AQ227" s="37" t="e">
        <f t="shared" ca="1" si="968"/>
        <v>#N/A</v>
      </c>
      <c r="AR227" s="36" t="e">
        <f t="shared" ca="1" si="969"/>
        <v>#N/A</v>
      </c>
      <c r="AS227" s="37" t="e">
        <f t="shared" ca="1" si="970"/>
        <v>#N/A</v>
      </c>
      <c r="AT227" s="36" t="e">
        <f t="shared" ca="1" si="971"/>
        <v>#N/A</v>
      </c>
      <c r="AU227" s="37" t="e">
        <f t="shared" ca="1" si="972"/>
        <v>#N/A</v>
      </c>
      <c r="AV227" s="36" t="str">
        <f t="shared" ref="AV227:BE227" ca="1" si="983">IFERROR(AV226+((AV217*AV219*AV225*3600)/(AV224)),"")</f>
        <v/>
      </c>
      <c r="AW227" s="37" t="str">
        <f t="shared" ca="1" si="983"/>
        <v/>
      </c>
      <c r="AX227" s="36" t="str">
        <f t="shared" ca="1" si="983"/>
        <v/>
      </c>
      <c r="AY227" s="37" t="str">
        <f t="shared" ca="1" si="983"/>
        <v/>
      </c>
      <c r="AZ227" s="36" t="str">
        <f t="shared" ca="1" si="983"/>
        <v/>
      </c>
      <c r="BA227" s="37" t="str">
        <f t="shared" ca="1" si="983"/>
        <v/>
      </c>
      <c r="BB227" s="36" t="str">
        <f t="shared" ca="1" si="983"/>
        <v/>
      </c>
      <c r="BC227" s="37" t="str">
        <f t="shared" ca="1" si="983"/>
        <v/>
      </c>
      <c r="BD227" s="36" t="str">
        <f t="shared" ca="1" si="983"/>
        <v/>
      </c>
      <c r="BE227" s="43" t="str">
        <f t="shared" ca="1" si="983"/>
        <v/>
      </c>
      <c r="BF227" s="43" t="e">
        <f t="shared" ca="1" si="974"/>
        <v>#N/A</v>
      </c>
      <c r="BG227" s="43" t="e">
        <f t="shared" ca="1" si="975"/>
        <v>#N/A</v>
      </c>
      <c r="BH227" s="43" t="e">
        <f t="shared" ca="1" si="976"/>
        <v>#N/A</v>
      </c>
      <c r="BI227" s="43" t="e">
        <f t="shared" ca="1" si="977"/>
        <v>#N/A</v>
      </c>
      <c r="BJ227" s="43" t="e">
        <f t="shared" ca="1" si="978"/>
        <v>#N/A</v>
      </c>
      <c r="BK227" s="43" t="e">
        <f t="shared" ca="1" si="979"/>
        <v>#N/A</v>
      </c>
      <c r="BL227" s="43" t="e">
        <f t="shared" ca="1" si="980"/>
        <v>#N/A</v>
      </c>
      <c r="BM227" s="43" t="e">
        <f t="shared" ca="1" si="981"/>
        <v>#N/A</v>
      </c>
    </row>
    <row r="228" spans="1:65" s="102" customFormat="1" ht="22.5" outlineLevel="2" x14ac:dyDescent="0.2">
      <c r="A228" s="320" t="s">
        <v>226</v>
      </c>
      <c r="B228" s="346"/>
      <c r="C228" s="349" t="str">
        <f t="shared" ref="C228" si="984">IF(AND($B228&lt;&gt;0,$C$9&lt;&gt;0),$C$9,"")</f>
        <v/>
      </c>
      <c r="D228" s="343"/>
      <c r="E228" s="277" t="s">
        <v>40</v>
      </c>
      <c r="F228" s="33">
        <f ca="1">IF(F$11-(SUM(F232:F235)/24)=0,"",F$11-(SUM(F232:F235)/24))</f>
        <v>27</v>
      </c>
      <c r="G228" s="34">
        <f t="shared" ref="G228:AO228" ca="1" si="985">IF(G$11-(SUM(G232:G235)/24)=0,"",G$11-(SUM(G232:G235)/24))</f>
        <v>24</v>
      </c>
      <c r="H228" s="34">
        <f t="shared" ca="1" si="985"/>
        <v>26</v>
      </c>
      <c r="I228" s="34">
        <f t="shared" ca="1" si="985"/>
        <v>26</v>
      </c>
      <c r="J228" s="34">
        <f t="shared" ca="1" si="985"/>
        <v>27</v>
      </c>
      <c r="K228" s="34">
        <f t="shared" ca="1" si="985"/>
        <v>25</v>
      </c>
      <c r="L228" s="34">
        <f t="shared" ca="1" si="985"/>
        <v>27</v>
      </c>
      <c r="M228" s="34">
        <f t="shared" ca="1" si="985"/>
        <v>26</v>
      </c>
      <c r="N228" s="34">
        <f t="shared" ca="1" si="985"/>
        <v>26</v>
      </c>
      <c r="O228" s="34">
        <f t="shared" ca="1" si="985"/>
        <v>27</v>
      </c>
      <c r="P228" s="34">
        <f t="shared" ca="1" si="985"/>
        <v>25</v>
      </c>
      <c r="Q228" s="34">
        <f t="shared" ca="1" si="985"/>
        <v>27</v>
      </c>
      <c r="R228" s="32">
        <f t="shared" ca="1" si="985"/>
        <v>27</v>
      </c>
      <c r="S228" s="29">
        <f t="shared" ca="1" si="985"/>
        <v>24</v>
      </c>
      <c r="T228" s="29">
        <f t="shared" ca="1" si="985"/>
        <v>26</v>
      </c>
      <c r="U228" s="29">
        <f t="shared" ca="1" si="985"/>
        <v>26</v>
      </c>
      <c r="V228" s="29">
        <f t="shared" ca="1" si="985"/>
        <v>26</v>
      </c>
      <c r="W228" s="29">
        <f t="shared" ca="1" si="985"/>
        <v>26</v>
      </c>
      <c r="X228" s="29">
        <f t="shared" ca="1" si="985"/>
        <v>27</v>
      </c>
      <c r="Y228" s="29">
        <f t="shared" ca="1" si="985"/>
        <v>26</v>
      </c>
      <c r="Z228" s="29">
        <f t="shared" ca="1" si="985"/>
        <v>26</v>
      </c>
      <c r="AA228" s="29">
        <f t="shared" ca="1" si="985"/>
        <v>27</v>
      </c>
      <c r="AB228" s="29">
        <f t="shared" ca="1" si="985"/>
        <v>25</v>
      </c>
      <c r="AC228" s="29">
        <f t="shared" ca="1" si="985"/>
        <v>27</v>
      </c>
      <c r="AD228" s="32">
        <f t="shared" ca="1" si="985"/>
        <v>26</v>
      </c>
      <c r="AE228" s="29">
        <f t="shared" ca="1" si="985"/>
        <v>24</v>
      </c>
      <c r="AF228" s="29">
        <f t="shared" ca="1" si="985"/>
        <v>27</v>
      </c>
      <c r="AG228" s="29">
        <f t="shared" ca="1" si="985"/>
        <v>26</v>
      </c>
      <c r="AH228" s="29">
        <f t="shared" ca="1" si="985"/>
        <v>26</v>
      </c>
      <c r="AI228" s="29">
        <f t="shared" ca="1" si="985"/>
        <v>26</v>
      </c>
      <c r="AJ228" s="29">
        <f t="shared" ca="1" si="985"/>
        <v>27</v>
      </c>
      <c r="AK228" s="29">
        <f t="shared" ca="1" si="985"/>
        <v>26</v>
      </c>
      <c r="AL228" s="29">
        <f t="shared" ca="1" si="985"/>
        <v>26</v>
      </c>
      <c r="AM228" s="29">
        <f t="shared" ca="1" si="985"/>
        <v>26</v>
      </c>
      <c r="AN228" s="29">
        <f t="shared" ca="1" si="985"/>
        <v>26</v>
      </c>
      <c r="AO228" s="29">
        <f t="shared" ca="1" si="985"/>
        <v>27</v>
      </c>
      <c r="AP228" s="32">
        <f ca="1">IF(SUM(F228:K228)&lt;&gt;0,SUM(F228:K228),"")</f>
        <v>155</v>
      </c>
      <c r="AQ228" s="29">
        <f ca="1">IF(SUM(L228:Q228)&lt;&gt;0,SUM(L228:Q228),"")</f>
        <v>158</v>
      </c>
      <c r="AR228" s="32">
        <f ca="1">IF(SUM(R228:W228)&lt;&gt;0,SUM(R228:W228),"")</f>
        <v>155</v>
      </c>
      <c r="AS228" s="29">
        <f ca="1">IF(SUM(X228:AC228)&lt;&gt;0,SUM(X228:AC228),"")</f>
        <v>158</v>
      </c>
      <c r="AT228" s="32">
        <f ca="1">IF(SUM(AD228:AI228)&lt;&gt;0,SUM(AD228:AI228),"")</f>
        <v>155</v>
      </c>
      <c r="AU228" s="296">
        <f ca="1">SUM(AJ228:AO228)</f>
        <v>158</v>
      </c>
      <c r="AV228" s="32">
        <f t="shared" ref="AV228:BE228" ca="1" si="986">IF(AV$11-(SUM(AV232:AV235)/24)=0,"",AV$11-(SUM(AV232:AV235)/24))</f>
        <v>156</v>
      </c>
      <c r="AW228" s="29">
        <f t="shared" ca="1" si="986"/>
        <v>157</v>
      </c>
      <c r="AX228" s="32">
        <f t="shared" ca="1" si="986"/>
        <v>156</v>
      </c>
      <c r="AY228" s="29">
        <f t="shared" ca="1" si="986"/>
        <v>158</v>
      </c>
      <c r="AZ228" s="32">
        <f t="shared" ca="1" si="986"/>
        <v>155</v>
      </c>
      <c r="BA228" s="29">
        <f t="shared" ca="1" si="986"/>
        <v>158</v>
      </c>
      <c r="BB228" s="32">
        <f t="shared" ca="1" si="986"/>
        <v>155</v>
      </c>
      <c r="BC228" s="29">
        <f t="shared" ca="1" si="986"/>
        <v>158</v>
      </c>
      <c r="BD228" s="32">
        <f t="shared" ca="1" si="986"/>
        <v>156</v>
      </c>
      <c r="BE228" s="262">
        <f t="shared" ca="1" si="986"/>
        <v>158</v>
      </c>
      <c r="BF228" s="286">
        <f t="shared" ca="1" si="974"/>
        <v>313</v>
      </c>
      <c r="BG228" s="286">
        <f t="shared" ca="1" si="975"/>
        <v>313</v>
      </c>
      <c r="BH228" s="286">
        <f t="shared" ca="1" si="976"/>
        <v>313</v>
      </c>
      <c r="BI228" s="286">
        <f t="shared" ca="1" si="977"/>
        <v>313</v>
      </c>
      <c r="BJ228" s="286">
        <f t="shared" ca="1" si="978"/>
        <v>314</v>
      </c>
      <c r="BK228" s="286">
        <f t="shared" ca="1" si="979"/>
        <v>313</v>
      </c>
      <c r="BL228" s="286">
        <f t="shared" ca="1" si="980"/>
        <v>313</v>
      </c>
      <c r="BM228" s="286">
        <f t="shared" ca="1" si="981"/>
        <v>314</v>
      </c>
    </row>
    <row r="229" spans="1:65" s="102" customFormat="1" ht="15" customHeight="1" outlineLevel="2" thickBot="1" x14ac:dyDescent="0.25">
      <c r="A229" s="320" t="s">
        <v>226</v>
      </c>
      <c r="B229" s="347"/>
      <c r="C229" s="350"/>
      <c r="D229" s="344"/>
      <c r="E229" s="278" t="s">
        <v>29</v>
      </c>
      <c r="F229" s="47"/>
      <c r="G229" s="48"/>
      <c r="H229" s="48"/>
      <c r="I229" s="48"/>
      <c r="J229" s="48"/>
      <c r="K229" s="48"/>
      <c r="L229" s="48"/>
      <c r="M229" s="48"/>
      <c r="N229" s="48"/>
      <c r="O229" s="48"/>
      <c r="P229" s="48"/>
      <c r="Q229" s="51"/>
      <c r="R229" s="47"/>
      <c r="S229" s="48"/>
      <c r="T229" s="48"/>
      <c r="U229" s="48"/>
      <c r="V229" s="48"/>
      <c r="W229" s="48"/>
      <c r="X229" s="48"/>
      <c r="Y229" s="48"/>
      <c r="Z229" s="48"/>
      <c r="AA229" s="48"/>
      <c r="AB229" s="48"/>
      <c r="AC229" s="51"/>
      <c r="AD229" s="47"/>
      <c r="AE229" s="48"/>
      <c r="AF229" s="48"/>
      <c r="AG229" s="48"/>
      <c r="AH229" s="48"/>
      <c r="AI229" s="48"/>
      <c r="AJ229" s="48"/>
      <c r="AK229" s="48"/>
      <c r="AL229" s="48"/>
      <c r="AM229" s="48"/>
      <c r="AN229" s="48"/>
      <c r="AO229" s="51"/>
      <c r="AP229" s="294" t="str">
        <f>IFERROR(IF(SUM(F229:K229)&lt;&gt;0,SUM(F229:K229),""),"")</f>
        <v/>
      </c>
      <c r="AQ229" s="295" t="str">
        <f>IFERROR(IF(SUM(L229:Q229)&lt;&gt;0,SUM(L229:Q229),""),"")</f>
        <v/>
      </c>
      <c r="AR229" s="294" t="str">
        <f>IFERROR(IF(SUM(R229:W229)&lt;&gt;0,SUM(R229:W229),""),"")</f>
        <v/>
      </c>
      <c r="AS229" s="295" t="str">
        <f>IFERROR(IF(SUM(X229:AC229)&lt;&gt;0,SUM(X229:AC229),""),"")</f>
        <v/>
      </c>
      <c r="AT229" s="294" t="str">
        <f>IFERROR(IF(SUM(AD229:AI229)&lt;&gt;0,SUM(AD229:AI229),""),"")</f>
        <v/>
      </c>
      <c r="AU229" s="295" t="str">
        <f>IFERROR(IF(SUM(AJ229:AO229)&lt;&gt;0,SUM(AJ229:AO229),""),"")</f>
        <v/>
      </c>
      <c r="AV229" s="47"/>
      <c r="AW229" s="51"/>
      <c r="AX229" s="47"/>
      <c r="AY229" s="51"/>
      <c r="AZ229" s="47"/>
      <c r="BA229" s="51"/>
      <c r="BB229" s="47"/>
      <c r="BC229" s="51"/>
      <c r="BD229" s="47"/>
      <c r="BE229" s="263"/>
      <c r="BF229" s="271" t="str">
        <f>IFERROR(IF(AVERAGE(AP229:AQ229)&lt;&gt;0,AVERAGE(AP229:AQ229),""),"")</f>
        <v/>
      </c>
      <c r="BG229" s="271" t="str">
        <f>IFERROR(IF(AVERAGE(AR229:AS229)&lt;&gt;0,AVERAGE(AR229:AS229),""),"")</f>
        <v/>
      </c>
      <c r="BH229" s="271" t="str">
        <f>IFERROR(IF(AVERAGE(AT229:AU229)&lt;&gt;0,AVERAGE(AT229:AU229),""),"")</f>
        <v/>
      </c>
      <c r="BI229" s="271" t="str">
        <f>IFERROR(IF(AVERAGE(AV229:AW229)&lt;&gt;0,AVERAGE(AV229:AW229),""),"")</f>
        <v/>
      </c>
      <c r="BJ229" s="271" t="str">
        <f>IFERROR(IF(AVERAGE(AX229:AY229)&lt;&gt;0,AVERAGE(AX229:AY229),""),"")</f>
        <v/>
      </c>
      <c r="BK229" s="271" t="str">
        <f>IFERROR(IF(AVERAGE(AZ229:BA229)&lt;&gt;0,AVERAGE(AZ229:BA229),""),"")</f>
        <v/>
      </c>
      <c r="BL229" s="271" t="str">
        <f>IFERROR(IF(AVERAGE(BB229:BC229)&lt;&gt;0,AVERAGE(BB229:BC229),""),"")</f>
        <v/>
      </c>
      <c r="BM229" s="271" t="str">
        <f>IFERROR(IF(AVERAGE(BD229:BE229)&lt;&gt;0,AVERAGE(BD229:BE229),""),"")</f>
        <v/>
      </c>
    </row>
    <row r="230" spans="1:65" s="102" customFormat="1" ht="14.25" customHeight="1" outlineLevel="2" x14ac:dyDescent="0.2">
      <c r="A230" s="320" t="s">
        <v>226</v>
      </c>
      <c r="B230" s="347"/>
      <c r="C230" s="350"/>
      <c r="D230" s="344"/>
      <c r="E230" s="279" t="s">
        <v>28</v>
      </c>
      <c r="F230" s="52"/>
      <c r="G230" s="53"/>
      <c r="H230" s="53"/>
      <c r="I230" s="53"/>
      <c r="J230" s="53"/>
      <c r="K230" s="53"/>
      <c r="L230" s="53"/>
      <c r="M230" s="53"/>
      <c r="N230" s="53"/>
      <c r="O230" s="53"/>
      <c r="P230" s="53"/>
      <c r="Q230" s="54"/>
      <c r="R230" s="52"/>
      <c r="S230" s="53"/>
      <c r="T230" s="53"/>
      <c r="U230" s="53"/>
      <c r="V230" s="53"/>
      <c r="W230" s="53"/>
      <c r="X230" s="53"/>
      <c r="Y230" s="53"/>
      <c r="Z230" s="53"/>
      <c r="AA230" s="53"/>
      <c r="AB230" s="53"/>
      <c r="AC230" s="54"/>
      <c r="AD230" s="52"/>
      <c r="AE230" s="53"/>
      <c r="AF230" s="53"/>
      <c r="AG230" s="53"/>
      <c r="AH230" s="53"/>
      <c r="AI230" s="53"/>
      <c r="AJ230" s="53"/>
      <c r="AK230" s="53"/>
      <c r="AL230" s="53"/>
      <c r="AM230" s="53"/>
      <c r="AN230" s="53"/>
      <c r="AO230" s="54"/>
      <c r="AP230" s="225" t="str">
        <f>IFERROR(IF(AVERAGE(F230:K230)&lt;&gt;0,AVERAGE(F230:K230),""),"")</f>
        <v/>
      </c>
      <c r="AQ230" s="226" t="str">
        <f>IFERROR(IF(AVERAGE(L230:Q230)&lt;&gt;0,AVERAGE(L230:Q230),""),"")</f>
        <v/>
      </c>
      <c r="AR230" s="225" t="str">
        <f>IFERROR(IF(AVERAGE(R230:W230)&lt;&gt;0,AVERAGE(R230:W230),""),"")</f>
        <v/>
      </c>
      <c r="AS230" s="226" t="str">
        <f>IFERROR(IF(AVERAGE(X230:AC230)&lt;&gt;0,AVERAGE(X230:AC230),""),"")</f>
        <v/>
      </c>
      <c r="AT230" s="225" t="str">
        <f>IFERROR(IF(AVERAGE(AD230:AI230)&lt;&gt;0,AVERAGE(AD230:AI230),""),"")</f>
        <v/>
      </c>
      <c r="AU230" s="226" t="str">
        <f>IFERROR(IF(AVERAGE(AJ230:AO230)&lt;&gt;0,AVERAGE(AJ230:AO230),""),"")</f>
        <v/>
      </c>
      <c r="AV230" s="70"/>
      <c r="AW230" s="53"/>
      <c r="AX230" s="70"/>
      <c r="AY230" s="53"/>
      <c r="AZ230" s="70"/>
      <c r="BA230" s="53"/>
      <c r="BB230" s="70"/>
      <c r="BC230" s="53"/>
      <c r="BD230" s="70"/>
      <c r="BE230" s="264"/>
      <c r="BF230" s="272" t="str">
        <f>IFERROR(IF(AVERAGE(AP230:AQ230)&lt;&gt;0,AVERAGE(AP230:AQ230),""),"")</f>
        <v/>
      </c>
      <c r="BG230" s="272" t="str">
        <f>IFERROR(IF(AVERAGE(AR230:AS230)&lt;&gt;0,AVERAGE(AR230:AS230),""),"")</f>
        <v/>
      </c>
      <c r="BH230" s="272" t="str">
        <f>IFERROR(IF(AVERAGE(AT230:AU230)&lt;&gt;0,AVERAGE(AT230:AU230),""),"")</f>
        <v/>
      </c>
      <c r="BI230" s="272" t="str">
        <f>IFERROR(IF(AVERAGE(AV230:AW230)&lt;&gt;0,AVERAGE(AV230:AW230),""),"")</f>
        <v/>
      </c>
      <c r="BJ230" s="272" t="str">
        <f>IFERROR(IF(AVERAGE(AX230:AY230)&lt;&gt;0,AVERAGE(AX230:AY230),""),"")</f>
        <v/>
      </c>
      <c r="BK230" s="272" t="str">
        <f>IFERROR(IF(AVERAGE(AZ230:BA230)&lt;&gt;0,AVERAGE(AZ230:BA230),""),"")</f>
        <v/>
      </c>
      <c r="BL230" s="272" t="str">
        <f>IFERROR(IF(AVERAGE(BB230:BC230)&lt;&gt;0,AVERAGE(BB230:BC230),""),"")</f>
        <v/>
      </c>
      <c r="BM230" s="272" t="str">
        <f>IFERROR(IF(AVERAGE(BD230:BE230)&lt;&gt;0,AVERAGE(BD230:BE230),""),"")</f>
        <v/>
      </c>
    </row>
    <row r="231" spans="1:65" s="102" customFormat="1" ht="15" customHeight="1" outlineLevel="2" thickBot="1" x14ac:dyDescent="0.25">
      <c r="A231" s="320" t="s">
        <v>226</v>
      </c>
      <c r="B231" s="347"/>
      <c r="C231" s="350"/>
      <c r="D231" s="344"/>
      <c r="E231" s="278" t="s">
        <v>30</v>
      </c>
      <c r="F231" s="55"/>
      <c r="G231" s="56"/>
      <c r="H231" s="56"/>
      <c r="I231" s="56"/>
      <c r="J231" s="56"/>
      <c r="K231" s="56"/>
      <c r="L231" s="56"/>
      <c r="M231" s="56"/>
      <c r="N231" s="56"/>
      <c r="O231" s="56"/>
      <c r="P231" s="56"/>
      <c r="Q231" s="57"/>
      <c r="R231" s="55"/>
      <c r="S231" s="56"/>
      <c r="T231" s="56"/>
      <c r="U231" s="56"/>
      <c r="V231" s="56"/>
      <c r="W231" s="56"/>
      <c r="X231" s="56"/>
      <c r="Y231" s="56"/>
      <c r="Z231" s="56"/>
      <c r="AA231" s="56"/>
      <c r="AB231" s="56"/>
      <c r="AC231" s="57"/>
      <c r="AD231" s="55"/>
      <c r="AE231" s="56"/>
      <c r="AF231" s="56"/>
      <c r="AG231" s="56"/>
      <c r="AH231" s="56"/>
      <c r="AI231" s="56"/>
      <c r="AJ231" s="56"/>
      <c r="AK231" s="56"/>
      <c r="AL231" s="56"/>
      <c r="AM231" s="56"/>
      <c r="AN231" s="56"/>
      <c r="AO231" s="57"/>
      <c r="AP231" s="227" t="str">
        <f>IFERROR(IF(AVERAGE(F231:K231)&lt;&gt;0,AVERAGE(F231:K231),""),"")</f>
        <v/>
      </c>
      <c r="AQ231" s="228" t="str">
        <f>IFERROR(IF(AVERAGE(L231:Q231)&lt;&gt;0,AVERAGE(L231:Q231),""),"")</f>
        <v/>
      </c>
      <c r="AR231" s="227" t="str">
        <f>IFERROR(IF(AVERAGE(R231:W231)&lt;&gt;0,AVERAGE(R231:W231),""),"")</f>
        <v/>
      </c>
      <c r="AS231" s="228" t="str">
        <f>IFERROR(IF(AVERAGE(X231:AC231)&lt;&gt;0,AVERAGE(X231:AC231),""),"")</f>
        <v/>
      </c>
      <c r="AT231" s="227" t="str">
        <f>IFERROR(IF(AVERAGE(AD231:AI231)&lt;&gt;0,AVERAGE(AD231:AI231),""),"")</f>
        <v/>
      </c>
      <c r="AU231" s="228" t="str">
        <f>IFERROR(IF(AVERAGE(AJ231:AO231)&lt;&gt;0,AVERAGE(AJ231:AO231),""),"")</f>
        <v/>
      </c>
      <c r="AV231" s="71"/>
      <c r="AW231" s="56"/>
      <c r="AX231" s="71"/>
      <c r="AY231" s="56"/>
      <c r="AZ231" s="71"/>
      <c r="BA231" s="56"/>
      <c r="BB231" s="71"/>
      <c r="BC231" s="56"/>
      <c r="BD231" s="71"/>
      <c r="BE231" s="265"/>
      <c r="BF231" s="273" t="str">
        <f>IFERROR(IF(AVERAGE(AP231:AQ231)&lt;&gt;0,AVERAGE(AP231:AQ231),""),"")</f>
        <v/>
      </c>
      <c r="BG231" s="273" t="str">
        <f>IFERROR(IF(AVERAGE(AR231:AS231)&lt;&gt;0,AVERAGE(AR231:AS231),""),"")</f>
        <v/>
      </c>
      <c r="BH231" s="273" t="str">
        <f>IFERROR(IF(AVERAGE(AT231:AU231)&lt;&gt;0,AVERAGE(AT231:AU231),""),"")</f>
        <v/>
      </c>
      <c r="BI231" s="273" t="str">
        <f>IFERROR(IF(AVERAGE(AV231:AW231)&lt;&gt;0,AVERAGE(AV231:AW231),""),"")</f>
        <v/>
      </c>
      <c r="BJ231" s="273" t="str">
        <f>IFERROR(IF(AVERAGE(AX231:AY231)&lt;&gt;0,AVERAGE(AX231:AY231),""),"")</f>
        <v/>
      </c>
      <c r="BK231" s="273" t="str">
        <f>IFERROR(IF(AVERAGE(AZ231:BA231)&lt;&gt;0,AVERAGE(AZ231:BA231),""),"")</f>
        <v/>
      </c>
      <c r="BL231" s="273" t="str">
        <f>IFERROR(IF(AVERAGE(BB231:BC231)&lt;&gt;0,AVERAGE(BB231:BC231),""),"")</f>
        <v/>
      </c>
      <c r="BM231" s="273" t="str">
        <f>IFERROR(IF(AVERAGE(BD231:BE231)&lt;&gt;0,AVERAGE(BD231:BE231),""),"")</f>
        <v/>
      </c>
    </row>
    <row r="232" spans="1:65" s="102" customFormat="1" ht="14.25" customHeight="1" outlineLevel="2" x14ac:dyDescent="0.2">
      <c r="A232" s="320" t="s">
        <v>226</v>
      </c>
      <c r="B232" s="347"/>
      <c r="C232" s="350"/>
      <c r="D232" s="344"/>
      <c r="E232" s="279" t="s">
        <v>25</v>
      </c>
      <c r="F232" s="58"/>
      <c r="G232" s="50"/>
      <c r="H232" s="50"/>
      <c r="I232" s="50"/>
      <c r="J232" s="50"/>
      <c r="K232" s="50"/>
      <c r="L232" s="50"/>
      <c r="M232" s="50"/>
      <c r="N232" s="50"/>
      <c r="O232" s="50"/>
      <c r="P232" s="50"/>
      <c r="Q232" s="59"/>
      <c r="R232" s="58"/>
      <c r="S232" s="50"/>
      <c r="T232" s="50"/>
      <c r="U232" s="50"/>
      <c r="V232" s="50"/>
      <c r="W232" s="50"/>
      <c r="X232" s="50"/>
      <c r="Y232" s="50"/>
      <c r="Z232" s="50"/>
      <c r="AA232" s="50"/>
      <c r="AB232" s="50"/>
      <c r="AC232" s="59"/>
      <c r="AD232" s="58"/>
      <c r="AE232" s="50"/>
      <c r="AF232" s="50"/>
      <c r="AG232" s="50"/>
      <c r="AH232" s="50"/>
      <c r="AI232" s="50"/>
      <c r="AJ232" s="50"/>
      <c r="AK232" s="50"/>
      <c r="AL232" s="50"/>
      <c r="AM232" s="50"/>
      <c r="AN232" s="50"/>
      <c r="AO232" s="59"/>
      <c r="AP232" s="229" t="str">
        <f>IFERROR(IF(SUM(F232:K232)&lt;&gt;0,SUM(F232:K232),""),"")</f>
        <v/>
      </c>
      <c r="AQ232" s="230" t="str">
        <f>IFERROR(IF(SUM(L232:Q232)&lt;&gt;0,SUM(L232:Q232),""),"")</f>
        <v/>
      </c>
      <c r="AR232" s="229" t="str">
        <f>IFERROR(IF(SUM(R232:W232)&lt;&gt;0,SUM(R232:W232),""),"")</f>
        <v/>
      </c>
      <c r="AS232" s="230" t="str">
        <f>IFERROR(IF(SUM(X232:AC232)&lt;&gt;0,SUM(X232:AC232),""),"")</f>
        <v/>
      </c>
      <c r="AT232" s="229" t="str">
        <f>IFERROR(IF(SUM(AD232:AI232)&lt;&gt;0,SUM(AD232:AI232),""),"")</f>
        <v/>
      </c>
      <c r="AU232" s="230" t="str">
        <f>IFERROR(IF(SUM(AJ232:AO232)&lt;&gt;0,SUM(AJ232:AO232),""),"")</f>
        <v/>
      </c>
      <c r="AV232" s="72"/>
      <c r="AW232" s="73"/>
      <c r="AX232" s="72"/>
      <c r="AY232" s="73"/>
      <c r="AZ232" s="72"/>
      <c r="BA232" s="73"/>
      <c r="BB232" s="72"/>
      <c r="BC232" s="73"/>
      <c r="BD232" s="72"/>
      <c r="BE232" s="266"/>
      <c r="BF232" s="286" t="e">
        <f t="shared" ref="BF232:BF235" si="987">IF(SUM(AP232,AQ232)&lt;&gt;0,SUM(AP232,AQ232),#N/A)</f>
        <v>#N/A</v>
      </c>
      <c r="BG232" s="286" t="e">
        <f t="shared" ref="BG232:BG235" si="988">IF(SUM(AR232,AS232)&lt;&gt;0,SUM(AR232,AS232),#N/A)</f>
        <v>#N/A</v>
      </c>
      <c r="BH232" s="286" t="e">
        <f t="shared" ref="BH232:BH235" si="989">IF(SUM(AT232,AU232)&lt;&gt;0,SUM(AT232,AU232),#N/A)</f>
        <v>#N/A</v>
      </c>
      <c r="BI232" s="286" t="e">
        <f t="shared" ref="BI232:BI235" si="990">IF(SUM(AV232,AW232)&lt;&gt;0,SUM(AV232,AW232),#N/A)</f>
        <v>#N/A</v>
      </c>
      <c r="BJ232" s="286" t="e">
        <f t="shared" ref="BJ232:BJ235" si="991">IF(SUM(AX232,AY232)&lt;&gt;0,SUM(AX232,AY232),#N/A)</f>
        <v>#N/A</v>
      </c>
      <c r="BK232" s="286" t="e">
        <f t="shared" ref="BK232:BK235" si="992">IF(SUM(AZ232,BA232)&lt;&gt;0,SUM(AZ232,BA232),#N/A)</f>
        <v>#N/A</v>
      </c>
      <c r="BL232" s="286" t="e">
        <f t="shared" ref="BL232:BL235" si="993">IF(SUM(BB232,BC232)&lt;&gt;0,SUM(BB232,BC232),#N/A)</f>
        <v>#N/A</v>
      </c>
      <c r="BM232" s="286" t="e">
        <f t="shared" ref="BM232:BM235" si="994">IF(SUM(BD232,BE232)&lt;&gt;0,SUM(BD232,BE232),#N/A)</f>
        <v>#N/A</v>
      </c>
    </row>
    <row r="233" spans="1:65" s="102" customFormat="1" ht="14.25" customHeight="1" outlineLevel="2" x14ac:dyDescent="0.2">
      <c r="A233" s="320" t="s">
        <v>226</v>
      </c>
      <c r="B233" s="347"/>
      <c r="C233" s="350"/>
      <c r="D233" s="344"/>
      <c r="E233" s="280" t="s">
        <v>26</v>
      </c>
      <c r="F233" s="60"/>
      <c r="G233" s="61"/>
      <c r="H233" s="61"/>
      <c r="I233" s="61"/>
      <c r="J233" s="61"/>
      <c r="K233" s="61"/>
      <c r="L233" s="61"/>
      <c r="M233" s="61"/>
      <c r="N233" s="61"/>
      <c r="O233" s="61"/>
      <c r="P233" s="61"/>
      <c r="Q233" s="62"/>
      <c r="R233" s="60"/>
      <c r="S233" s="61"/>
      <c r="T233" s="61"/>
      <c r="U233" s="61"/>
      <c r="V233" s="61"/>
      <c r="W233" s="61"/>
      <c r="X233" s="61"/>
      <c r="Y233" s="61"/>
      <c r="Z233" s="61"/>
      <c r="AA233" s="61"/>
      <c r="AB233" s="61"/>
      <c r="AC233" s="62"/>
      <c r="AD233" s="60"/>
      <c r="AE233" s="61"/>
      <c r="AF233" s="61"/>
      <c r="AG233" s="61"/>
      <c r="AH233" s="61"/>
      <c r="AI233" s="61"/>
      <c r="AJ233" s="61"/>
      <c r="AK233" s="61"/>
      <c r="AL233" s="61"/>
      <c r="AM233" s="61"/>
      <c r="AN233" s="61"/>
      <c r="AO233" s="62"/>
      <c r="AP233" s="231" t="str">
        <f>IFERROR(IF(SUM(F233:K233)&lt;&gt;0,SUM(F233:K233),""),"")</f>
        <v/>
      </c>
      <c r="AQ233" s="232" t="str">
        <f>IFERROR(IF(SUM(L233:Q233)&lt;&gt;0,SUM(L233:Q233),""),"")</f>
        <v/>
      </c>
      <c r="AR233" s="231" t="str">
        <f>IFERROR(IF(SUM(R233:W233)&lt;&gt;0,SUM(R233:W233),""),"")</f>
        <v/>
      </c>
      <c r="AS233" s="232" t="str">
        <f>IFERROR(IF(SUM(X233:AC233)&lt;&gt;0,SUM(X233:AC233),""),"")</f>
        <v/>
      </c>
      <c r="AT233" s="231" t="str">
        <f>IFERROR(IF(SUM(AD233:AI233)&lt;&gt;0,SUM(AD233:AI233),""),"")</f>
        <v/>
      </c>
      <c r="AU233" s="232" t="str">
        <f>IFERROR(IF(SUM(AJ233:AO233)&lt;&gt;0,SUM(AJ233:AO233),""),"")</f>
        <v/>
      </c>
      <c r="AV233" s="74"/>
      <c r="AW233" s="61"/>
      <c r="AX233" s="74"/>
      <c r="AY233" s="61"/>
      <c r="AZ233" s="74"/>
      <c r="BA233" s="61"/>
      <c r="BB233" s="74"/>
      <c r="BC233" s="61"/>
      <c r="BD233" s="74"/>
      <c r="BE233" s="267"/>
      <c r="BF233" s="287" t="e">
        <f t="shared" si="987"/>
        <v>#N/A</v>
      </c>
      <c r="BG233" s="287" t="e">
        <f t="shared" si="988"/>
        <v>#N/A</v>
      </c>
      <c r="BH233" s="287" t="e">
        <f t="shared" si="989"/>
        <v>#N/A</v>
      </c>
      <c r="BI233" s="287" t="e">
        <f t="shared" si="990"/>
        <v>#N/A</v>
      </c>
      <c r="BJ233" s="287" t="e">
        <f t="shared" si="991"/>
        <v>#N/A</v>
      </c>
      <c r="BK233" s="287" t="e">
        <f t="shared" si="992"/>
        <v>#N/A</v>
      </c>
      <c r="BL233" s="287" t="e">
        <f t="shared" si="993"/>
        <v>#N/A</v>
      </c>
      <c r="BM233" s="287" t="e">
        <f t="shared" si="994"/>
        <v>#N/A</v>
      </c>
    </row>
    <row r="234" spans="1:65" s="102" customFormat="1" ht="14.25" customHeight="1" outlineLevel="2" x14ac:dyDescent="0.2">
      <c r="A234" s="320" t="s">
        <v>226</v>
      </c>
      <c r="B234" s="347"/>
      <c r="C234" s="350"/>
      <c r="D234" s="344"/>
      <c r="E234" s="280" t="s">
        <v>27</v>
      </c>
      <c r="F234" s="60"/>
      <c r="G234" s="61"/>
      <c r="H234" s="61"/>
      <c r="I234" s="61"/>
      <c r="J234" s="61"/>
      <c r="K234" s="61"/>
      <c r="L234" s="61"/>
      <c r="M234" s="61"/>
      <c r="N234" s="61"/>
      <c r="O234" s="61"/>
      <c r="P234" s="61"/>
      <c r="Q234" s="62"/>
      <c r="R234" s="60"/>
      <c r="S234" s="61"/>
      <c r="T234" s="61"/>
      <c r="U234" s="61"/>
      <c r="V234" s="61"/>
      <c r="W234" s="61"/>
      <c r="X234" s="61"/>
      <c r="Y234" s="61"/>
      <c r="Z234" s="61"/>
      <c r="AA234" s="61"/>
      <c r="AB234" s="61"/>
      <c r="AC234" s="62"/>
      <c r="AD234" s="60"/>
      <c r="AE234" s="61"/>
      <c r="AF234" s="61"/>
      <c r="AG234" s="61"/>
      <c r="AH234" s="61"/>
      <c r="AI234" s="61"/>
      <c r="AJ234" s="61"/>
      <c r="AK234" s="61"/>
      <c r="AL234" s="61"/>
      <c r="AM234" s="61"/>
      <c r="AN234" s="61"/>
      <c r="AO234" s="62"/>
      <c r="AP234" s="231" t="str">
        <f>IFERROR(IF(SUM(F234:K234)&lt;&gt;0,SUM(F234:K234),""),"")</f>
        <v/>
      </c>
      <c r="AQ234" s="232" t="str">
        <f>IFERROR(IF(SUM(L234:Q234)&lt;&gt;0,SUM(L234:Q234),""),"")</f>
        <v/>
      </c>
      <c r="AR234" s="231" t="str">
        <f>IFERROR(IF(SUM(R234:W234)&lt;&gt;0,SUM(R234:W234),""),"")</f>
        <v/>
      </c>
      <c r="AS234" s="232" t="str">
        <f>IFERROR(IF(SUM(X234:AC234)&lt;&gt;0,SUM(X234:AC234),""),"")</f>
        <v/>
      </c>
      <c r="AT234" s="231" t="str">
        <f>IFERROR(IF(SUM(AD234:AI234)&lt;&gt;0,SUM(AD234:AI234),""),"")</f>
        <v/>
      </c>
      <c r="AU234" s="232" t="str">
        <f>IFERROR(IF(SUM(AJ234:AO234)&lt;&gt;0,SUM(AJ234:AO234),""),"")</f>
        <v/>
      </c>
      <c r="AV234" s="74"/>
      <c r="AW234" s="61"/>
      <c r="AX234" s="74"/>
      <c r="AY234" s="61"/>
      <c r="AZ234" s="74"/>
      <c r="BA234" s="61"/>
      <c r="BB234" s="74"/>
      <c r="BC234" s="61"/>
      <c r="BD234" s="74"/>
      <c r="BE234" s="267"/>
      <c r="BF234" s="287" t="e">
        <f t="shared" si="987"/>
        <v>#N/A</v>
      </c>
      <c r="BG234" s="287" t="e">
        <f t="shared" si="988"/>
        <v>#N/A</v>
      </c>
      <c r="BH234" s="287" t="e">
        <f t="shared" si="989"/>
        <v>#N/A</v>
      </c>
      <c r="BI234" s="287" t="e">
        <f t="shared" si="990"/>
        <v>#N/A</v>
      </c>
      <c r="BJ234" s="287" t="e">
        <f t="shared" si="991"/>
        <v>#N/A</v>
      </c>
      <c r="BK234" s="287" t="e">
        <f t="shared" si="992"/>
        <v>#N/A</v>
      </c>
      <c r="BL234" s="287" t="e">
        <f t="shared" si="993"/>
        <v>#N/A</v>
      </c>
      <c r="BM234" s="287" t="e">
        <f t="shared" si="994"/>
        <v>#N/A</v>
      </c>
    </row>
    <row r="235" spans="1:65" s="102" customFormat="1" ht="15" customHeight="1" outlineLevel="2" thickBot="1" x14ac:dyDescent="0.25">
      <c r="A235" s="320" t="s">
        <v>226</v>
      </c>
      <c r="B235" s="347"/>
      <c r="C235" s="350"/>
      <c r="D235" s="344"/>
      <c r="E235" s="281" t="s">
        <v>88</v>
      </c>
      <c r="F235" s="63"/>
      <c r="G235" s="48"/>
      <c r="H235" s="48"/>
      <c r="I235" s="48"/>
      <c r="J235" s="48"/>
      <c r="K235" s="48"/>
      <c r="L235" s="48"/>
      <c r="M235" s="48"/>
      <c r="N235" s="48"/>
      <c r="O235" s="48"/>
      <c r="P235" s="48"/>
      <c r="Q235" s="51"/>
      <c r="R235" s="63"/>
      <c r="S235" s="48"/>
      <c r="T235" s="48"/>
      <c r="U235" s="48"/>
      <c r="V235" s="48"/>
      <c r="W235" s="48"/>
      <c r="X235" s="48"/>
      <c r="Y235" s="48"/>
      <c r="Z235" s="48"/>
      <c r="AA235" s="48"/>
      <c r="AB235" s="48"/>
      <c r="AC235" s="51"/>
      <c r="AD235" s="63"/>
      <c r="AE235" s="48"/>
      <c r="AF235" s="48"/>
      <c r="AG235" s="48"/>
      <c r="AH235" s="48"/>
      <c r="AI235" s="48"/>
      <c r="AJ235" s="48"/>
      <c r="AK235" s="48"/>
      <c r="AL235" s="48"/>
      <c r="AM235" s="48"/>
      <c r="AN235" s="48"/>
      <c r="AO235" s="51"/>
      <c r="AP235" s="233" t="str">
        <f>IFERROR(IF(SUM(F235:K235)&lt;&gt;0,SUM(F235:K235),""),"")</f>
        <v/>
      </c>
      <c r="AQ235" s="234" t="str">
        <f>IFERROR(IF(SUM(L235:Q235)&lt;&gt;0,SUM(L235:Q235),""),"")</f>
        <v/>
      </c>
      <c r="AR235" s="233" t="str">
        <f>IFERROR(IF(SUM(R235:W235)&lt;&gt;0,SUM(R235:W235),""),"")</f>
        <v/>
      </c>
      <c r="AS235" s="234" t="str">
        <f>IFERROR(IF(SUM(X235:AC235)&lt;&gt;0,SUM(X235:AC235),""),"")</f>
        <v/>
      </c>
      <c r="AT235" s="233" t="str">
        <f>IFERROR(IF(SUM(AD235:AI235)&lt;&gt;0,SUM(AD235:AI235),""),"")</f>
        <v/>
      </c>
      <c r="AU235" s="234" t="str">
        <f>IFERROR(IF(SUM(AJ235:AO235)&lt;&gt;0,SUM(AJ235:AO235),""),"")</f>
        <v/>
      </c>
      <c r="AV235" s="75"/>
      <c r="AW235" s="76"/>
      <c r="AX235" s="75"/>
      <c r="AY235" s="76"/>
      <c r="AZ235" s="75"/>
      <c r="BA235" s="76"/>
      <c r="BB235" s="75"/>
      <c r="BC235" s="76"/>
      <c r="BD235" s="75"/>
      <c r="BE235" s="268"/>
      <c r="BF235" s="271" t="e">
        <f t="shared" si="987"/>
        <v>#N/A</v>
      </c>
      <c r="BG235" s="271" t="e">
        <f t="shared" si="988"/>
        <v>#N/A</v>
      </c>
      <c r="BH235" s="271" t="e">
        <f t="shared" si="989"/>
        <v>#N/A</v>
      </c>
      <c r="BI235" s="271" t="e">
        <f t="shared" si="990"/>
        <v>#N/A</v>
      </c>
      <c r="BJ235" s="271" t="e">
        <f t="shared" si="991"/>
        <v>#N/A</v>
      </c>
      <c r="BK235" s="271" t="e">
        <f t="shared" si="992"/>
        <v>#N/A</v>
      </c>
      <c r="BL235" s="271" t="e">
        <f t="shared" si="993"/>
        <v>#N/A</v>
      </c>
      <c r="BM235" s="271" t="e">
        <f t="shared" si="994"/>
        <v>#N/A</v>
      </c>
    </row>
    <row r="236" spans="1:65" s="102" customFormat="1" ht="14.25" customHeight="1" outlineLevel="2" x14ac:dyDescent="0.2">
      <c r="A236" s="320" t="s">
        <v>226</v>
      </c>
      <c r="B236" s="347"/>
      <c r="C236" s="350"/>
      <c r="D236" s="344"/>
      <c r="E236" s="279" t="s">
        <v>32</v>
      </c>
      <c r="F236" s="64"/>
      <c r="G236" s="65"/>
      <c r="H236" s="65"/>
      <c r="I236" s="65"/>
      <c r="J236" s="65"/>
      <c r="K236" s="65"/>
      <c r="L236" s="65"/>
      <c r="M236" s="65"/>
      <c r="N236" s="65"/>
      <c r="O236" s="65"/>
      <c r="P236" s="65"/>
      <c r="Q236" s="66"/>
      <c r="R236" s="64"/>
      <c r="S236" s="65"/>
      <c r="T236" s="65"/>
      <c r="U236" s="65"/>
      <c r="V236" s="65"/>
      <c r="W236" s="65"/>
      <c r="X236" s="65"/>
      <c r="Y236" s="65"/>
      <c r="Z236" s="65"/>
      <c r="AA236" s="65"/>
      <c r="AB236" s="65"/>
      <c r="AC236" s="66"/>
      <c r="AD236" s="64"/>
      <c r="AE236" s="65"/>
      <c r="AF236" s="65"/>
      <c r="AG236" s="65"/>
      <c r="AH236" s="65"/>
      <c r="AI236" s="65"/>
      <c r="AJ236" s="65"/>
      <c r="AK236" s="65"/>
      <c r="AL236" s="65"/>
      <c r="AM236" s="65"/>
      <c r="AN236" s="65"/>
      <c r="AO236" s="66"/>
      <c r="AP236" s="32" t="str">
        <f>IFERROR(IF(AVERAGE(F236:K236)&lt;&gt;0,AVERAGE(F236:K236),""),"")</f>
        <v/>
      </c>
      <c r="AQ236" s="235" t="str">
        <f>IFERROR(IF(AVERAGE(L236:Q236)&lt;&gt;0,AVERAGE(L236:Q236),""),"")</f>
        <v/>
      </c>
      <c r="AR236" s="32" t="str">
        <f>IFERROR(IF(AVERAGE(R236:W236)&lt;&gt;0,AVERAGE(R236:W236),""),"")</f>
        <v/>
      </c>
      <c r="AS236" s="235" t="str">
        <f>IFERROR(IF(AVERAGE(X236:AC236)&lt;&gt;0,AVERAGE(X236:AC236),""),"")</f>
        <v/>
      </c>
      <c r="AT236" s="32" t="str">
        <f>IFERROR(IF(AVERAGE(AD236:AI236)&lt;&gt;0,AVERAGE(AD236:AI236),""),"")</f>
        <v/>
      </c>
      <c r="AU236" s="235" t="str">
        <f>IFERROR(IF(AVERAGE(AJ236:AO236)&lt;&gt;0,AVERAGE(AJ236:AO236),""),"")</f>
        <v/>
      </c>
      <c r="AV236" s="77"/>
      <c r="AW236" s="65"/>
      <c r="AX236" s="77"/>
      <c r="AY236" s="65"/>
      <c r="AZ236" s="77"/>
      <c r="BA236" s="65"/>
      <c r="BB236" s="77"/>
      <c r="BC236" s="65"/>
      <c r="BD236" s="77"/>
      <c r="BE236" s="269"/>
      <c r="BF236" s="272" t="str">
        <f>IFERROR(IF(AVERAGE(AP236:AQ236)&lt;&gt;0,AVERAGE(AP236:AQ236),""),"")</f>
        <v/>
      </c>
      <c r="BG236" s="272" t="str">
        <f>IFERROR(IF(AVERAGE(AR236:AS236)&lt;&gt;0,AVERAGE(AR236:AS236),""),"")</f>
        <v/>
      </c>
      <c r="BH236" s="272" t="str">
        <f>IFERROR(IF(AVERAGE(AT236:AU236)&lt;&gt;0,AVERAGE(AT236:AU236),""),"")</f>
        <v/>
      </c>
      <c r="BI236" s="272" t="str">
        <f>IFERROR(IF(AVERAGE(AV236:AW236)&lt;&gt;0,AVERAGE(AV236:AW236),""),"")</f>
        <v/>
      </c>
      <c r="BJ236" s="272" t="str">
        <f>IFERROR(IF(AVERAGE(AX236:AY236)&lt;&gt;0,AVERAGE(AX236:AY236),""),"")</f>
        <v/>
      </c>
      <c r="BK236" s="272" t="str">
        <f>IFERROR(IF(AVERAGE(AZ236:BA236)&lt;&gt;0,AVERAGE(AZ236:BA236),""),"")</f>
        <v/>
      </c>
      <c r="BL236" s="272" t="str">
        <f>IFERROR(IF(AVERAGE(BB236:BC236)&lt;&gt;0,AVERAGE(BB236:BC236),""),"")</f>
        <v/>
      </c>
      <c r="BM236" s="272" t="str">
        <f>IFERROR(IF(AVERAGE(BD236:BE236)&lt;&gt;0,AVERAGE(BD236:BE236),""),"")</f>
        <v/>
      </c>
    </row>
    <row r="237" spans="1:65" s="102" customFormat="1" ht="15" customHeight="1" outlineLevel="2" thickBot="1" x14ac:dyDescent="0.25">
      <c r="A237" s="320" t="s">
        <v>226</v>
      </c>
      <c r="B237" s="347"/>
      <c r="C237" s="350"/>
      <c r="D237" s="344"/>
      <c r="E237" s="281" t="s">
        <v>2</v>
      </c>
      <c r="F237" s="67"/>
      <c r="G237" s="68"/>
      <c r="H237" s="68"/>
      <c r="I237" s="68"/>
      <c r="J237" s="68"/>
      <c r="K237" s="68"/>
      <c r="L237" s="68"/>
      <c r="M237" s="68"/>
      <c r="N237" s="68"/>
      <c r="O237" s="68"/>
      <c r="P237" s="68"/>
      <c r="Q237" s="69"/>
      <c r="R237" s="67"/>
      <c r="S237" s="68"/>
      <c r="T237" s="68"/>
      <c r="U237" s="68"/>
      <c r="V237" s="68"/>
      <c r="W237" s="68"/>
      <c r="X237" s="68"/>
      <c r="Y237" s="68"/>
      <c r="Z237" s="68"/>
      <c r="AA237" s="68"/>
      <c r="AB237" s="68"/>
      <c r="AC237" s="69"/>
      <c r="AD237" s="67"/>
      <c r="AE237" s="68"/>
      <c r="AF237" s="68"/>
      <c r="AG237" s="68"/>
      <c r="AH237" s="68"/>
      <c r="AI237" s="68"/>
      <c r="AJ237" s="68"/>
      <c r="AK237" s="68"/>
      <c r="AL237" s="68"/>
      <c r="AM237" s="68"/>
      <c r="AN237" s="68"/>
      <c r="AO237" s="69"/>
      <c r="AP237" s="236" t="str">
        <f>IFERROR(IF(AVERAGE(F237:K237)&lt;&gt;0,AVERAGE(F237:K237),""),"")</f>
        <v/>
      </c>
      <c r="AQ237" s="237" t="str">
        <f>IFERROR(IF(AVERAGE(L237:Q237)&lt;&gt;0,AVERAGE(L237:Q237),""),"")</f>
        <v/>
      </c>
      <c r="AR237" s="236" t="str">
        <f>IFERROR(IF(AVERAGE(R237:W237)&lt;&gt;0,AVERAGE(R237:W237),""),"")</f>
        <v/>
      </c>
      <c r="AS237" s="237" t="str">
        <f>IFERROR(IF(AVERAGE(X237:AC237)&lt;&gt;0,AVERAGE(X237:AC237),""),"")</f>
        <v/>
      </c>
      <c r="AT237" s="236" t="str">
        <f>IFERROR(IF(AVERAGE(AD237:AI237)&lt;&gt;0,AVERAGE(AD237:AI237),""),"")</f>
        <v/>
      </c>
      <c r="AU237" s="237" t="str">
        <f>IFERROR(IF(AVERAGE(AJ237:AO237)&lt;&gt;0,AVERAGE(AJ237:AO237),""),"")</f>
        <v/>
      </c>
      <c r="AV237" s="78"/>
      <c r="AW237" s="68"/>
      <c r="AX237" s="78"/>
      <c r="AY237" s="68"/>
      <c r="AZ237" s="78"/>
      <c r="BA237" s="68"/>
      <c r="BB237" s="78"/>
      <c r="BC237" s="68"/>
      <c r="BD237" s="78"/>
      <c r="BE237" s="270"/>
      <c r="BF237" s="288" t="str">
        <f>IFERROR(IF(AVERAGE(AP237:AQ237)&lt;&gt;0,AVERAGE(AP237:AQ237),""),"")</f>
        <v/>
      </c>
      <c r="BG237" s="288" t="str">
        <f>IFERROR(IF(AVERAGE(AR237:AS237)&lt;&gt;0,AVERAGE(AR237:AS237),""),"")</f>
        <v/>
      </c>
      <c r="BH237" s="288" t="str">
        <f>IFERROR(IF(AVERAGE(AT237:AU237)&lt;&gt;0,AVERAGE(AT237:AU237),""),"")</f>
        <v/>
      </c>
      <c r="BI237" s="288" t="str">
        <f>IFERROR(IF(AVERAGE(AV237:AW237)&lt;&gt;0,AVERAGE(AV237:AW237),""),"")</f>
        <v/>
      </c>
      <c r="BJ237" s="288" t="str">
        <f>IFERROR(IF(AVERAGE(AX237:AY237)&lt;&gt;0,AVERAGE(AX237:AY237),""),"")</f>
        <v/>
      </c>
      <c r="BK237" s="288" t="str">
        <f>IFERROR(IF(AVERAGE(AZ237:BA237)&lt;&gt;0,AVERAGE(AZ237:BA237),""),"")</f>
        <v/>
      </c>
      <c r="BL237" s="288" t="str">
        <f>IFERROR(IF(AVERAGE(BB237:BC237)&lt;&gt;0,AVERAGE(BB237:BC237),""),"")</f>
        <v/>
      </c>
      <c r="BM237" s="288" t="str">
        <f>IFERROR(IF(AVERAGE(BD237:BE237)&lt;&gt;0,AVERAGE(BD237:BE237),""),"")</f>
        <v/>
      </c>
    </row>
    <row r="238" spans="1:65" s="102" customFormat="1" ht="14.25" customHeight="1" outlineLevel="1" x14ac:dyDescent="0.2">
      <c r="A238" s="320" t="s">
        <v>226</v>
      </c>
      <c r="B238" s="347"/>
      <c r="C238" s="350"/>
      <c r="D238" s="344"/>
      <c r="E238" s="282" t="s">
        <v>228</v>
      </c>
      <c r="F238" s="283" t="str">
        <f ca="1">IF(IFERROR((F$11*(F230-SUM(F232:F235)/F$11)*F237*3600)/(F236),"")&gt;0,IFERROR((F$11*(F230-SUM(F232:F235)/F$11)*F237*3600)/(F236),""),"")</f>
        <v/>
      </c>
      <c r="G238" s="284" t="str">
        <f t="shared" ref="G238:AO238" ca="1" si="995">IF(IFERROR((G$11*(G230-SUM(G232:G235)/G$11)*G237*3600)/(G236),"")&gt;0,IFERROR((G$11*(G230-SUM(G232:G235)/G$11)*G237*3600)/(G236),""),"")</f>
        <v/>
      </c>
      <c r="H238" s="284" t="str">
        <f t="shared" ca="1" si="995"/>
        <v/>
      </c>
      <c r="I238" s="284" t="str">
        <f t="shared" ca="1" si="995"/>
        <v/>
      </c>
      <c r="J238" s="284" t="str">
        <f t="shared" ca="1" si="995"/>
        <v/>
      </c>
      <c r="K238" s="284" t="str">
        <f t="shared" ca="1" si="995"/>
        <v/>
      </c>
      <c r="L238" s="284" t="str">
        <f t="shared" ca="1" si="995"/>
        <v/>
      </c>
      <c r="M238" s="284" t="str">
        <f t="shared" ca="1" si="995"/>
        <v/>
      </c>
      <c r="N238" s="284" t="str">
        <f t="shared" ca="1" si="995"/>
        <v/>
      </c>
      <c r="O238" s="284" t="str">
        <f t="shared" ca="1" si="995"/>
        <v/>
      </c>
      <c r="P238" s="284" t="str">
        <f t="shared" ca="1" si="995"/>
        <v/>
      </c>
      <c r="Q238" s="284" t="str">
        <f t="shared" ca="1" si="995"/>
        <v/>
      </c>
      <c r="R238" s="283" t="str">
        <f t="shared" ca="1" si="995"/>
        <v/>
      </c>
      <c r="S238" s="284" t="str">
        <f t="shared" ca="1" si="995"/>
        <v/>
      </c>
      <c r="T238" s="284" t="str">
        <f t="shared" ca="1" si="995"/>
        <v/>
      </c>
      <c r="U238" s="284" t="str">
        <f t="shared" ca="1" si="995"/>
        <v/>
      </c>
      <c r="V238" s="284" t="str">
        <f t="shared" ca="1" si="995"/>
        <v/>
      </c>
      <c r="W238" s="284" t="str">
        <f t="shared" ca="1" si="995"/>
        <v/>
      </c>
      <c r="X238" s="284" t="str">
        <f t="shared" ca="1" si="995"/>
        <v/>
      </c>
      <c r="Y238" s="284" t="str">
        <f t="shared" ca="1" si="995"/>
        <v/>
      </c>
      <c r="Z238" s="284" t="str">
        <f t="shared" ca="1" si="995"/>
        <v/>
      </c>
      <c r="AA238" s="284" t="str">
        <f t="shared" ca="1" si="995"/>
        <v/>
      </c>
      <c r="AB238" s="284" t="str">
        <f t="shared" ca="1" si="995"/>
        <v/>
      </c>
      <c r="AC238" s="284" t="str">
        <f t="shared" ca="1" si="995"/>
        <v/>
      </c>
      <c r="AD238" s="283" t="str">
        <f t="shared" ca="1" si="995"/>
        <v/>
      </c>
      <c r="AE238" s="284" t="str">
        <f t="shared" ca="1" si="995"/>
        <v/>
      </c>
      <c r="AF238" s="284" t="str">
        <f t="shared" ca="1" si="995"/>
        <v/>
      </c>
      <c r="AG238" s="284" t="str">
        <f t="shared" ca="1" si="995"/>
        <v/>
      </c>
      <c r="AH238" s="284" t="str">
        <f t="shared" ca="1" si="995"/>
        <v/>
      </c>
      <c r="AI238" s="284" t="str">
        <f t="shared" ca="1" si="995"/>
        <v/>
      </c>
      <c r="AJ238" s="284" t="str">
        <f t="shared" ca="1" si="995"/>
        <v/>
      </c>
      <c r="AK238" s="284" t="str">
        <f t="shared" ca="1" si="995"/>
        <v/>
      </c>
      <c r="AL238" s="284" t="str">
        <f t="shared" ca="1" si="995"/>
        <v/>
      </c>
      <c r="AM238" s="284" t="str">
        <f t="shared" ca="1" si="995"/>
        <v/>
      </c>
      <c r="AN238" s="284" t="str">
        <f t="shared" ca="1" si="995"/>
        <v/>
      </c>
      <c r="AO238" s="284" t="str">
        <f t="shared" ca="1" si="995"/>
        <v/>
      </c>
      <c r="AP238" s="283" t="e">
        <f t="shared" ref="AP238:AP239" ca="1" si="996">IF(SUM(F238:K238)&lt;&gt;0,SUM(F238:K238),#N/A)</f>
        <v>#N/A</v>
      </c>
      <c r="AQ238" s="284" t="e">
        <f t="shared" ref="AQ238:AQ239" ca="1" si="997">IF(SUM(L238:Q238)&lt;&gt;0,SUM(L238:Q238),#N/A)</f>
        <v>#N/A</v>
      </c>
      <c r="AR238" s="283" t="e">
        <f t="shared" ref="AR238:AR239" ca="1" si="998">IF(SUM(R238:W238)&lt;&gt;0,SUM(R238:W238),#N/A)</f>
        <v>#N/A</v>
      </c>
      <c r="AS238" s="284" t="e">
        <f t="shared" ref="AS238:AS239" ca="1" si="999">IF(SUM(X238:AC238)&lt;&gt;0,SUM(X238:AC238),#N/A)</f>
        <v>#N/A</v>
      </c>
      <c r="AT238" s="283" t="e">
        <f t="shared" ref="AT238:AT239" ca="1" si="1000">IF(SUM(AD238:AI238)&lt;&gt;0,SUM(AD238:AI238),#N/A)</f>
        <v>#N/A</v>
      </c>
      <c r="AU238" s="284" t="e">
        <f t="shared" ref="AU238:AU239" ca="1" si="1001">IF(SUM(AJ238:AO238)&lt;&gt;0,SUM(AJ238:AO238),#N/A)</f>
        <v>#N/A</v>
      </c>
      <c r="AV238" s="283" t="str">
        <f ca="1">IF(IFERROR((AV$11*(AV230-SUM(AV232:AV235)/AV$11)*AV237*3600)/(AV236),"")&lt;&gt;0,IFERROR((AV$11*(AV230-SUM(AV232:AV235)/AV$11)*AV237*3600)/(AV236),""),"")</f>
        <v/>
      </c>
      <c r="AW238" s="284" t="str">
        <f t="shared" ref="AW238:BE238" ca="1" si="1002">IF(IFERROR((AW$11*(AW230-SUM(AW232:AW235)/AW$11)*AW237*3600)/(AW236),"")&lt;&gt;0,IFERROR((AW$11*(AW230-SUM(AW232:AW235)/AW$11)*AW237*3600)/(AW236),""),"")</f>
        <v/>
      </c>
      <c r="AX238" s="283" t="str">
        <f t="shared" ca="1" si="1002"/>
        <v/>
      </c>
      <c r="AY238" s="284" t="str">
        <f t="shared" ca="1" si="1002"/>
        <v/>
      </c>
      <c r="AZ238" s="283" t="str">
        <f t="shared" ca="1" si="1002"/>
        <v/>
      </c>
      <c r="BA238" s="284" t="str">
        <f t="shared" ca="1" si="1002"/>
        <v/>
      </c>
      <c r="BB238" s="283" t="str">
        <f t="shared" ca="1" si="1002"/>
        <v/>
      </c>
      <c r="BC238" s="284" t="str">
        <f t="shared" ca="1" si="1002"/>
        <v/>
      </c>
      <c r="BD238" s="283" t="str">
        <f t="shared" ca="1" si="1002"/>
        <v/>
      </c>
      <c r="BE238" s="285" t="str">
        <f t="shared" ca="1" si="1002"/>
        <v/>
      </c>
      <c r="BF238" s="285" t="e">
        <f t="shared" ref="BF238:BF240" ca="1" si="1003">IF(SUM(AP238,AQ238)&lt;&gt;0,SUM(AP238,AQ238),#N/A)</f>
        <v>#N/A</v>
      </c>
      <c r="BG238" s="285" t="e">
        <f t="shared" ref="BG238:BG240" ca="1" si="1004">IF(SUM(AR238,AS238)&lt;&gt;0,SUM(AR238,AS238),#N/A)</f>
        <v>#N/A</v>
      </c>
      <c r="BH238" s="285" t="e">
        <f t="shared" ref="BH238:BH240" ca="1" si="1005">IF(SUM(AT238,AU238)&lt;&gt;0,SUM(AT238,AU238),#N/A)</f>
        <v>#N/A</v>
      </c>
      <c r="BI238" s="285" t="e">
        <f t="shared" ref="BI238:BI240" ca="1" si="1006">IF(SUM(AV238,AW238)&lt;&gt;0,SUM(AV238,AW238),#N/A)</f>
        <v>#N/A</v>
      </c>
      <c r="BJ238" s="285" t="e">
        <f t="shared" ref="BJ238:BJ240" ca="1" si="1007">IF(SUM(AX238,AY238)&lt;&gt;0,SUM(AX238,AY238),#N/A)</f>
        <v>#N/A</v>
      </c>
      <c r="BK238" s="285" t="e">
        <f t="shared" ref="BK238:BK240" ca="1" si="1008">IF(SUM(AZ238,BA238)&lt;&gt;0,SUM(AZ238,BA238),#N/A)</f>
        <v>#N/A</v>
      </c>
      <c r="BL238" s="285" t="e">
        <f t="shared" ref="BL238:BL240" ca="1" si="1009">IF(SUM(BB238,BC238)&lt;&gt;0,SUM(BB238,BC238),#N/A)</f>
        <v>#N/A</v>
      </c>
      <c r="BM238" s="285" t="e">
        <f t="shared" ref="BM238:BM240" ca="1" si="1010">IF(SUM(BD238,BE238)&lt;&gt;0,SUM(BD238,BE238),#N/A)</f>
        <v>#N/A</v>
      </c>
    </row>
    <row r="239" spans="1:65" s="102" customFormat="1" ht="15" customHeight="1" outlineLevel="1" thickBot="1" x14ac:dyDescent="0.25">
      <c r="A239" s="320" t="s">
        <v>226</v>
      </c>
      <c r="B239" s="348"/>
      <c r="C239" s="351"/>
      <c r="D239" s="345"/>
      <c r="E239" s="104" t="s">
        <v>225</v>
      </c>
      <c r="F239" s="36" t="str">
        <f ca="1">IFERROR(F238+((F229*F231*F237*3600)/(F236)),"")</f>
        <v/>
      </c>
      <c r="G239" s="37" t="str">
        <f t="shared" ref="G239:AO239" ca="1" si="1011">IFERROR(G238+((G229*G231*G237*3600)/(G236)),"")</f>
        <v/>
      </c>
      <c r="H239" s="37" t="str">
        <f t="shared" ca="1" si="1011"/>
        <v/>
      </c>
      <c r="I239" s="37" t="str">
        <f t="shared" ca="1" si="1011"/>
        <v/>
      </c>
      <c r="J239" s="37" t="str">
        <f t="shared" ca="1" si="1011"/>
        <v/>
      </c>
      <c r="K239" s="37" t="str">
        <f t="shared" ca="1" si="1011"/>
        <v/>
      </c>
      <c r="L239" s="37" t="str">
        <f t="shared" ca="1" si="1011"/>
        <v/>
      </c>
      <c r="M239" s="37" t="str">
        <f t="shared" ca="1" si="1011"/>
        <v/>
      </c>
      <c r="N239" s="37" t="str">
        <f t="shared" ca="1" si="1011"/>
        <v/>
      </c>
      <c r="O239" s="37" t="str">
        <f t="shared" ca="1" si="1011"/>
        <v/>
      </c>
      <c r="P239" s="37" t="str">
        <f t="shared" ca="1" si="1011"/>
        <v/>
      </c>
      <c r="Q239" s="37" t="str">
        <f t="shared" ca="1" si="1011"/>
        <v/>
      </c>
      <c r="R239" s="36" t="str">
        <f t="shared" ca="1" si="1011"/>
        <v/>
      </c>
      <c r="S239" s="37" t="str">
        <f t="shared" ca="1" si="1011"/>
        <v/>
      </c>
      <c r="T239" s="37" t="str">
        <f t="shared" ca="1" si="1011"/>
        <v/>
      </c>
      <c r="U239" s="37" t="str">
        <f t="shared" ca="1" si="1011"/>
        <v/>
      </c>
      <c r="V239" s="37" t="str">
        <f t="shared" ca="1" si="1011"/>
        <v/>
      </c>
      <c r="W239" s="37" t="str">
        <f t="shared" ca="1" si="1011"/>
        <v/>
      </c>
      <c r="X239" s="37" t="str">
        <f t="shared" ca="1" si="1011"/>
        <v/>
      </c>
      <c r="Y239" s="37" t="str">
        <f t="shared" ca="1" si="1011"/>
        <v/>
      </c>
      <c r="Z239" s="37" t="str">
        <f t="shared" ca="1" si="1011"/>
        <v/>
      </c>
      <c r="AA239" s="37" t="str">
        <f t="shared" ca="1" si="1011"/>
        <v/>
      </c>
      <c r="AB239" s="37" t="str">
        <f t="shared" ca="1" si="1011"/>
        <v/>
      </c>
      <c r="AC239" s="37" t="str">
        <f t="shared" ca="1" si="1011"/>
        <v/>
      </c>
      <c r="AD239" s="36" t="str">
        <f t="shared" ca="1" si="1011"/>
        <v/>
      </c>
      <c r="AE239" s="37" t="str">
        <f t="shared" ca="1" si="1011"/>
        <v/>
      </c>
      <c r="AF239" s="37" t="str">
        <f t="shared" ca="1" si="1011"/>
        <v/>
      </c>
      <c r="AG239" s="37" t="str">
        <f t="shared" ca="1" si="1011"/>
        <v/>
      </c>
      <c r="AH239" s="37" t="str">
        <f t="shared" ca="1" si="1011"/>
        <v/>
      </c>
      <c r="AI239" s="37" t="str">
        <f t="shared" ca="1" si="1011"/>
        <v/>
      </c>
      <c r="AJ239" s="37" t="str">
        <f t="shared" ca="1" si="1011"/>
        <v/>
      </c>
      <c r="AK239" s="37" t="str">
        <f t="shared" ca="1" si="1011"/>
        <v/>
      </c>
      <c r="AL239" s="37" t="str">
        <f t="shared" ca="1" si="1011"/>
        <v/>
      </c>
      <c r="AM239" s="37" t="str">
        <f t="shared" ca="1" si="1011"/>
        <v/>
      </c>
      <c r="AN239" s="37" t="str">
        <f t="shared" ca="1" si="1011"/>
        <v/>
      </c>
      <c r="AO239" s="37" t="str">
        <f t="shared" ca="1" si="1011"/>
        <v/>
      </c>
      <c r="AP239" s="36" t="e">
        <f t="shared" ca="1" si="996"/>
        <v>#N/A</v>
      </c>
      <c r="AQ239" s="37" t="e">
        <f t="shared" ca="1" si="997"/>
        <v>#N/A</v>
      </c>
      <c r="AR239" s="36" t="e">
        <f t="shared" ca="1" si="998"/>
        <v>#N/A</v>
      </c>
      <c r="AS239" s="37" t="e">
        <f t="shared" ca="1" si="999"/>
        <v>#N/A</v>
      </c>
      <c r="AT239" s="36" t="e">
        <f t="shared" ca="1" si="1000"/>
        <v>#N/A</v>
      </c>
      <c r="AU239" s="37" t="e">
        <f t="shared" ca="1" si="1001"/>
        <v>#N/A</v>
      </c>
      <c r="AV239" s="36" t="str">
        <f t="shared" ref="AV239:BE239" ca="1" si="1012">IFERROR(AV238+((AV229*AV231*AV237*3600)/(AV236)),"")</f>
        <v/>
      </c>
      <c r="AW239" s="37" t="str">
        <f t="shared" ca="1" si="1012"/>
        <v/>
      </c>
      <c r="AX239" s="36" t="str">
        <f t="shared" ca="1" si="1012"/>
        <v/>
      </c>
      <c r="AY239" s="37" t="str">
        <f t="shared" ca="1" si="1012"/>
        <v/>
      </c>
      <c r="AZ239" s="36" t="str">
        <f t="shared" ca="1" si="1012"/>
        <v/>
      </c>
      <c r="BA239" s="37" t="str">
        <f t="shared" ca="1" si="1012"/>
        <v/>
      </c>
      <c r="BB239" s="36" t="str">
        <f t="shared" ca="1" si="1012"/>
        <v/>
      </c>
      <c r="BC239" s="37" t="str">
        <f t="shared" ca="1" si="1012"/>
        <v/>
      </c>
      <c r="BD239" s="36" t="str">
        <f t="shared" ca="1" si="1012"/>
        <v/>
      </c>
      <c r="BE239" s="43" t="str">
        <f t="shared" ca="1" si="1012"/>
        <v/>
      </c>
      <c r="BF239" s="43" t="e">
        <f t="shared" ca="1" si="1003"/>
        <v>#N/A</v>
      </c>
      <c r="BG239" s="43" t="e">
        <f t="shared" ca="1" si="1004"/>
        <v>#N/A</v>
      </c>
      <c r="BH239" s="43" t="e">
        <f t="shared" ca="1" si="1005"/>
        <v>#N/A</v>
      </c>
      <c r="BI239" s="43" t="e">
        <f t="shared" ca="1" si="1006"/>
        <v>#N/A</v>
      </c>
      <c r="BJ239" s="43" t="e">
        <f t="shared" ca="1" si="1007"/>
        <v>#N/A</v>
      </c>
      <c r="BK239" s="43" t="e">
        <f t="shared" ca="1" si="1008"/>
        <v>#N/A</v>
      </c>
      <c r="BL239" s="43" t="e">
        <f t="shared" ca="1" si="1009"/>
        <v>#N/A</v>
      </c>
      <c r="BM239" s="43" t="e">
        <f t="shared" ca="1" si="1010"/>
        <v>#N/A</v>
      </c>
    </row>
    <row r="240" spans="1:65" s="102" customFormat="1" ht="22.5" outlineLevel="2" x14ac:dyDescent="0.2">
      <c r="A240" s="320" t="s">
        <v>226</v>
      </c>
      <c r="B240" s="346"/>
      <c r="C240" s="349" t="str">
        <f t="shared" ref="C240" si="1013">IF(AND($B240&lt;&gt;0,$C$9&lt;&gt;0),$C$9,"")</f>
        <v/>
      </c>
      <c r="D240" s="343"/>
      <c r="E240" s="277" t="s">
        <v>40</v>
      </c>
      <c r="F240" s="33">
        <f ca="1">IF(F$11-(SUM(F244:F247)/24)=0,"",F$11-(SUM(F244:F247)/24))</f>
        <v>27</v>
      </c>
      <c r="G240" s="34">
        <f t="shared" ref="G240:AO240" ca="1" si="1014">IF(G$11-(SUM(G244:G247)/24)=0,"",G$11-(SUM(G244:G247)/24))</f>
        <v>24</v>
      </c>
      <c r="H240" s="34">
        <f t="shared" ca="1" si="1014"/>
        <v>26</v>
      </c>
      <c r="I240" s="34">
        <f t="shared" ca="1" si="1014"/>
        <v>26</v>
      </c>
      <c r="J240" s="34">
        <f t="shared" ca="1" si="1014"/>
        <v>27</v>
      </c>
      <c r="K240" s="34">
        <f t="shared" ca="1" si="1014"/>
        <v>25</v>
      </c>
      <c r="L240" s="34">
        <f t="shared" ca="1" si="1014"/>
        <v>27</v>
      </c>
      <c r="M240" s="34">
        <f t="shared" ca="1" si="1014"/>
        <v>26</v>
      </c>
      <c r="N240" s="34">
        <f t="shared" ca="1" si="1014"/>
        <v>26</v>
      </c>
      <c r="O240" s="34">
        <f t="shared" ca="1" si="1014"/>
        <v>27</v>
      </c>
      <c r="P240" s="34">
        <f t="shared" ca="1" si="1014"/>
        <v>25</v>
      </c>
      <c r="Q240" s="34">
        <f t="shared" ca="1" si="1014"/>
        <v>27</v>
      </c>
      <c r="R240" s="32">
        <f t="shared" ca="1" si="1014"/>
        <v>27</v>
      </c>
      <c r="S240" s="29">
        <f t="shared" ca="1" si="1014"/>
        <v>24</v>
      </c>
      <c r="T240" s="29">
        <f t="shared" ca="1" si="1014"/>
        <v>26</v>
      </c>
      <c r="U240" s="29">
        <f t="shared" ca="1" si="1014"/>
        <v>26</v>
      </c>
      <c r="V240" s="29">
        <f t="shared" ca="1" si="1014"/>
        <v>26</v>
      </c>
      <c r="W240" s="29">
        <f t="shared" ca="1" si="1014"/>
        <v>26</v>
      </c>
      <c r="X240" s="29">
        <f t="shared" ca="1" si="1014"/>
        <v>27</v>
      </c>
      <c r="Y240" s="29">
        <f t="shared" ca="1" si="1014"/>
        <v>26</v>
      </c>
      <c r="Z240" s="29">
        <f t="shared" ca="1" si="1014"/>
        <v>26</v>
      </c>
      <c r="AA240" s="29">
        <f t="shared" ca="1" si="1014"/>
        <v>27</v>
      </c>
      <c r="AB240" s="29">
        <f t="shared" ca="1" si="1014"/>
        <v>25</v>
      </c>
      <c r="AC240" s="29">
        <f t="shared" ca="1" si="1014"/>
        <v>27</v>
      </c>
      <c r="AD240" s="32">
        <f t="shared" ca="1" si="1014"/>
        <v>26</v>
      </c>
      <c r="AE240" s="29">
        <f t="shared" ca="1" si="1014"/>
        <v>24</v>
      </c>
      <c r="AF240" s="29">
        <f t="shared" ca="1" si="1014"/>
        <v>27</v>
      </c>
      <c r="AG240" s="29">
        <f t="shared" ca="1" si="1014"/>
        <v>26</v>
      </c>
      <c r="AH240" s="29">
        <f t="shared" ca="1" si="1014"/>
        <v>26</v>
      </c>
      <c r="AI240" s="29">
        <f t="shared" ca="1" si="1014"/>
        <v>26</v>
      </c>
      <c r="AJ240" s="29">
        <f t="shared" ca="1" si="1014"/>
        <v>27</v>
      </c>
      <c r="AK240" s="29">
        <f t="shared" ca="1" si="1014"/>
        <v>26</v>
      </c>
      <c r="AL240" s="29">
        <f t="shared" ca="1" si="1014"/>
        <v>26</v>
      </c>
      <c r="AM240" s="29">
        <f t="shared" ca="1" si="1014"/>
        <v>26</v>
      </c>
      <c r="AN240" s="29">
        <f t="shared" ca="1" si="1014"/>
        <v>26</v>
      </c>
      <c r="AO240" s="29">
        <f t="shared" ca="1" si="1014"/>
        <v>27</v>
      </c>
      <c r="AP240" s="32">
        <f ca="1">IF(SUM(F240:K240)&lt;&gt;0,SUM(F240:K240),"")</f>
        <v>155</v>
      </c>
      <c r="AQ240" s="29">
        <f ca="1">IF(SUM(L240:Q240)&lt;&gt;0,SUM(L240:Q240),"")</f>
        <v>158</v>
      </c>
      <c r="AR240" s="32">
        <f ca="1">IF(SUM(R240:W240)&lt;&gt;0,SUM(R240:W240),"")</f>
        <v>155</v>
      </c>
      <c r="AS240" s="29">
        <f ca="1">IF(SUM(X240:AC240)&lt;&gt;0,SUM(X240:AC240),"")</f>
        <v>158</v>
      </c>
      <c r="AT240" s="32">
        <f ca="1">IF(SUM(AD240:AI240)&lt;&gt;0,SUM(AD240:AI240),"")</f>
        <v>155</v>
      </c>
      <c r="AU240" s="296">
        <f ca="1">SUM(AJ240:AO240)</f>
        <v>158</v>
      </c>
      <c r="AV240" s="32">
        <f t="shared" ref="AV240:BE240" ca="1" si="1015">IF(AV$11-(SUM(AV244:AV247)/24)=0,"",AV$11-(SUM(AV244:AV247)/24))</f>
        <v>156</v>
      </c>
      <c r="AW240" s="29">
        <f t="shared" ca="1" si="1015"/>
        <v>157</v>
      </c>
      <c r="AX240" s="32">
        <f t="shared" ca="1" si="1015"/>
        <v>156</v>
      </c>
      <c r="AY240" s="29">
        <f t="shared" ca="1" si="1015"/>
        <v>158</v>
      </c>
      <c r="AZ240" s="32">
        <f t="shared" ca="1" si="1015"/>
        <v>155</v>
      </c>
      <c r="BA240" s="29">
        <f t="shared" ca="1" si="1015"/>
        <v>158</v>
      </c>
      <c r="BB240" s="32">
        <f t="shared" ca="1" si="1015"/>
        <v>155</v>
      </c>
      <c r="BC240" s="29">
        <f t="shared" ca="1" si="1015"/>
        <v>158</v>
      </c>
      <c r="BD240" s="32">
        <f t="shared" ca="1" si="1015"/>
        <v>156</v>
      </c>
      <c r="BE240" s="262">
        <f t="shared" ca="1" si="1015"/>
        <v>158</v>
      </c>
      <c r="BF240" s="286">
        <f t="shared" ca="1" si="1003"/>
        <v>313</v>
      </c>
      <c r="BG240" s="286">
        <f t="shared" ca="1" si="1004"/>
        <v>313</v>
      </c>
      <c r="BH240" s="286">
        <f t="shared" ca="1" si="1005"/>
        <v>313</v>
      </c>
      <c r="BI240" s="286">
        <f t="shared" ca="1" si="1006"/>
        <v>313</v>
      </c>
      <c r="BJ240" s="286">
        <f t="shared" ca="1" si="1007"/>
        <v>314</v>
      </c>
      <c r="BK240" s="286">
        <f t="shared" ca="1" si="1008"/>
        <v>313</v>
      </c>
      <c r="BL240" s="286">
        <f t="shared" ca="1" si="1009"/>
        <v>313</v>
      </c>
      <c r="BM240" s="286">
        <f t="shared" ca="1" si="1010"/>
        <v>314</v>
      </c>
    </row>
    <row r="241" spans="1:65" s="102" customFormat="1" ht="15" customHeight="1" outlineLevel="2" thickBot="1" x14ac:dyDescent="0.25">
      <c r="A241" s="320" t="s">
        <v>226</v>
      </c>
      <c r="B241" s="347"/>
      <c r="C241" s="350"/>
      <c r="D241" s="344"/>
      <c r="E241" s="278" t="s">
        <v>29</v>
      </c>
      <c r="F241" s="47"/>
      <c r="G241" s="48"/>
      <c r="H241" s="48"/>
      <c r="I241" s="48"/>
      <c r="J241" s="48"/>
      <c r="K241" s="48"/>
      <c r="L241" s="48"/>
      <c r="M241" s="48"/>
      <c r="N241" s="48"/>
      <c r="O241" s="48"/>
      <c r="P241" s="48"/>
      <c r="Q241" s="51"/>
      <c r="R241" s="47"/>
      <c r="S241" s="48"/>
      <c r="T241" s="48"/>
      <c r="U241" s="48"/>
      <c r="V241" s="48"/>
      <c r="W241" s="48"/>
      <c r="X241" s="48"/>
      <c r="Y241" s="48"/>
      <c r="Z241" s="48"/>
      <c r="AA241" s="48"/>
      <c r="AB241" s="48"/>
      <c r="AC241" s="51"/>
      <c r="AD241" s="47"/>
      <c r="AE241" s="48"/>
      <c r="AF241" s="48"/>
      <c r="AG241" s="48"/>
      <c r="AH241" s="48"/>
      <c r="AI241" s="48"/>
      <c r="AJ241" s="48"/>
      <c r="AK241" s="48"/>
      <c r="AL241" s="48"/>
      <c r="AM241" s="48"/>
      <c r="AN241" s="48"/>
      <c r="AO241" s="51"/>
      <c r="AP241" s="294" t="str">
        <f>IFERROR(IF(SUM(F241:K241)&lt;&gt;0,SUM(F241:K241),""),"")</f>
        <v/>
      </c>
      <c r="AQ241" s="295" t="str">
        <f>IFERROR(IF(SUM(L241:Q241)&lt;&gt;0,SUM(L241:Q241),""),"")</f>
        <v/>
      </c>
      <c r="AR241" s="294" t="str">
        <f>IFERROR(IF(SUM(R241:W241)&lt;&gt;0,SUM(R241:W241),""),"")</f>
        <v/>
      </c>
      <c r="AS241" s="295" t="str">
        <f>IFERROR(IF(SUM(X241:AC241)&lt;&gt;0,SUM(X241:AC241),""),"")</f>
        <v/>
      </c>
      <c r="AT241" s="294" t="str">
        <f>IFERROR(IF(SUM(AD241:AI241)&lt;&gt;0,SUM(AD241:AI241),""),"")</f>
        <v/>
      </c>
      <c r="AU241" s="295" t="str">
        <f>IFERROR(IF(SUM(AJ241:AO241)&lt;&gt;0,SUM(AJ241:AO241),""),"")</f>
        <v/>
      </c>
      <c r="AV241" s="47"/>
      <c r="AW241" s="51"/>
      <c r="AX241" s="47"/>
      <c r="AY241" s="51"/>
      <c r="AZ241" s="47"/>
      <c r="BA241" s="51"/>
      <c r="BB241" s="47"/>
      <c r="BC241" s="51"/>
      <c r="BD241" s="47"/>
      <c r="BE241" s="263"/>
      <c r="BF241" s="271" t="str">
        <f>IFERROR(IF(AVERAGE(AP241:AQ241)&lt;&gt;0,AVERAGE(AP241:AQ241),""),"")</f>
        <v/>
      </c>
      <c r="BG241" s="271" t="str">
        <f>IFERROR(IF(AVERAGE(AR241:AS241)&lt;&gt;0,AVERAGE(AR241:AS241),""),"")</f>
        <v/>
      </c>
      <c r="BH241" s="271" t="str">
        <f>IFERROR(IF(AVERAGE(AT241:AU241)&lt;&gt;0,AVERAGE(AT241:AU241),""),"")</f>
        <v/>
      </c>
      <c r="BI241" s="271" t="str">
        <f>IFERROR(IF(AVERAGE(AV241:AW241)&lt;&gt;0,AVERAGE(AV241:AW241),""),"")</f>
        <v/>
      </c>
      <c r="BJ241" s="271" t="str">
        <f>IFERROR(IF(AVERAGE(AX241:AY241)&lt;&gt;0,AVERAGE(AX241:AY241),""),"")</f>
        <v/>
      </c>
      <c r="BK241" s="271" t="str">
        <f>IFERROR(IF(AVERAGE(AZ241:BA241)&lt;&gt;0,AVERAGE(AZ241:BA241),""),"")</f>
        <v/>
      </c>
      <c r="BL241" s="271" t="str">
        <f>IFERROR(IF(AVERAGE(BB241:BC241)&lt;&gt;0,AVERAGE(BB241:BC241),""),"")</f>
        <v/>
      </c>
      <c r="BM241" s="271" t="str">
        <f>IFERROR(IF(AVERAGE(BD241:BE241)&lt;&gt;0,AVERAGE(BD241:BE241),""),"")</f>
        <v/>
      </c>
    </row>
    <row r="242" spans="1:65" s="102" customFormat="1" ht="14.25" customHeight="1" outlineLevel="2" x14ac:dyDescent="0.2">
      <c r="A242" s="320" t="s">
        <v>226</v>
      </c>
      <c r="B242" s="347"/>
      <c r="C242" s="350"/>
      <c r="D242" s="344"/>
      <c r="E242" s="279" t="s">
        <v>28</v>
      </c>
      <c r="F242" s="52"/>
      <c r="G242" s="53"/>
      <c r="H242" s="53"/>
      <c r="I242" s="53"/>
      <c r="J242" s="53"/>
      <c r="K242" s="53"/>
      <c r="L242" s="53"/>
      <c r="M242" s="53"/>
      <c r="N242" s="53"/>
      <c r="O242" s="53"/>
      <c r="P242" s="53"/>
      <c r="Q242" s="54"/>
      <c r="R242" s="52"/>
      <c r="S242" s="53"/>
      <c r="T242" s="53"/>
      <c r="U242" s="53"/>
      <c r="V242" s="53"/>
      <c r="W242" s="53"/>
      <c r="X242" s="53"/>
      <c r="Y242" s="53"/>
      <c r="Z242" s="53"/>
      <c r="AA242" s="53"/>
      <c r="AB242" s="53"/>
      <c r="AC242" s="54"/>
      <c r="AD242" s="52"/>
      <c r="AE242" s="53"/>
      <c r="AF242" s="53"/>
      <c r="AG242" s="53"/>
      <c r="AH242" s="53"/>
      <c r="AI242" s="53"/>
      <c r="AJ242" s="53"/>
      <c r="AK242" s="53"/>
      <c r="AL242" s="53"/>
      <c r="AM242" s="53"/>
      <c r="AN242" s="53"/>
      <c r="AO242" s="54"/>
      <c r="AP242" s="225" t="str">
        <f>IFERROR(IF(AVERAGE(F242:K242)&lt;&gt;0,AVERAGE(F242:K242),""),"")</f>
        <v/>
      </c>
      <c r="AQ242" s="226" t="str">
        <f>IFERROR(IF(AVERAGE(L242:Q242)&lt;&gt;0,AVERAGE(L242:Q242),""),"")</f>
        <v/>
      </c>
      <c r="AR242" s="225" t="str">
        <f>IFERROR(IF(AVERAGE(R242:W242)&lt;&gt;0,AVERAGE(R242:W242),""),"")</f>
        <v/>
      </c>
      <c r="AS242" s="226" t="str">
        <f>IFERROR(IF(AVERAGE(X242:AC242)&lt;&gt;0,AVERAGE(X242:AC242),""),"")</f>
        <v/>
      </c>
      <c r="AT242" s="225" t="str">
        <f>IFERROR(IF(AVERAGE(AD242:AI242)&lt;&gt;0,AVERAGE(AD242:AI242),""),"")</f>
        <v/>
      </c>
      <c r="AU242" s="226" t="str">
        <f>IFERROR(IF(AVERAGE(AJ242:AO242)&lt;&gt;0,AVERAGE(AJ242:AO242),""),"")</f>
        <v/>
      </c>
      <c r="AV242" s="70"/>
      <c r="AW242" s="53"/>
      <c r="AX242" s="70"/>
      <c r="AY242" s="53"/>
      <c r="AZ242" s="70"/>
      <c r="BA242" s="53"/>
      <c r="BB242" s="70"/>
      <c r="BC242" s="53"/>
      <c r="BD242" s="70"/>
      <c r="BE242" s="264"/>
      <c r="BF242" s="272" t="str">
        <f>IFERROR(IF(AVERAGE(AP242:AQ242)&lt;&gt;0,AVERAGE(AP242:AQ242),""),"")</f>
        <v/>
      </c>
      <c r="BG242" s="272" t="str">
        <f>IFERROR(IF(AVERAGE(AR242:AS242)&lt;&gt;0,AVERAGE(AR242:AS242),""),"")</f>
        <v/>
      </c>
      <c r="BH242" s="272" t="str">
        <f>IFERROR(IF(AVERAGE(AT242:AU242)&lt;&gt;0,AVERAGE(AT242:AU242),""),"")</f>
        <v/>
      </c>
      <c r="BI242" s="272" t="str">
        <f>IFERROR(IF(AVERAGE(AV242:AW242)&lt;&gt;0,AVERAGE(AV242:AW242),""),"")</f>
        <v/>
      </c>
      <c r="BJ242" s="272" t="str">
        <f>IFERROR(IF(AVERAGE(AX242:AY242)&lt;&gt;0,AVERAGE(AX242:AY242),""),"")</f>
        <v/>
      </c>
      <c r="BK242" s="272" t="str">
        <f>IFERROR(IF(AVERAGE(AZ242:BA242)&lt;&gt;0,AVERAGE(AZ242:BA242),""),"")</f>
        <v/>
      </c>
      <c r="BL242" s="272" t="str">
        <f>IFERROR(IF(AVERAGE(BB242:BC242)&lt;&gt;0,AVERAGE(BB242:BC242),""),"")</f>
        <v/>
      </c>
      <c r="BM242" s="272" t="str">
        <f>IFERROR(IF(AVERAGE(BD242:BE242)&lt;&gt;0,AVERAGE(BD242:BE242),""),"")</f>
        <v/>
      </c>
    </row>
    <row r="243" spans="1:65" s="102" customFormat="1" ht="15" customHeight="1" outlineLevel="2" thickBot="1" x14ac:dyDescent="0.25">
      <c r="A243" s="320" t="s">
        <v>226</v>
      </c>
      <c r="B243" s="347"/>
      <c r="C243" s="350"/>
      <c r="D243" s="344"/>
      <c r="E243" s="278" t="s">
        <v>30</v>
      </c>
      <c r="F243" s="55"/>
      <c r="G243" s="56"/>
      <c r="H243" s="56"/>
      <c r="I243" s="56"/>
      <c r="J243" s="56"/>
      <c r="K243" s="56"/>
      <c r="L243" s="56"/>
      <c r="M243" s="56"/>
      <c r="N243" s="56"/>
      <c r="O243" s="56"/>
      <c r="P243" s="56"/>
      <c r="Q243" s="57"/>
      <c r="R243" s="55"/>
      <c r="S243" s="56"/>
      <c r="T243" s="56"/>
      <c r="U243" s="56"/>
      <c r="V243" s="56"/>
      <c r="W243" s="56"/>
      <c r="X243" s="56"/>
      <c r="Y243" s="56"/>
      <c r="Z243" s="56"/>
      <c r="AA243" s="56"/>
      <c r="AB243" s="56"/>
      <c r="AC243" s="57"/>
      <c r="AD243" s="55"/>
      <c r="AE243" s="56"/>
      <c r="AF243" s="56"/>
      <c r="AG243" s="56"/>
      <c r="AH243" s="56"/>
      <c r="AI243" s="56"/>
      <c r="AJ243" s="56"/>
      <c r="AK243" s="56"/>
      <c r="AL243" s="56"/>
      <c r="AM243" s="56"/>
      <c r="AN243" s="56"/>
      <c r="AO243" s="57"/>
      <c r="AP243" s="227" t="str">
        <f>IFERROR(IF(AVERAGE(F243:K243)&lt;&gt;0,AVERAGE(F243:K243),""),"")</f>
        <v/>
      </c>
      <c r="AQ243" s="228" t="str">
        <f>IFERROR(IF(AVERAGE(L243:Q243)&lt;&gt;0,AVERAGE(L243:Q243),""),"")</f>
        <v/>
      </c>
      <c r="AR243" s="227" t="str">
        <f>IFERROR(IF(AVERAGE(R243:W243)&lt;&gt;0,AVERAGE(R243:W243),""),"")</f>
        <v/>
      </c>
      <c r="AS243" s="228" t="str">
        <f>IFERROR(IF(AVERAGE(X243:AC243)&lt;&gt;0,AVERAGE(X243:AC243),""),"")</f>
        <v/>
      </c>
      <c r="AT243" s="227" t="str">
        <f>IFERROR(IF(AVERAGE(AD243:AI243)&lt;&gt;0,AVERAGE(AD243:AI243),""),"")</f>
        <v/>
      </c>
      <c r="AU243" s="228" t="str">
        <f>IFERROR(IF(AVERAGE(AJ243:AO243)&lt;&gt;0,AVERAGE(AJ243:AO243),""),"")</f>
        <v/>
      </c>
      <c r="AV243" s="71"/>
      <c r="AW243" s="56"/>
      <c r="AX243" s="71"/>
      <c r="AY243" s="56"/>
      <c r="AZ243" s="71"/>
      <c r="BA243" s="56"/>
      <c r="BB243" s="71"/>
      <c r="BC243" s="56"/>
      <c r="BD243" s="71"/>
      <c r="BE243" s="265"/>
      <c r="BF243" s="273" t="str">
        <f>IFERROR(IF(AVERAGE(AP243:AQ243)&lt;&gt;0,AVERAGE(AP243:AQ243),""),"")</f>
        <v/>
      </c>
      <c r="BG243" s="273" t="str">
        <f>IFERROR(IF(AVERAGE(AR243:AS243)&lt;&gt;0,AVERAGE(AR243:AS243),""),"")</f>
        <v/>
      </c>
      <c r="BH243" s="273" t="str">
        <f>IFERROR(IF(AVERAGE(AT243:AU243)&lt;&gt;0,AVERAGE(AT243:AU243),""),"")</f>
        <v/>
      </c>
      <c r="BI243" s="273" t="str">
        <f>IFERROR(IF(AVERAGE(AV243:AW243)&lt;&gt;0,AVERAGE(AV243:AW243),""),"")</f>
        <v/>
      </c>
      <c r="BJ243" s="273" t="str">
        <f>IFERROR(IF(AVERAGE(AX243:AY243)&lt;&gt;0,AVERAGE(AX243:AY243),""),"")</f>
        <v/>
      </c>
      <c r="BK243" s="273" t="str">
        <f>IFERROR(IF(AVERAGE(AZ243:BA243)&lt;&gt;0,AVERAGE(AZ243:BA243),""),"")</f>
        <v/>
      </c>
      <c r="BL243" s="273" t="str">
        <f>IFERROR(IF(AVERAGE(BB243:BC243)&lt;&gt;0,AVERAGE(BB243:BC243),""),"")</f>
        <v/>
      </c>
      <c r="BM243" s="273" t="str">
        <f>IFERROR(IF(AVERAGE(BD243:BE243)&lt;&gt;0,AVERAGE(BD243:BE243),""),"")</f>
        <v/>
      </c>
    </row>
    <row r="244" spans="1:65" s="102" customFormat="1" ht="14.25" customHeight="1" outlineLevel="2" x14ac:dyDescent="0.2">
      <c r="A244" s="320" t="s">
        <v>226</v>
      </c>
      <c r="B244" s="347"/>
      <c r="C244" s="350"/>
      <c r="D244" s="344"/>
      <c r="E244" s="279" t="s">
        <v>25</v>
      </c>
      <c r="F244" s="58"/>
      <c r="G244" s="50"/>
      <c r="H244" s="50"/>
      <c r="I244" s="50"/>
      <c r="J244" s="50"/>
      <c r="K244" s="50"/>
      <c r="L244" s="50"/>
      <c r="M244" s="50"/>
      <c r="N244" s="50"/>
      <c r="O244" s="50"/>
      <c r="P244" s="50"/>
      <c r="Q244" s="59"/>
      <c r="R244" s="58"/>
      <c r="S244" s="50"/>
      <c r="T244" s="50"/>
      <c r="U244" s="50"/>
      <c r="V244" s="50"/>
      <c r="W244" s="50"/>
      <c r="X244" s="50"/>
      <c r="Y244" s="50"/>
      <c r="Z244" s="50"/>
      <c r="AA244" s="50"/>
      <c r="AB244" s="50"/>
      <c r="AC244" s="59"/>
      <c r="AD244" s="58"/>
      <c r="AE244" s="50"/>
      <c r="AF244" s="50"/>
      <c r="AG244" s="50"/>
      <c r="AH244" s="50"/>
      <c r="AI244" s="50"/>
      <c r="AJ244" s="50"/>
      <c r="AK244" s="50"/>
      <c r="AL244" s="50"/>
      <c r="AM244" s="50"/>
      <c r="AN244" s="50"/>
      <c r="AO244" s="59"/>
      <c r="AP244" s="229" t="str">
        <f>IFERROR(IF(SUM(F244:K244)&lt;&gt;0,SUM(F244:K244),""),"")</f>
        <v/>
      </c>
      <c r="AQ244" s="230" t="str">
        <f>IFERROR(IF(SUM(L244:Q244)&lt;&gt;0,SUM(L244:Q244),""),"")</f>
        <v/>
      </c>
      <c r="AR244" s="229" t="str">
        <f>IFERROR(IF(SUM(R244:W244)&lt;&gt;0,SUM(R244:W244),""),"")</f>
        <v/>
      </c>
      <c r="AS244" s="230" t="str">
        <f>IFERROR(IF(SUM(X244:AC244)&lt;&gt;0,SUM(X244:AC244),""),"")</f>
        <v/>
      </c>
      <c r="AT244" s="229" t="str">
        <f>IFERROR(IF(SUM(AD244:AI244)&lt;&gt;0,SUM(AD244:AI244),""),"")</f>
        <v/>
      </c>
      <c r="AU244" s="230" t="str">
        <f>IFERROR(IF(SUM(AJ244:AO244)&lt;&gt;0,SUM(AJ244:AO244),""),"")</f>
        <v/>
      </c>
      <c r="AV244" s="72"/>
      <c r="AW244" s="73"/>
      <c r="AX244" s="72"/>
      <c r="AY244" s="73"/>
      <c r="AZ244" s="72"/>
      <c r="BA244" s="73"/>
      <c r="BB244" s="72"/>
      <c r="BC244" s="73"/>
      <c r="BD244" s="72"/>
      <c r="BE244" s="266"/>
      <c r="BF244" s="286" t="e">
        <f t="shared" ref="BF244:BF247" si="1016">IF(SUM(AP244,AQ244)&lt;&gt;0,SUM(AP244,AQ244),#N/A)</f>
        <v>#N/A</v>
      </c>
      <c r="BG244" s="286" t="e">
        <f t="shared" ref="BG244:BG247" si="1017">IF(SUM(AR244,AS244)&lt;&gt;0,SUM(AR244,AS244),#N/A)</f>
        <v>#N/A</v>
      </c>
      <c r="BH244" s="286" t="e">
        <f t="shared" ref="BH244:BH247" si="1018">IF(SUM(AT244,AU244)&lt;&gt;0,SUM(AT244,AU244),#N/A)</f>
        <v>#N/A</v>
      </c>
      <c r="BI244" s="286" t="e">
        <f t="shared" ref="BI244:BI247" si="1019">IF(SUM(AV244,AW244)&lt;&gt;0,SUM(AV244,AW244),#N/A)</f>
        <v>#N/A</v>
      </c>
      <c r="BJ244" s="286" t="e">
        <f t="shared" ref="BJ244:BJ247" si="1020">IF(SUM(AX244,AY244)&lt;&gt;0,SUM(AX244,AY244),#N/A)</f>
        <v>#N/A</v>
      </c>
      <c r="BK244" s="286" t="e">
        <f t="shared" ref="BK244:BK247" si="1021">IF(SUM(AZ244,BA244)&lt;&gt;0,SUM(AZ244,BA244),#N/A)</f>
        <v>#N/A</v>
      </c>
      <c r="BL244" s="286" t="e">
        <f t="shared" ref="BL244:BL247" si="1022">IF(SUM(BB244,BC244)&lt;&gt;0,SUM(BB244,BC244),#N/A)</f>
        <v>#N/A</v>
      </c>
      <c r="BM244" s="286" t="e">
        <f t="shared" ref="BM244:BM247" si="1023">IF(SUM(BD244,BE244)&lt;&gt;0,SUM(BD244,BE244),#N/A)</f>
        <v>#N/A</v>
      </c>
    </row>
    <row r="245" spans="1:65" s="102" customFormat="1" ht="14.25" customHeight="1" outlineLevel="2" x14ac:dyDescent="0.2">
      <c r="A245" s="320" t="s">
        <v>226</v>
      </c>
      <c r="B245" s="347"/>
      <c r="C245" s="350"/>
      <c r="D245" s="344"/>
      <c r="E245" s="280" t="s">
        <v>26</v>
      </c>
      <c r="F245" s="60"/>
      <c r="G245" s="61"/>
      <c r="H245" s="61"/>
      <c r="I245" s="61"/>
      <c r="J245" s="61"/>
      <c r="K245" s="61"/>
      <c r="L245" s="61"/>
      <c r="M245" s="61"/>
      <c r="N245" s="61"/>
      <c r="O245" s="61"/>
      <c r="P245" s="61"/>
      <c r="Q245" s="62"/>
      <c r="R245" s="60"/>
      <c r="S245" s="61"/>
      <c r="T245" s="61"/>
      <c r="U245" s="61"/>
      <c r="V245" s="61"/>
      <c r="W245" s="61"/>
      <c r="X245" s="61"/>
      <c r="Y245" s="61"/>
      <c r="Z245" s="61"/>
      <c r="AA245" s="61"/>
      <c r="AB245" s="61"/>
      <c r="AC245" s="62"/>
      <c r="AD245" s="60"/>
      <c r="AE245" s="61"/>
      <c r="AF245" s="61"/>
      <c r="AG245" s="61"/>
      <c r="AH245" s="61"/>
      <c r="AI245" s="61"/>
      <c r="AJ245" s="61"/>
      <c r="AK245" s="61"/>
      <c r="AL245" s="61"/>
      <c r="AM245" s="61"/>
      <c r="AN245" s="61"/>
      <c r="AO245" s="62"/>
      <c r="AP245" s="231" t="str">
        <f>IFERROR(IF(SUM(F245:K245)&lt;&gt;0,SUM(F245:K245),""),"")</f>
        <v/>
      </c>
      <c r="AQ245" s="232" t="str">
        <f>IFERROR(IF(SUM(L245:Q245)&lt;&gt;0,SUM(L245:Q245),""),"")</f>
        <v/>
      </c>
      <c r="AR245" s="231" t="str">
        <f>IFERROR(IF(SUM(R245:W245)&lt;&gt;0,SUM(R245:W245),""),"")</f>
        <v/>
      </c>
      <c r="AS245" s="232" t="str">
        <f>IFERROR(IF(SUM(X245:AC245)&lt;&gt;0,SUM(X245:AC245),""),"")</f>
        <v/>
      </c>
      <c r="AT245" s="231" t="str">
        <f>IFERROR(IF(SUM(AD245:AI245)&lt;&gt;0,SUM(AD245:AI245),""),"")</f>
        <v/>
      </c>
      <c r="AU245" s="232" t="str">
        <f>IFERROR(IF(SUM(AJ245:AO245)&lt;&gt;0,SUM(AJ245:AO245),""),"")</f>
        <v/>
      </c>
      <c r="AV245" s="74"/>
      <c r="AW245" s="61"/>
      <c r="AX245" s="74"/>
      <c r="AY245" s="61"/>
      <c r="AZ245" s="74"/>
      <c r="BA245" s="61"/>
      <c r="BB245" s="74"/>
      <c r="BC245" s="61"/>
      <c r="BD245" s="74"/>
      <c r="BE245" s="267"/>
      <c r="BF245" s="287" t="e">
        <f t="shared" si="1016"/>
        <v>#N/A</v>
      </c>
      <c r="BG245" s="287" t="e">
        <f t="shared" si="1017"/>
        <v>#N/A</v>
      </c>
      <c r="BH245" s="287" t="e">
        <f t="shared" si="1018"/>
        <v>#N/A</v>
      </c>
      <c r="BI245" s="287" t="e">
        <f t="shared" si="1019"/>
        <v>#N/A</v>
      </c>
      <c r="BJ245" s="287" t="e">
        <f t="shared" si="1020"/>
        <v>#N/A</v>
      </c>
      <c r="BK245" s="287" t="e">
        <f t="shared" si="1021"/>
        <v>#N/A</v>
      </c>
      <c r="BL245" s="287" t="e">
        <f t="shared" si="1022"/>
        <v>#N/A</v>
      </c>
      <c r="BM245" s="287" t="e">
        <f t="shared" si="1023"/>
        <v>#N/A</v>
      </c>
    </row>
    <row r="246" spans="1:65" s="102" customFormat="1" ht="14.25" customHeight="1" outlineLevel="2" x14ac:dyDescent="0.2">
      <c r="A246" s="320" t="s">
        <v>226</v>
      </c>
      <c r="B246" s="347"/>
      <c r="C246" s="350"/>
      <c r="D246" s="344"/>
      <c r="E246" s="280" t="s">
        <v>27</v>
      </c>
      <c r="F246" s="60"/>
      <c r="G246" s="61"/>
      <c r="H246" s="61"/>
      <c r="I246" s="61"/>
      <c r="J246" s="61"/>
      <c r="K246" s="61"/>
      <c r="L246" s="61"/>
      <c r="M246" s="61"/>
      <c r="N246" s="61"/>
      <c r="O246" s="61"/>
      <c r="P246" s="61"/>
      <c r="Q246" s="62"/>
      <c r="R246" s="60"/>
      <c r="S246" s="61"/>
      <c r="T246" s="61"/>
      <c r="U246" s="61"/>
      <c r="V246" s="61"/>
      <c r="W246" s="61"/>
      <c r="X246" s="61"/>
      <c r="Y246" s="61"/>
      <c r="Z246" s="61"/>
      <c r="AA246" s="61"/>
      <c r="AB246" s="61"/>
      <c r="AC246" s="62"/>
      <c r="AD246" s="60"/>
      <c r="AE246" s="61"/>
      <c r="AF246" s="61"/>
      <c r="AG246" s="61"/>
      <c r="AH246" s="61"/>
      <c r="AI246" s="61"/>
      <c r="AJ246" s="61"/>
      <c r="AK246" s="61"/>
      <c r="AL246" s="61"/>
      <c r="AM246" s="61"/>
      <c r="AN246" s="61"/>
      <c r="AO246" s="62"/>
      <c r="AP246" s="231" t="str">
        <f>IFERROR(IF(SUM(F246:K246)&lt;&gt;0,SUM(F246:K246),""),"")</f>
        <v/>
      </c>
      <c r="AQ246" s="232" t="str">
        <f>IFERROR(IF(SUM(L246:Q246)&lt;&gt;0,SUM(L246:Q246),""),"")</f>
        <v/>
      </c>
      <c r="AR246" s="231" t="str">
        <f>IFERROR(IF(SUM(R246:W246)&lt;&gt;0,SUM(R246:W246),""),"")</f>
        <v/>
      </c>
      <c r="AS246" s="232" t="str">
        <f>IFERROR(IF(SUM(X246:AC246)&lt;&gt;0,SUM(X246:AC246),""),"")</f>
        <v/>
      </c>
      <c r="AT246" s="231" t="str">
        <f>IFERROR(IF(SUM(AD246:AI246)&lt;&gt;0,SUM(AD246:AI246),""),"")</f>
        <v/>
      </c>
      <c r="AU246" s="232" t="str">
        <f>IFERROR(IF(SUM(AJ246:AO246)&lt;&gt;0,SUM(AJ246:AO246),""),"")</f>
        <v/>
      </c>
      <c r="AV246" s="74"/>
      <c r="AW246" s="61"/>
      <c r="AX246" s="74"/>
      <c r="AY246" s="61"/>
      <c r="AZ246" s="74"/>
      <c r="BA246" s="61"/>
      <c r="BB246" s="74"/>
      <c r="BC246" s="61"/>
      <c r="BD246" s="74"/>
      <c r="BE246" s="267"/>
      <c r="BF246" s="287" t="e">
        <f t="shared" si="1016"/>
        <v>#N/A</v>
      </c>
      <c r="BG246" s="287" t="e">
        <f t="shared" si="1017"/>
        <v>#N/A</v>
      </c>
      <c r="BH246" s="287" t="e">
        <f t="shared" si="1018"/>
        <v>#N/A</v>
      </c>
      <c r="BI246" s="287" t="e">
        <f t="shared" si="1019"/>
        <v>#N/A</v>
      </c>
      <c r="BJ246" s="287" t="e">
        <f t="shared" si="1020"/>
        <v>#N/A</v>
      </c>
      <c r="BK246" s="287" t="e">
        <f t="shared" si="1021"/>
        <v>#N/A</v>
      </c>
      <c r="BL246" s="287" t="e">
        <f t="shared" si="1022"/>
        <v>#N/A</v>
      </c>
      <c r="BM246" s="287" t="e">
        <f t="shared" si="1023"/>
        <v>#N/A</v>
      </c>
    </row>
    <row r="247" spans="1:65" s="102" customFormat="1" ht="15" customHeight="1" outlineLevel="2" thickBot="1" x14ac:dyDescent="0.25">
      <c r="A247" s="320" t="s">
        <v>226</v>
      </c>
      <c r="B247" s="347"/>
      <c r="C247" s="350"/>
      <c r="D247" s="344"/>
      <c r="E247" s="281" t="s">
        <v>88</v>
      </c>
      <c r="F247" s="63"/>
      <c r="G247" s="48"/>
      <c r="H247" s="48"/>
      <c r="I247" s="48"/>
      <c r="J247" s="48"/>
      <c r="K247" s="48"/>
      <c r="L247" s="48"/>
      <c r="M247" s="48"/>
      <c r="N247" s="48"/>
      <c r="O247" s="48"/>
      <c r="P247" s="48"/>
      <c r="Q247" s="51"/>
      <c r="R247" s="63"/>
      <c r="S247" s="48"/>
      <c r="T247" s="48"/>
      <c r="U247" s="48"/>
      <c r="V247" s="48"/>
      <c r="W247" s="48"/>
      <c r="X247" s="48"/>
      <c r="Y247" s="48"/>
      <c r="Z247" s="48"/>
      <c r="AA247" s="48"/>
      <c r="AB247" s="48"/>
      <c r="AC247" s="51"/>
      <c r="AD247" s="63"/>
      <c r="AE247" s="48"/>
      <c r="AF247" s="48"/>
      <c r="AG247" s="48"/>
      <c r="AH247" s="48"/>
      <c r="AI247" s="48"/>
      <c r="AJ247" s="48"/>
      <c r="AK247" s="48"/>
      <c r="AL247" s="48"/>
      <c r="AM247" s="48"/>
      <c r="AN247" s="48"/>
      <c r="AO247" s="51"/>
      <c r="AP247" s="233" t="str">
        <f>IFERROR(IF(SUM(F247:K247)&lt;&gt;0,SUM(F247:K247),""),"")</f>
        <v/>
      </c>
      <c r="AQ247" s="234" t="str">
        <f>IFERROR(IF(SUM(L247:Q247)&lt;&gt;0,SUM(L247:Q247),""),"")</f>
        <v/>
      </c>
      <c r="AR247" s="233" t="str">
        <f>IFERROR(IF(SUM(R247:W247)&lt;&gt;0,SUM(R247:W247),""),"")</f>
        <v/>
      </c>
      <c r="AS247" s="234" t="str">
        <f>IFERROR(IF(SUM(X247:AC247)&lt;&gt;0,SUM(X247:AC247),""),"")</f>
        <v/>
      </c>
      <c r="AT247" s="233" t="str">
        <f>IFERROR(IF(SUM(AD247:AI247)&lt;&gt;0,SUM(AD247:AI247),""),"")</f>
        <v/>
      </c>
      <c r="AU247" s="234" t="str">
        <f>IFERROR(IF(SUM(AJ247:AO247)&lt;&gt;0,SUM(AJ247:AO247),""),"")</f>
        <v/>
      </c>
      <c r="AV247" s="75"/>
      <c r="AW247" s="76"/>
      <c r="AX247" s="75"/>
      <c r="AY247" s="76"/>
      <c r="AZ247" s="75"/>
      <c r="BA247" s="76"/>
      <c r="BB247" s="75"/>
      <c r="BC247" s="76"/>
      <c r="BD247" s="75"/>
      <c r="BE247" s="268"/>
      <c r="BF247" s="271" t="e">
        <f t="shared" si="1016"/>
        <v>#N/A</v>
      </c>
      <c r="BG247" s="271" t="e">
        <f t="shared" si="1017"/>
        <v>#N/A</v>
      </c>
      <c r="BH247" s="271" t="e">
        <f t="shared" si="1018"/>
        <v>#N/A</v>
      </c>
      <c r="BI247" s="271" t="e">
        <f t="shared" si="1019"/>
        <v>#N/A</v>
      </c>
      <c r="BJ247" s="271" t="e">
        <f t="shared" si="1020"/>
        <v>#N/A</v>
      </c>
      <c r="BK247" s="271" t="e">
        <f t="shared" si="1021"/>
        <v>#N/A</v>
      </c>
      <c r="BL247" s="271" t="e">
        <f t="shared" si="1022"/>
        <v>#N/A</v>
      </c>
      <c r="BM247" s="271" t="e">
        <f t="shared" si="1023"/>
        <v>#N/A</v>
      </c>
    </row>
    <row r="248" spans="1:65" s="102" customFormat="1" ht="14.25" customHeight="1" outlineLevel="2" x14ac:dyDescent="0.2">
      <c r="A248" s="320" t="s">
        <v>226</v>
      </c>
      <c r="B248" s="347"/>
      <c r="C248" s="350"/>
      <c r="D248" s="344"/>
      <c r="E248" s="279" t="s">
        <v>32</v>
      </c>
      <c r="F248" s="64"/>
      <c r="G248" s="65"/>
      <c r="H248" s="65"/>
      <c r="I248" s="65"/>
      <c r="J248" s="65"/>
      <c r="K248" s="65"/>
      <c r="L248" s="65"/>
      <c r="M248" s="65"/>
      <c r="N248" s="65"/>
      <c r="O248" s="65"/>
      <c r="P248" s="65"/>
      <c r="Q248" s="66"/>
      <c r="R248" s="64"/>
      <c r="S248" s="65"/>
      <c r="T248" s="65"/>
      <c r="U248" s="65"/>
      <c r="V248" s="65"/>
      <c r="W248" s="65"/>
      <c r="X248" s="65"/>
      <c r="Y248" s="65"/>
      <c r="Z248" s="65"/>
      <c r="AA248" s="65"/>
      <c r="AB248" s="65"/>
      <c r="AC248" s="66"/>
      <c r="AD248" s="64"/>
      <c r="AE248" s="65"/>
      <c r="AF248" s="65"/>
      <c r="AG248" s="65"/>
      <c r="AH248" s="65"/>
      <c r="AI248" s="65"/>
      <c r="AJ248" s="65"/>
      <c r="AK248" s="65"/>
      <c r="AL248" s="65"/>
      <c r="AM248" s="65"/>
      <c r="AN248" s="65"/>
      <c r="AO248" s="66"/>
      <c r="AP248" s="32" t="str">
        <f>IFERROR(IF(AVERAGE(F248:K248)&lt;&gt;0,AVERAGE(F248:K248),""),"")</f>
        <v/>
      </c>
      <c r="AQ248" s="235" t="str">
        <f>IFERROR(IF(AVERAGE(L248:Q248)&lt;&gt;0,AVERAGE(L248:Q248),""),"")</f>
        <v/>
      </c>
      <c r="AR248" s="32" t="str">
        <f>IFERROR(IF(AVERAGE(R248:W248)&lt;&gt;0,AVERAGE(R248:W248),""),"")</f>
        <v/>
      </c>
      <c r="AS248" s="235" t="str">
        <f>IFERROR(IF(AVERAGE(X248:AC248)&lt;&gt;0,AVERAGE(X248:AC248),""),"")</f>
        <v/>
      </c>
      <c r="AT248" s="32" t="str">
        <f>IFERROR(IF(AVERAGE(AD248:AI248)&lt;&gt;0,AVERAGE(AD248:AI248),""),"")</f>
        <v/>
      </c>
      <c r="AU248" s="235" t="str">
        <f>IFERROR(IF(AVERAGE(AJ248:AO248)&lt;&gt;0,AVERAGE(AJ248:AO248),""),"")</f>
        <v/>
      </c>
      <c r="AV248" s="77"/>
      <c r="AW248" s="65"/>
      <c r="AX248" s="77"/>
      <c r="AY248" s="65"/>
      <c r="AZ248" s="77"/>
      <c r="BA248" s="65"/>
      <c r="BB248" s="77"/>
      <c r="BC248" s="65"/>
      <c r="BD248" s="77"/>
      <c r="BE248" s="269"/>
      <c r="BF248" s="272" t="str">
        <f>IFERROR(IF(AVERAGE(AP248:AQ248)&lt;&gt;0,AVERAGE(AP248:AQ248),""),"")</f>
        <v/>
      </c>
      <c r="BG248" s="272" t="str">
        <f>IFERROR(IF(AVERAGE(AR248:AS248)&lt;&gt;0,AVERAGE(AR248:AS248),""),"")</f>
        <v/>
      </c>
      <c r="BH248" s="272" t="str">
        <f>IFERROR(IF(AVERAGE(AT248:AU248)&lt;&gt;0,AVERAGE(AT248:AU248),""),"")</f>
        <v/>
      </c>
      <c r="BI248" s="272" t="str">
        <f>IFERROR(IF(AVERAGE(AV248:AW248)&lt;&gt;0,AVERAGE(AV248:AW248),""),"")</f>
        <v/>
      </c>
      <c r="BJ248" s="272" t="str">
        <f>IFERROR(IF(AVERAGE(AX248:AY248)&lt;&gt;0,AVERAGE(AX248:AY248),""),"")</f>
        <v/>
      </c>
      <c r="BK248" s="272" t="str">
        <f>IFERROR(IF(AVERAGE(AZ248:BA248)&lt;&gt;0,AVERAGE(AZ248:BA248),""),"")</f>
        <v/>
      </c>
      <c r="BL248" s="272" t="str">
        <f>IFERROR(IF(AVERAGE(BB248:BC248)&lt;&gt;0,AVERAGE(BB248:BC248),""),"")</f>
        <v/>
      </c>
      <c r="BM248" s="272" t="str">
        <f>IFERROR(IF(AVERAGE(BD248:BE248)&lt;&gt;0,AVERAGE(BD248:BE248),""),"")</f>
        <v/>
      </c>
    </row>
    <row r="249" spans="1:65" s="102" customFormat="1" ht="15" customHeight="1" outlineLevel="2" thickBot="1" x14ac:dyDescent="0.25">
      <c r="A249" s="320" t="s">
        <v>226</v>
      </c>
      <c r="B249" s="347"/>
      <c r="C249" s="350"/>
      <c r="D249" s="344"/>
      <c r="E249" s="281" t="s">
        <v>2</v>
      </c>
      <c r="F249" s="67"/>
      <c r="G249" s="68"/>
      <c r="H249" s="68"/>
      <c r="I249" s="68"/>
      <c r="J249" s="68"/>
      <c r="K249" s="68"/>
      <c r="L249" s="68"/>
      <c r="M249" s="68"/>
      <c r="N249" s="68"/>
      <c r="O249" s="68"/>
      <c r="P249" s="68"/>
      <c r="Q249" s="69"/>
      <c r="R249" s="67"/>
      <c r="S249" s="68"/>
      <c r="T249" s="68"/>
      <c r="U249" s="68"/>
      <c r="V249" s="68"/>
      <c r="W249" s="68"/>
      <c r="X249" s="68"/>
      <c r="Y249" s="68"/>
      <c r="Z249" s="68"/>
      <c r="AA249" s="68"/>
      <c r="AB249" s="68"/>
      <c r="AC249" s="69"/>
      <c r="AD249" s="67"/>
      <c r="AE249" s="68"/>
      <c r="AF249" s="68"/>
      <c r="AG249" s="68"/>
      <c r="AH249" s="68"/>
      <c r="AI249" s="68"/>
      <c r="AJ249" s="68"/>
      <c r="AK249" s="68"/>
      <c r="AL249" s="68"/>
      <c r="AM249" s="68"/>
      <c r="AN249" s="68"/>
      <c r="AO249" s="69"/>
      <c r="AP249" s="236" t="str">
        <f>IFERROR(IF(AVERAGE(F249:K249)&lt;&gt;0,AVERAGE(F249:K249),""),"")</f>
        <v/>
      </c>
      <c r="AQ249" s="237" t="str">
        <f>IFERROR(IF(AVERAGE(L249:Q249)&lt;&gt;0,AVERAGE(L249:Q249),""),"")</f>
        <v/>
      </c>
      <c r="AR249" s="236" t="str">
        <f>IFERROR(IF(AVERAGE(R249:W249)&lt;&gt;0,AVERAGE(R249:W249),""),"")</f>
        <v/>
      </c>
      <c r="AS249" s="237" t="str">
        <f>IFERROR(IF(AVERAGE(X249:AC249)&lt;&gt;0,AVERAGE(X249:AC249),""),"")</f>
        <v/>
      </c>
      <c r="AT249" s="236" t="str">
        <f>IFERROR(IF(AVERAGE(AD249:AI249)&lt;&gt;0,AVERAGE(AD249:AI249),""),"")</f>
        <v/>
      </c>
      <c r="AU249" s="237" t="str">
        <f>IFERROR(IF(AVERAGE(AJ249:AO249)&lt;&gt;0,AVERAGE(AJ249:AO249),""),"")</f>
        <v/>
      </c>
      <c r="AV249" s="78"/>
      <c r="AW249" s="68"/>
      <c r="AX249" s="78"/>
      <c r="AY249" s="68"/>
      <c r="AZ249" s="78"/>
      <c r="BA249" s="68"/>
      <c r="BB249" s="78"/>
      <c r="BC249" s="68"/>
      <c r="BD249" s="78"/>
      <c r="BE249" s="270"/>
      <c r="BF249" s="288" t="str">
        <f>IFERROR(IF(AVERAGE(AP249:AQ249)&lt;&gt;0,AVERAGE(AP249:AQ249),""),"")</f>
        <v/>
      </c>
      <c r="BG249" s="288" t="str">
        <f>IFERROR(IF(AVERAGE(AR249:AS249)&lt;&gt;0,AVERAGE(AR249:AS249),""),"")</f>
        <v/>
      </c>
      <c r="BH249" s="288" t="str">
        <f>IFERROR(IF(AVERAGE(AT249:AU249)&lt;&gt;0,AVERAGE(AT249:AU249),""),"")</f>
        <v/>
      </c>
      <c r="BI249" s="288" t="str">
        <f>IFERROR(IF(AVERAGE(AV249:AW249)&lt;&gt;0,AVERAGE(AV249:AW249),""),"")</f>
        <v/>
      </c>
      <c r="BJ249" s="288" t="str">
        <f>IFERROR(IF(AVERAGE(AX249:AY249)&lt;&gt;0,AVERAGE(AX249:AY249),""),"")</f>
        <v/>
      </c>
      <c r="BK249" s="288" t="str">
        <f>IFERROR(IF(AVERAGE(AZ249:BA249)&lt;&gt;0,AVERAGE(AZ249:BA249),""),"")</f>
        <v/>
      </c>
      <c r="BL249" s="288" t="str">
        <f>IFERROR(IF(AVERAGE(BB249:BC249)&lt;&gt;0,AVERAGE(BB249:BC249),""),"")</f>
        <v/>
      </c>
      <c r="BM249" s="288" t="str">
        <f>IFERROR(IF(AVERAGE(BD249:BE249)&lt;&gt;0,AVERAGE(BD249:BE249),""),"")</f>
        <v/>
      </c>
    </row>
    <row r="250" spans="1:65" s="102" customFormat="1" ht="14.25" customHeight="1" outlineLevel="1" x14ac:dyDescent="0.2">
      <c r="A250" s="320" t="s">
        <v>226</v>
      </c>
      <c r="B250" s="347"/>
      <c r="C250" s="350"/>
      <c r="D250" s="344"/>
      <c r="E250" s="282" t="s">
        <v>228</v>
      </c>
      <c r="F250" s="283" t="str">
        <f ca="1">IF(IFERROR((F$11*(F242-SUM(F244:F247)/F$11)*F249*3600)/(F248),"")&gt;0,IFERROR((F$11*(F242-SUM(F244:F247)/F$11)*F249*3600)/(F248),""),"")</f>
        <v/>
      </c>
      <c r="G250" s="284" t="str">
        <f t="shared" ref="G250:AO250" ca="1" si="1024">IF(IFERROR((G$11*(G242-SUM(G244:G247)/G$11)*G249*3600)/(G248),"")&gt;0,IFERROR((G$11*(G242-SUM(G244:G247)/G$11)*G249*3600)/(G248),""),"")</f>
        <v/>
      </c>
      <c r="H250" s="284" t="str">
        <f t="shared" ca="1" si="1024"/>
        <v/>
      </c>
      <c r="I250" s="284" t="str">
        <f t="shared" ca="1" si="1024"/>
        <v/>
      </c>
      <c r="J250" s="284" t="str">
        <f t="shared" ca="1" si="1024"/>
        <v/>
      </c>
      <c r="K250" s="284" t="str">
        <f t="shared" ca="1" si="1024"/>
        <v/>
      </c>
      <c r="L250" s="284" t="str">
        <f t="shared" ca="1" si="1024"/>
        <v/>
      </c>
      <c r="M250" s="284" t="str">
        <f t="shared" ca="1" si="1024"/>
        <v/>
      </c>
      <c r="N250" s="284" t="str">
        <f t="shared" ca="1" si="1024"/>
        <v/>
      </c>
      <c r="O250" s="284" t="str">
        <f t="shared" ca="1" si="1024"/>
        <v/>
      </c>
      <c r="P250" s="284" t="str">
        <f t="shared" ca="1" si="1024"/>
        <v/>
      </c>
      <c r="Q250" s="284" t="str">
        <f t="shared" ca="1" si="1024"/>
        <v/>
      </c>
      <c r="R250" s="283" t="str">
        <f t="shared" ca="1" si="1024"/>
        <v/>
      </c>
      <c r="S250" s="284" t="str">
        <f t="shared" ca="1" si="1024"/>
        <v/>
      </c>
      <c r="T250" s="284" t="str">
        <f t="shared" ca="1" si="1024"/>
        <v/>
      </c>
      <c r="U250" s="284" t="str">
        <f t="shared" ca="1" si="1024"/>
        <v/>
      </c>
      <c r="V250" s="284" t="str">
        <f t="shared" ca="1" si="1024"/>
        <v/>
      </c>
      <c r="W250" s="284" t="str">
        <f t="shared" ca="1" si="1024"/>
        <v/>
      </c>
      <c r="X250" s="284" t="str">
        <f t="shared" ca="1" si="1024"/>
        <v/>
      </c>
      <c r="Y250" s="284" t="str">
        <f t="shared" ca="1" si="1024"/>
        <v/>
      </c>
      <c r="Z250" s="284" t="str">
        <f t="shared" ca="1" si="1024"/>
        <v/>
      </c>
      <c r="AA250" s="284" t="str">
        <f t="shared" ca="1" si="1024"/>
        <v/>
      </c>
      <c r="AB250" s="284" t="str">
        <f t="shared" ca="1" si="1024"/>
        <v/>
      </c>
      <c r="AC250" s="284" t="str">
        <f t="shared" ca="1" si="1024"/>
        <v/>
      </c>
      <c r="AD250" s="283" t="str">
        <f t="shared" ca="1" si="1024"/>
        <v/>
      </c>
      <c r="AE250" s="284" t="str">
        <f t="shared" ca="1" si="1024"/>
        <v/>
      </c>
      <c r="AF250" s="284" t="str">
        <f t="shared" ca="1" si="1024"/>
        <v/>
      </c>
      <c r="AG250" s="284" t="str">
        <f t="shared" ca="1" si="1024"/>
        <v/>
      </c>
      <c r="AH250" s="284" t="str">
        <f t="shared" ca="1" si="1024"/>
        <v/>
      </c>
      <c r="AI250" s="284" t="str">
        <f t="shared" ca="1" si="1024"/>
        <v/>
      </c>
      <c r="AJ250" s="284" t="str">
        <f t="shared" ca="1" si="1024"/>
        <v/>
      </c>
      <c r="AK250" s="284" t="str">
        <f t="shared" ca="1" si="1024"/>
        <v/>
      </c>
      <c r="AL250" s="284" t="str">
        <f t="shared" ca="1" si="1024"/>
        <v/>
      </c>
      <c r="AM250" s="284" t="str">
        <f t="shared" ca="1" si="1024"/>
        <v/>
      </c>
      <c r="AN250" s="284" t="str">
        <f t="shared" ca="1" si="1024"/>
        <v/>
      </c>
      <c r="AO250" s="284" t="str">
        <f t="shared" ca="1" si="1024"/>
        <v/>
      </c>
      <c r="AP250" s="283" t="e">
        <f t="shared" ref="AP250:AP251" ca="1" si="1025">IF(SUM(F250:K250)&lt;&gt;0,SUM(F250:K250),#N/A)</f>
        <v>#N/A</v>
      </c>
      <c r="AQ250" s="284" t="e">
        <f t="shared" ref="AQ250:AQ251" ca="1" si="1026">IF(SUM(L250:Q250)&lt;&gt;0,SUM(L250:Q250),#N/A)</f>
        <v>#N/A</v>
      </c>
      <c r="AR250" s="283" t="e">
        <f t="shared" ref="AR250:AR251" ca="1" si="1027">IF(SUM(R250:W250)&lt;&gt;0,SUM(R250:W250),#N/A)</f>
        <v>#N/A</v>
      </c>
      <c r="AS250" s="284" t="e">
        <f t="shared" ref="AS250:AS251" ca="1" si="1028">IF(SUM(X250:AC250)&lt;&gt;0,SUM(X250:AC250),#N/A)</f>
        <v>#N/A</v>
      </c>
      <c r="AT250" s="283" t="e">
        <f t="shared" ref="AT250:AT251" ca="1" si="1029">IF(SUM(AD250:AI250)&lt;&gt;0,SUM(AD250:AI250),#N/A)</f>
        <v>#N/A</v>
      </c>
      <c r="AU250" s="284" t="e">
        <f t="shared" ref="AU250:AU251" ca="1" si="1030">IF(SUM(AJ250:AO250)&lt;&gt;0,SUM(AJ250:AO250),#N/A)</f>
        <v>#N/A</v>
      </c>
      <c r="AV250" s="283" t="str">
        <f ca="1">IF(IFERROR((AV$11*(AV242-SUM(AV244:AV247)/AV$11)*AV249*3600)/(AV248),"")&lt;&gt;0,IFERROR((AV$11*(AV242-SUM(AV244:AV247)/AV$11)*AV249*3600)/(AV248),""),"")</f>
        <v/>
      </c>
      <c r="AW250" s="284" t="str">
        <f t="shared" ref="AW250:BE250" ca="1" si="1031">IF(IFERROR((AW$11*(AW242-SUM(AW244:AW247)/AW$11)*AW249*3600)/(AW248),"")&lt;&gt;0,IFERROR((AW$11*(AW242-SUM(AW244:AW247)/AW$11)*AW249*3600)/(AW248),""),"")</f>
        <v/>
      </c>
      <c r="AX250" s="283" t="str">
        <f t="shared" ca="1" si="1031"/>
        <v/>
      </c>
      <c r="AY250" s="284" t="str">
        <f t="shared" ca="1" si="1031"/>
        <v/>
      </c>
      <c r="AZ250" s="283" t="str">
        <f t="shared" ca="1" si="1031"/>
        <v/>
      </c>
      <c r="BA250" s="284" t="str">
        <f t="shared" ca="1" si="1031"/>
        <v/>
      </c>
      <c r="BB250" s="283" t="str">
        <f t="shared" ca="1" si="1031"/>
        <v/>
      </c>
      <c r="BC250" s="284" t="str">
        <f t="shared" ca="1" si="1031"/>
        <v/>
      </c>
      <c r="BD250" s="283" t="str">
        <f t="shared" ca="1" si="1031"/>
        <v/>
      </c>
      <c r="BE250" s="285" t="str">
        <f t="shared" ca="1" si="1031"/>
        <v/>
      </c>
      <c r="BF250" s="285" t="e">
        <f t="shared" ref="BF250:BF251" ca="1" si="1032">IF(SUM(AP250,AQ250)&lt;&gt;0,SUM(AP250,AQ250),#N/A)</f>
        <v>#N/A</v>
      </c>
      <c r="BG250" s="285" t="e">
        <f t="shared" ref="BG250:BG251" ca="1" si="1033">IF(SUM(AR250,AS250)&lt;&gt;0,SUM(AR250,AS250),#N/A)</f>
        <v>#N/A</v>
      </c>
      <c r="BH250" s="285" t="e">
        <f t="shared" ref="BH250:BH251" ca="1" si="1034">IF(SUM(AT250,AU250)&lt;&gt;0,SUM(AT250,AU250),#N/A)</f>
        <v>#N/A</v>
      </c>
      <c r="BI250" s="285" t="e">
        <f t="shared" ref="BI250:BI251" ca="1" si="1035">IF(SUM(AV250,AW250)&lt;&gt;0,SUM(AV250,AW250),#N/A)</f>
        <v>#N/A</v>
      </c>
      <c r="BJ250" s="285" t="e">
        <f t="shared" ref="BJ250:BJ251" ca="1" si="1036">IF(SUM(AX250,AY250)&lt;&gt;0,SUM(AX250,AY250),#N/A)</f>
        <v>#N/A</v>
      </c>
      <c r="BK250" s="285" t="e">
        <f t="shared" ref="BK250:BK251" ca="1" si="1037">IF(SUM(AZ250,BA250)&lt;&gt;0,SUM(AZ250,BA250),#N/A)</f>
        <v>#N/A</v>
      </c>
      <c r="BL250" s="285" t="e">
        <f t="shared" ref="BL250:BL251" ca="1" si="1038">IF(SUM(BB250,BC250)&lt;&gt;0,SUM(BB250,BC250),#N/A)</f>
        <v>#N/A</v>
      </c>
      <c r="BM250" s="285" t="e">
        <f t="shared" ref="BM250:BM251" ca="1" si="1039">IF(SUM(BD250,BE250)&lt;&gt;0,SUM(BD250,BE250),#N/A)</f>
        <v>#N/A</v>
      </c>
    </row>
    <row r="251" spans="1:65" s="102" customFormat="1" ht="15" customHeight="1" outlineLevel="1" thickBot="1" x14ac:dyDescent="0.25">
      <c r="A251" s="320" t="s">
        <v>226</v>
      </c>
      <c r="B251" s="348"/>
      <c r="C251" s="351"/>
      <c r="D251" s="345"/>
      <c r="E251" s="290" t="s">
        <v>225</v>
      </c>
      <c r="F251" s="317" t="str">
        <f ca="1">IFERROR(F250+((F241*F243*F249*3600)/(F248)),"")</f>
        <v/>
      </c>
      <c r="G251" s="318" t="str">
        <f t="shared" ref="G251:AO251" ca="1" si="1040">IFERROR(G250+((G241*G243*G249*3600)/(G248)),"")</f>
        <v/>
      </c>
      <c r="H251" s="318" t="str">
        <f t="shared" ca="1" si="1040"/>
        <v/>
      </c>
      <c r="I251" s="318" t="str">
        <f t="shared" ca="1" si="1040"/>
        <v/>
      </c>
      <c r="J251" s="318" t="str">
        <f t="shared" ca="1" si="1040"/>
        <v/>
      </c>
      <c r="K251" s="318" t="str">
        <f t="shared" ca="1" si="1040"/>
        <v/>
      </c>
      <c r="L251" s="318" t="str">
        <f t="shared" ca="1" si="1040"/>
        <v/>
      </c>
      <c r="M251" s="318" t="str">
        <f t="shared" ca="1" si="1040"/>
        <v/>
      </c>
      <c r="N251" s="318" t="str">
        <f t="shared" ca="1" si="1040"/>
        <v/>
      </c>
      <c r="O251" s="318" t="str">
        <f t="shared" ca="1" si="1040"/>
        <v/>
      </c>
      <c r="P251" s="318" t="str">
        <f t="shared" ca="1" si="1040"/>
        <v/>
      </c>
      <c r="Q251" s="318" t="str">
        <f t="shared" ca="1" si="1040"/>
        <v/>
      </c>
      <c r="R251" s="317" t="str">
        <f t="shared" ca="1" si="1040"/>
        <v/>
      </c>
      <c r="S251" s="318" t="str">
        <f t="shared" ca="1" si="1040"/>
        <v/>
      </c>
      <c r="T251" s="318" t="str">
        <f t="shared" ca="1" si="1040"/>
        <v/>
      </c>
      <c r="U251" s="318" t="str">
        <f t="shared" ca="1" si="1040"/>
        <v/>
      </c>
      <c r="V251" s="318" t="str">
        <f t="shared" ca="1" si="1040"/>
        <v/>
      </c>
      <c r="W251" s="318" t="str">
        <f t="shared" ca="1" si="1040"/>
        <v/>
      </c>
      <c r="X251" s="318" t="str">
        <f t="shared" ca="1" si="1040"/>
        <v/>
      </c>
      <c r="Y251" s="318" t="str">
        <f t="shared" ca="1" si="1040"/>
        <v/>
      </c>
      <c r="Z251" s="318" t="str">
        <f t="shared" ca="1" si="1040"/>
        <v/>
      </c>
      <c r="AA251" s="318" t="str">
        <f t="shared" ca="1" si="1040"/>
        <v/>
      </c>
      <c r="AB251" s="318" t="str">
        <f t="shared" ca="1" si="1040"/>
        <v/>
      </c>
      <c r="AC251" s="318" t="str">
        <f t="shared" ca="1" si="1040"/>
        <v/>
      </c>
      <c r="AD251" s="317" t="str">
        <f t="shared" ca="1" si="1040"/>
        <v/>
      </c>
      <c r="AE251" s="318" t="str">
        <f t="shared" ca="1" si="1040"/>
        <v/>
      </c>
      <c r="AF251" s="318" t="str">
        <f t="shared" ca="1" si="1040"/>
        <v/>
      </c>
      <c r="AG251" s="318" t="str">
        <f t="shared" ca="1" si="1040"/>
        <v/>
      </c>
      <c r="AH251" s="318" t="str">
        <f t="shared" ca="1" si="1040"/>
        <v/>
      </c>
      <c r="AI251" s="318" t="str">
        <f t="shared" ca="1" si="1040"/>
        <v/>
      </c>
      <c r="AJ251" s="318" t="str">
        <f t="shared" ca="1" si="1040"/>
        <v/>
      </c>
      <c r="AK251" s="318" t="str">
        <f t="shared" ca="1" si="1040"/>
        <v/>
      </c>
      <c r="AL251" s="318" t="str">
        <f t="shared" ca="1" si="1040"/>
        <v/>
      </c>
      <c r="AM251" s="318" t="str">
        <f t="shared" ca="1" si="1040"/>
        <v/>
      </c>
      <c r="AN251" s="318" t="str">
        <f t="shared" ca="1" si="1040"/>
        <v/>
      </c>
      <c r="AO251" s="318" t="str">
        <f t="shared" ca="1" si="1040"/>
        <v/>
      </c>
      <c r="AP251" s="317" t="e">
        <f t="shared" ca="1" si="1025"/>
        <v>#N/A</v>
      </c>
      <c r="AQ251" s="318" t="e">
        <f t="shared" ca="1" si="1026"/>
        <v>#N/A</v>
      </c>
      <c r="AR251" s="317" t="e">
        <f t="shared" ca="1" si="1027"/>
        <v>#N/A</v>
      </c>
      <c r="AS251" s="318" t="e">
        <f t="shared" ca="1" si="1028"/>
        <v>#N/A</v>
      </c>
      <c r="AT251" s="317" t="e">
        <f t="shared" ca="1" si="1029"/>
        <v>#N/A</v>
      </c>
      <c r="AU251" s="318" t="e">
        <f t="shared" ca="1" si="1030"/>
        <v>#N/A</v>
      </c>
      <c r="AV251" s="317" t="str">
        <f t="shared" ref="AV251:BE251" ca="1" si="1041">IFERROR(AV250+((AV241*AV243*AV249*3600)/(AV248)),"")</f>
        <v/>
      </c>
      <c r="AW251" s="318" t="str">
        <f t="shared" ca="1" si="1041"/>
        <v/>
      </c>
      <c r="AX251" s="317" t="str">
        <f t="shared" ca="1" si="1041"/>
        <v/>
      </c>
      <c r="AY251" s="318" t="str">
        <f t="shared" ca="1" si="1041"/>
        <v/>
      </c>
      <c r="AZ251" s="317" t="str">
        <f t="shared" ca="1" si="1041"/>
        <v/>
      </c>
      <c r="BA251" s="318" t="str">
        <f t="shared" ca="1" si="1041"/>
        <v/>
      </c>
      <c r="BB251" s="317" t="str">
        <f t="shared" ca="1" si="1041"/>
        <v/>
      </c>
      <c r="BC251" s="318" t="str">
        <f t="shared" ca="1" si="1041"/>
        <v/>
      </c>
      <c r="BD251" s="317" t="str">
        <f t="shared" ca="1" si="1041"/>
        <v/>
      </c>
      <c r="BE251" s="291" t="str">
        <f t="shared" ca="1" si="1041"/>
        <v/>
      </c>
      <c r="BF251" s="291" t="e">
        <f t="shared" ca="1" si="1032"/>
        <v>#N/A</v>
      </c>
      <c r="BG251" s="291" t="e">
        <f t="shared" ca="1" si="1033"/>
        <v>#N/A</v>
      </c>
      <c r="BH251" s="291" t="e">
        <f t="shared" ca="1" si="1034"/>
        <v>#N/A</v>
      </c>
      <c r="BI251" s="291" t="e">
        <f t="shared" ca="1" si="1035"/>
        <v>#N/A</v>
      </c>
      <c r="BJ251" s="291" t="e">
        <f t="shared" ca="1" si="1036"/>
        <v>#N/A</v>
      </c>
      <c r="BK251" s="291" t="e">
        <f t="shared" ca="1" si="1037"/>
        <v>#N/A</v>
      </c>
      <c r="BL251" s="291" t="e">
        <f t="shared" ca="1" si="1038"/>
        <v>#N/A</v>
      </c>
      <c r="BM251" s="291" t="e">
        <f t="shared" ca="1" si="1039"/>
        <v>#N/A</v>
      </c>
    </row>
    <row r="252" spans="1:65" s="102" customFormat="1" ht="22.5" outlineLevel="2" x14ac:dyDescent="0.2">
      <c r="A252" s="320" t="s">
        <v>226</v>
      </c>
      <c r="B252" s="346"/>
      <c r="C252" s="349" t="str">
        <f t="shared" ref="C252" si="1042">IF(AND($B252&lt;&gt;0,$C$9&lt;&gt;0),$C$9,"")</f>
        <v/>
      </c>
      <c r="D252" s="343"/>
      <c r="E252" s="277" t="s">
        <v>40</v>
      </c>
      <c r="F252" s="33">
        <f ca="1">IF(F$11-(SUM(F256:F259)/24)=0,"",F$11-(SUM(F256:F259)/24))</f>
        <v>27</v>
      </c>
      <c r="G252" s="34">
        <f t="shared" ref="G252:AO252" ca="1" si="1043">IF(G$11-(SUM(G256:G259)/24)=0,"",G$11-(SUM(G256:G259)/24))</f>
        <v>24</v>
      </c>
      <c r="H252" s="34">
        <f t="shared" ca="1" si="1043"/>
        <v>26</v>
      </c>
      <c r="I252" s="34">
        <f t="shared" ca="1" si="1043"/>
        <v>26</v>
      </c>
      <c r="J252" s="34">
        <f t="shared" ca="1" si="1043"/>
        <v>27</v>
      </c>
      <c r="K252" s="34">
        <f t="shared" ca="1" si="1043"/>
        <v>25</v>
      </c>
      <c r="L252" s="34">
        <f t="shared" ca="1" si="1043"/>
        <v>27</v>
      </c>
      <c r="M252" s="34">
        <f t="shared" ca="1" si="1043"/>
        <v>26</v>
      </c>
      <c r="N252" s="34">
        <f t="shared" ca="1" si="1043"/>
        <v>26</v>
      </c>
      <c r="O252" s="34">
        <f t="shared" ca="1" si="1043"/>
        <v>27</v>
      </c>
      <c r="P252" s="34">
        <f t="shared" ca="1" si="1043"/>
        <v>25</v>
      </c>
      <c r="Q252" s="34">
        <f t="shared" ca="1" si="1043"/>
        <v>27</v>
      </c>
      <c r="R252" s="32">
        <f t="shared" ca="1" si="1043"/>
        <v>27</v>
      </c>
      <c r="S252" s="29">
        <f t="shared" ca="1" si="1043"/>
        <v>24</v>
      </c>
      <c r="T252" s="29">
        <f t="shared" ca="1" si="1043"/>
        <v>26</v>
      </c>
      <c r="U252" s="29">
        <f t="shared" ca="1" si="1043"/>
        <v>26</v>
      </c>
      <c r="V252" s="29">
        <f t="shared" ca="1" si="1043"/>
        <v>26</v>
      </c>
      <c r="W252" s="29">
        <f t="shared" ca="1" si="1043"/>
        <v>26</v>
      </c>
      <c r="X252" s="29">
        <f t="shared" ca="1" si="1043"/>
        <v>27</v>
      </c>
      <c r="Y252" s="29">
        <f t="shared" ca="1" si="1043"/>
        <v>26</v>
      </c>
      <c r="Z252" s="29">
        <f t="shared" ca="1" si="1043"/>
        <v>26</v>
      </c>
      <c r="AA252" s="29">
        <f t="shared" ca="1" si="1043"/>
        <v>27</v>
      </c>
      <c r="AB252" s="29">
        <f t="shared" ca="1" si="1043"/>
        <v>25</v>
      </c>
      <c r="AC252" s="29">
        <f t="shared" ca="1" si="1043"/>
        <v>27</v>
      </c>
      <c r="AD252" s="32">
        <f t="shared" ca="1" si="1043"/>
        <v>26</v>
      </c>
      <c r="AE252" s="29">
        <f t="shared" ca="1" si="1043"/>
        <v>24</v>
      </c>
      <c r="AF252" s="29">
        <f t="shared" ca="1" si="1043"/>
        <v>27</v>
      </c>
      <c r="AG252" s="29">
        <f t="shared" ca="1" si="1043"/>
        <v>26</v>
      </c>
      <c r="AH252" s="29">
        <f t="shared" ca="1" si="1043"/>
        <v>26</v>
      </c>
      <c r="AI252" s="29">
        <f t="shared" ca="1" si="1043"/>
        <v>26</v>
      </c>
      <c r="AJ252" s="29">
        <f t="shared" ca="1" si="1043"/>
        <v>27</v>
      </c>
      <c r="AK252" s="29">
        <f t="shared" ca="1" si="1043"/>
        <v>26</v>
      </c>
      <c r="AL252" s="29">
        <f t="shared" ca="1" si="1043"/>
        <v>26</v>
      </c>
      <c r="AM252" s="29">
        <f t="shared" ca="1" si="1043"/>
        <v>26</v>
      </c>
      <c r="AN252" s="29">
        <f t="shared" ca="1" si="1043"/>
        <v>26</v>
      </c>
      <c r="AO252" s="29">
        <f t="shared" ca="1" si="1043"/>
        <v>27</v>
      </c>
      <c r="AP252" s="32">
        <f ca="1">IF(SUM(F252:K252)&lt;&gt;0,SUM(F252:K252),"")</f>
        <v>155</v>
      </c>
      <c r="AQ252" s="29">
        <f ca="1">IF(SUM(L252:Q252)&lt;&gt;0,SUM(L252:Q252),"")</f>
        <v>158</v>
      </c>
      <c r="AR252" s="32">
        <f ca="1">IF(SUM(R252:W252)&lt;&gt;0,SUM(R252:W252),"")</f>
        <v>155</v>
      </c>
      <c r="AS252" s="29">
        <f ca="1">IF(SUM(X252:AC252)&lt;&gt;0,SUM(X252:AC252),"")</f>
        <v>158</v>
      </c>
      <c r="AT252" s="32">
        <f ca="1">IF(SUM(AD252:AI252)&lt;&gt;0,SUM(AD252:AI252),"")</f>
        <v>155</v>
      </c>
      <c r="AU252" s="296">
        <f ca="1">SUM(AJ252:AO252)</f>
        <v>158</v>
      </c>
      <c r="AV252" s="32">
        <f t="shared" ref="AV252:BE252" ca="1" si="1044">IF(AV$11-(SUM(AV256:AV259)/24)=0,"",AV$11-(SUM(AV256:AV259)/24))</f>
        <v>156</v>
      </c>
      <c r="AW252" s="29">
        <f t="shared" ca="1" si="1044"/>
        <v>157</v>
      </c>
      <c r="AX252" s="32">
        <f t="shared" ca="1" si="1044"/>
        <v>156</v>
      </c>
      <c r="AY252" s="29">
        <f t="shared" ca="1" si="1044"/>
        <v>158</v>
      </c>
      <c r="AZ252" s="32">
        <f t="shared" ca="1" si="1044"/>
        <v>155</v>
      </c>
      <c r="BA252" s="29">
        <f t="shared" ca="1" si="1044"/>
        <v>158</v>
      </c>
      <c r="BB252" s="32">
        <f t="shared" ca="1" si="1044"/>
        <v>155</v>
      </c>
      <c r="BC252" s="29">
        <f t="shared" ca="1" si="1044"/>
        <v>158</v>
      </c>
      <c r="BD252" s="32">
        <f t="shared" ca="1" si="1044"/>
        <v>156</v>
      </c>
      <c r="BE252" s="262">
        <f t="shared" ca="1" si="1044"/>
        <v>158</v>
      </c>
      <c r="BF252" s="286">
        <f t="shared" ca="1" si="734"/>
        <v>313</v>
      </c>
      <c r="BG252" s="286">
        <f t="shared" ca="1" si="735"/>
        <v>313</v>
      </c>
      <c r="BH252" s="286">
        <f t="shared" ca="1" si="736"/>
        <v>313</v>
      </c>
      <c r="BI252" s="286">
        <f t="shared" ca="1" si="737"/>
        <v>313</v>
      </c>
      <c r="BJ252" s="286">
        <f t="shared" ca="1" si="738"/>
        <v>314</v>
      </c>
      <c r="BK252" s="286">
        <f t="shared" ca="1" si="739"/>
        <v>313</v>
      </c>
      <c r="BL252" s="286">
        <f t="shared" ca="1" si="740"/>
        <v>313</v>
      </c>
      <c r="BM252" s="286">
        <f t="shared" ca="1" si="741"/>
        <v>314</v>
      </c>
    </row>
    <row r="253" spans="1:65" s="102" customFormat="1" ht="15" customHeight="1" outlineLevel="2" thickBot="1" x14ac:dyDescent="0.25">
      <c r="A253" s="320" t="s">
        <v>226</v>
      </c>
      <c r="B253" s="347"/>
      <c r="C253" s="350"/>
      <c r="D253" s="344"/>
      <c r="E253" s="278" t="s">
        <v>29</v>
      </c>
      <c r="F253" s="47"/>
      <c r="G253" s="48"/>
      <c r="H253" s="48"/>
      <c r="I253" s="48"/>
      <c r="J253" s="48"/>
      <c r="K253" s="48"/>
      <c r="L253" s="48"/>
      <c r="M253" s="48"/>
      <c r="N253" s="48"/>
      <c r="O253" s="48"/>
      <c r="P253" s="48"/>
      <c r="Q253" s="51"/>
      <c r="R253" s="47"/>
      <c r="S253" s="48"/>
      <c r="T253" s="48"/>
      <c r="U253" s="48"/>
      <c r="V253" s="48"/>
      <c r="W253" s="48"/>
      <c r="X253" s="48"/>
      <c r="Y253" s="48"/>
      <c r="Z253" s="48"/>
      <c r="AA253" s="48"/>
      <c r="AB253" s="48"/>
      <c r="AC253" s="51"/>
      <c r="AD253" s="263"/>
      <c r="AE253" s="48"/>
      <c r="AF253" s="48"/>
      <c r="AG253" s="48"/>
      <c r="AH253" s="48"/>
      <c r="AI253" s="48"/>
      <c r="AJ253" s="48"/>
      <c r="AK253" s="48"/>
      <c r="AL253" s="48"/>
      <c r="AM253" s="48"/>
      <c r="AN253" s="48"/>
      <c r="AO253" s="51"/>
      <c r="AP253" s="294" t="str">
        <f>IFERROR(IF(SUM(F253:K253)&lt;&gt;0,SUM(F253:K253),""),"")</f>
        <v/>
      </c>
      <c r="AQ253" s="295" t="str">
        <f>IFERROR(IF(SUM(L253:Q253)&lt;&gt;0,SUM(L253:Q253),""),"")</f>
        <v/>
      </c>
      <c r="AR253" s="294" t="str">
        <f>IFERROR(IF(SUM(R253:W253)&lt;&gt;0,SUM(R253:W253),""),"")</f>
        <v/>
      </c>
      <c r="AS253" s="295" t="str">
        <f>IFERROR(IF(SUM(X253:AC253)&lt;&gt;0,SUM(X253:AC253),""),"")</f>
        <v/>
      </c>
      <c r="AT253" s="294" t="str">
        <f>IFERROR(IF(SUM(AD253:AI253)&lt;&gt;0,SUM(AD253:AI253),""),"")</f>
        <v/>
      </c>
      <c r="AU253" s="295" t="str">
        <f>IFERROR(IF(SUM(AJ253:AO253)&lt;&gt;0,SUM(AJ253:AO253),""),"")</f>
        <v/>
      </c>
      <c r="AV253" s="47"/>
      <c r="AW253" s="51"/>
      <c r="AX253" s="47"/>
      <c r="AY253" s="51"/>
      <c r="AZ253" s="47"/>
      <c r="BA253" s="51"/>
      <c r="BB253" s="47"/>
      <c r="BC253" s="51"/>
      <c r="BD253" s="47"/>
      <c r="BE253" s="263"/>
      <c r="BF253" s="271" t="str">
        <f>IFERROR(IF(AVERAGE(AP253:AQ253)&lt;&gt;0,AVERAGE(AP253:AQ253),""),"")</f>
        <v/>
      </c>
      <c r="BG253" s="271" t="str">
        <f>IFERROR(IF(AVERAGE(AR253:AS253)&lt;&gt;0,AVERAGE(AR253:AS253),""),"")</f>
        <v/>
      </c>
      <c r="BH253" s="271" t="str">
        <f>IFERROR(IF(AVERAGE(AT253:AU253)&lt;&gt;0,AVERAGE(AT253:AU253),""),"")</f>
        <v/>
      </c>
      <c r="BI253" s="271" t="str">
        <f>IFERROR(IF(AVERAGE(AV253:AW253)&lt;&gt;0,AVERAGE(AV253:AW253),""),"")</f>
        <v/>
      </c>
      <c r="BJ253" s="271" t="str">
        <f>IFERROR(IF(AVERAGE(AX253:AY253)&lt;&gt;0,AVERAGE(AX253:AY253),""),"")</f>
        <v/>
      </c>
      <c r="BK253" s="271" t="str">
        <f>IFERROR(IF(AVERAGE(AZ253:BA253)&lt;&gt;0,AVERAGE(AZ253:BA253),""),"")</f>
        <v/>
      </c>
      <c r="BL253" s="271" t="str">
        <f>IFERROR(IF(AVERAGE(BB253:BC253)&lt;&gt;0,AVERAGE(BB253:BC253),""),"")</f>
        <v/>
      </c>
      <c r="BM253" s="271" t="str">
        <f>IFERROR(IF(AVERAGE(BD253:BE253)&lt;&gt;0,AVERAGE(BD253:BE253),""),"")</f>
        <v/>
      </c>
    </row>
    <row r="254" spans="1:65" s="102" customFormat="1" ht="14.25" customHeight="1" outlineLevel="2" x14ac:dyDescent="0.2">
      <c r="A254" s="320" t="s">
        <v>226</v>
      </c>
      <c r="B254" s="347"/>
      <c r="C254" s="350"/>
      <c r="D254" s="344"/>
      <c r="E254" s="279" t="s">
        <v>28</v>
      </c>
      <c r="F254" s="52"/>
      <c r="G254" s="53"/>
      <c r="H254" s="53"/>
      <c r="I254" s="53"/>
      <c r="J254" s="53"/>
      <c r="K254" s="53"/>
      <c r="L254" s="53"/>
      <c r="M254" s="53"/>
      <c r="N254" s="53"/>
      <c r="O254" s="53"/>
      <c r="P254" s="53"/>
      <c r="Q254" s="54"/>
      <c r="R254" s="52"/>
      <c r="S254" s="53"/>
      <c r="T254" s="53"/>
      <c r="U254" s="53"/>
      <c r="V254" s="53"/>
      <c r="W254" s="53"/>
      <c r="X254" s="53"/>
      <c r="Y254" s="53"/>
      <c r="Z254" s="53"/>
      <c r="AA254" s="53"/>
      <c r="AB254" s="53"/>
      <c r="AC254" s="54"/>
      <c r="AD254" s="264"/>
      <c r="AE254" s="53"/>
      <c r="AF254" s="53"/>
      <c r="AG254" s="53"/>
      <c r="AH254" s="53"/>
      <c r="AI254" s="53"/>
      <c r="AJ254" s="53"/>
      <c r="AK254" s="53"/>
      <c r="AL254" s="53"/>
      <c r="AM254" s="53"/>
      <c r="AN254" s="53"/>
      <c r="AO254" s="54"/>
      <c r="AP254" s="225" t="str">
        <f>IFERROR(IF(AVERAGE(F254:K254)&lt;&gt;0,AVERAGE(F254:K254),""),"")</f>
        <v/>
      </c>
      <c r="AQ254" s="226" t="str">
        <f>IFERROR(IF(AVERAGE(L254:Q254)&lt;&gt;0,AVERAGE(L254:Q254),""),"")</f>
        <v/>
      </c>
      <c r="AR254" s="225" t="str">
        <f>IFERROR(IF(AVERAGE(R254:W254)&lt;&gt;0,AVERAGE(R254:W254),""),"")</f>
        <v/>
      </c>
      <c r="AS254" s="226" t="str">
        <f>IFERROR(IF(AVERAGE(X254:AC254)&lt;&gt;0,AVERAGE(X254:AC254),""),"")</f>
        <v/>
      </c>
      <c r="AT254" s="225" t="str">
        <f>IFERROR(IF(AVERAGE(AD254:AI254)&lt;&gt;0,AVERAGE(AD254:AI254),""),"")</f>
        <v/>
      </c>
      <c r="AU254" s="226" t="str">
        <f>IFERROR(IF(AVERAGE(AJ254:AO254)&lt;&gt;0,AVERAGE(AJ254:AO254),""),"")</f>
        <v/>
      </c>
      <c r="AV254" s="70"/>
      <c r="AW254" s="53"/>
      <c r="AX254" s="70"/>
      <c r="AY254" s="53"/>
      <c r="AZ254" s="70"/>
      <c r="BA254" s="53"/>
      <c r="BB254" s="70"/>
      <c r="BC254" s="53"/>
      <c r="BD254" s="70"/>
      <c r="BE254" s="264"/>
      <c r="BF254" s="272" t="str">
        <f>IFERROR(IF(AVERAGE(AP254:AQ254)&lt;&gt;0,AVERAGE(AP254:AQ254),""),"")</f>
        <v/>
      </c>
      <c r="BG254" s="272" t="str">
        <f>IFERROR(IF(AVERAGE(AR254:AS254)&lt;&gt;0,AVERAGE(AR254:AS254),""),"")</f>
        <v/>
      </c>
      <c r="BH254" s="272" t="str">
        <f>IFERROR(IF(AVERAGE(AT254:AU254)&lt;&gt;0,AVERAGE(AT254:AU254),""),"")</f>
        <v/>
      </c>
      <c r="BI254" s="272" t="str">
        <f>IFERROR(IF(AVERAGE(AV254:AW254)&lt;&gt;0,AVERAGE(AV254:AW254),""),"")</f>
        <v/>
      </c>
      <c r="BJ254" s="272" t="str">
        <f>IFERROR(IF(AVERAGE(AX254:AY254)&lt;&gt;0,AVERAGE(AX254:AY254),""),"")</f>
        <v/>
      </c>
      <c r="BK254" s="272" t="str">
        <f>IFERROR(IF(AVERAGE(AZ254:BA254)&lt;&gt;0,AVERAGE(AZ254:BA254),""),"")</f>
        <v/>
      </c>
      <c r="BL254" s="272" t="str">
        <f>IFERROR(IF(AVERAGE(BB254:BC254)&lt;&gt;0,AVERAGE(BB254:BC254),""),"")</f>
        <v/>
      </c>
      <c r="BM254" s="272" t="str">
        <f>IFERROR(IF(AVERAGE(BD254:BE254)&lt;&gt;0,AVERAGE(BD254:BE254),""),"")</f>
        <v/>
      </c>
    </row>
    <row r="255" spans="1:65" s="102" customFormat="1" ht="15" customHeight="1" outlineLevel="2" thickBot="1" x14ac:dyDescent="0.25">
      <c r="A255" s="320" t="s">
        <v>226</v>
      </c>
      <c r="B255" s="347"/>
      <c r="C255" s="350"/>
      <c r="D255" s="344"/>
      <c r="E255" s="278" t="s">
        <v>30</v>
      </c>
      <c r="F255" s="55"/>
      <c r="G255" s="56"/>
      <c r="H255" s="56"/>
      <c r="I255" s="56"/>
      <c r="J255" s="56"/>
      <c r="K255" s="56"/>
      <c r="L255" s="56"/>
      <c r="M255" s="56"/>
      <c r="N255" s="56"/>
      <c r="O255" s="56"/>
      <c r="P255" s="56"/>
      <c r="Q255" s="57"/>
      <c r="R255" s="55"/>
      <c r="S255" s="56"/>
      <c r="T255" s="56"/>
      <c r="U255" s="56"/>
      <c r="V255" s="56"/>
      <c r="W255" s="56"/>
      <c r="X255" s="56"/>
      <c r="Y255" s="56"/>
      <c r="Z255" s="56"/>
      <c r="AA255" s="56"/>
      <c r="AB255" s="56"/>
      <c r="AC255" s="57"/>
      <c r="AD255" s="265"/>
      <c r="AE255" s="56"/>
      <c r="AF255" s="56"/>
      <c r="AG255" s="56"/>
      <c r="AH255" s="56"/>
      <c r="AI255" s="56"/>
      <c r="AJ255" s="56"/>
      <c r="AK255" s="56"/>
      <c r="AL255" s="56"/>
      <c r="AM255" s="56"/>
      <c r="AN255" s="56"/>
      <c r="AO255" s="57"/>
      <c r="AP255" s="227" t="str">
        <f>IFERROR(IF(AVERAGE(F255:K255)&lt;&gt;0,AVERAGE(F255:K255),""),"")</f>
        <v/>
      </c>
      <c r="AQ255" s="228" t="str">
        <f>IFERROR(IF(AVERAGE(L255:Q255)&lt;&gt;0,AVERAGE(L255:Q255),""),"")</f>
        <v/>
      </c>
      <c r="AR255" s="227" t="str">
        <f>IFERROR(IF(AVERAGE(R255:W255)&lt;&gt;0,AVERAGE(R255:W255),""),"")</f>
        <v/>
      </c>
      <c r="AS255" s="228" t="str">
        <f>IFERROR(IF(AVERAGE(X255:AC255)&lt;&gt;0,AVERAGE(X255:AC255),""),"")</f>
        <v/>
      </c>
      <c r="AT255" s="227" t="str">
        <f>IFERROR(IF(AVERAGE(AD255:AI255)&lt;&gt;0,AVERAGE(AD255:AI255),""),"")</f>
        <v/>
      </c>
      <c r="AU255" s="228" t="str">
        <f>IFERROR(IF(AVERAGE(AJ255:AO255)&lt;&gt;0,AVERAGE(AJ255:AO255),""),"")</f>
        <v/>
      </c>
      <c r="AV255" s="71"/>
      <c r="AW255" s="56"/>
      <c r="AX255" s="71"/>
      <c r="AY255" s="56"/>
      <c r="AZ255" s="71"/>
      <c r="BA255" s="56"/>
      <c r="BB255" s="71"/>
      <c r="BC255" s="56"/>
      <c r="BD255" s="71"/>
      <c r="BE255" s="265"/>
      <c r="BF255" s="273" t="str">
        <f>IFERROR(IF(AVERAGE(AP255:AQ255)&lt;&gt;0,AVERAGE(AP255:AQ255),""),"")</f>
        <v/>
      </c>
      <c r="BG255" s="273" t="str">
        <f>IFERROR(IF(AVERAGE(AR255:AS255)&lt;&gt;0,AVERAGE(AR255:AS255),""),"")</f>
        <v/>
      </c>
      <c r="BH255" s="273" t="str">
        <f>IFERROR(IF(AVERAGE(AT255:AU255)&lt;&gt;0,AVERAGE(AT255:AU255),""),"")</f>
        <v/>
      </c>
      <c r="BI255" s="273" t="str">
        <f>IFERROR(IF(AVERAGE(AV255:AW255)&lt;&gt;0,AVERAGE(AV255:AW255),""),"")</f>
        <v/>
      </c>
      <c r="BJ255" s="273" t="str">
        <f>IFERROR(IF(AVERAGE(AX255:AY255)&lt;&gt;0,AVERAGE(AX255:AY255),""),"")</f>
        <v/>
      </c>
      <c r="BK255" s="273" t="str">
        <f>IFERROR(IF(AVERAGE(AZ255:BA255)&lt;&gt;0,AVERAGE(AZ255:BA255),""),"")</f>
        <v/>
      </c>
      <c r="BL255" s="273" t="str">
        <f>IFERROR(IF(AVERAGE(BB255:BC255)&lt;&gt;0,AVERAGE(BB255:BC255),""),"")</f>
        <v/>
      </c>
      <c r="BM255" s="273" t="str">
        <f>IFERROR(IF(AVERAGE(BD255:BE255)&lt;&gt;0,AVERAGE(BD255:BE255),""),"")</f>
        <v/>
      </c>
    </row>
    <row r="256" spans="1:65" s="102" customFormat="1" ht="14.25" customHeight="1" outlineLevel="2" x14ac:dyDescent="0.2">
      <c r="A256" s="320" t="s">
        <v>226</v>
      </c>
      <c r="B256" s="347"/>
      <c r="C256" s="350"/>
      <c r="D256" s="344"/>
      <c r="E256" s="279" t="s">
        <v>25</v>
      </c>
      <c r="F256" s="58"/>
      <c r="G256" s="50"/>
      <c r="H256" s="50"/>
      <c r="I256" s="50"/>
      <c r="J256" s="50"/>
      <c r="K256" s="50"/>
      <c r="L256" s="50"/>
      <c r="M256" s="50"/>
      <c r="N256" s="50"/>
      <c r="O256" s="50"/>
      <c r="P256" s="50"/>
      <c r="Q256" s="59"/>
      <c r="R256" s="58"/>
      <c r="S256" s="50"/>
      <c r="T256" s="50"/>
      <c r="U256" s="50"/>
      <c r="V256" s="50"/>
      <c r="W256" s="50"/>
      <c r="X256" s="50"/>
      <c r="Y256" s="50"/>
      <c r="Z256" s="50"/>
      <c r="AA256" s="50"/>
      <c r="AB256" s="50"/>
      <c r="AC256" s="59"/>
      <c r="AD256" s="319"/>
      <c r="AE256" s="50"/>
      <c r="AF256" s="50"/>
      <c r="AG256" s="50"/>
      <c r="AH256" s="50"/>
      <c r="AI256" s="50"/>
      <c r="AJ256" s="50"/>
      <c r="AK256" s="50"/>
      <c r="AL256" s="50"/>
      <c r="AM256" s="50"/>
      <c r="AN256" s="50"/>
      <c r="AO256" s="59"/>
      <c r="AP256" s="229" t="str">
        <f>IFERROR(IF(SUM(F256:K256)&lt;&gt;0,SUM(F256:K256),""),"")</f>
        <v/>
      </c>
      <c r="AQ256" s="230" t="str">
        <f>IFERROR(IF(SUM(L256:Q256)&lt;&gt;0,SUM(L256:Q256),""),"")</f>
        <v/>
      </c>
      <c r="AR256" s="229" t="str">
        <f>IFERROR(IF(SUM(R256:W256)&lt;&gt;0,SUM(R256:W256),""),"")</f>
        <v/>
      </c>
      <c r="AS256" s="230" t="str">
        <f>IFERROR(IF(SUM(X256:AC256)&lt;&gt;0,SUM(X256:AC256),""),"")</f>
        <v/>
      </c>
      <c r="AT256" s="229" t="str">
        <f>IFERROR(IF(SUM(AD256:AI256)&lt;&gt;0,SUM(AD256:AI256),""),"")</f>
        <v/>
      </c>
      <c r="AU256" s="230" t="str">
        <f>IFERROR(IF(SUM(AJ256:AO256)&lt;&gt;0,SUM(AJ256:AO256),""),"")</f>
        <v/>
      </c>
      <c r="AV256" s="72"/>
      <c r="AW256" s="73"/>
      <c r="AX256" s="72"/>
      <c r="AY256" s="73"/>
      <c r="AZ256" s="72"/>
      <c r="BA256" s="73"/>
      <c r="BB256" s="72"/>
      <c r="BC256" s="73"/>
      <c r="BD256" s="72"/>
      <c r="BE256" s="266"/>
      <c r="BF256" s="286" t="e">
        <f t="shared" ref="BF256:BF259" si="1045">IF(SUM(AP256,AQ256)&lt;&gt;0,SUM(AP256,AQ256),#N/A)</f>
        <v>#N/A</v>
      </c>
      <c r="BG256" s="286" t="e">
        <f t="shared" ref="BG256:BG259" si="1046">IF(SUM(AR256,AS256)&lt;&gt;0,SUM(AR256,AS256),#N/A)</f>
        <v>#N/A</v>
      </c>
      <c r="BH256" s="286" t="e">
        <f t="shared" ref="BH256:BH259" si="1047">IF(SUM(AT256,AU256)&lt;&gt;0,SUM(AT256,AU256),#N/A)</f>
        <v>#N/A</v>
      </c>
      <c r="BI256" s="286" t="e">
        <f t="shared" ref="BI256:BI259" si="1048">IF(SUM(AV256,AW256)&lt;&gt;0,SUM(AV256,AW256),#N/A)</f>
        <v>#N/A</v>
      </c>
      <c r="BJ256" s="286" t="e">
        <f t="shared" ref="BJ256:BJ259" si="1049">IF(SUM(AX256,AY256)&lt;&gt;0,SUM(AX256,AY256),#N/A)</f>
        <v>#N/A</v>
      </c>
      <c r="BK256" s="286" t="e">
        <f t="shared" ref="BK256:BK259" si="1050">IF(SUM(AZ256,BA256)&lt;&gt;0,SUM(AZ256,BA256),#N/A)</f>
        <v>#N/A</v>
      </c>
      <c r="BL256" s="286" t="e">
        <f t="shared" ref="BL256:BL259" si="1051">IF(SUM(BB256,BC256)&lt;&gt;0,SUM(BB256,BC256),#N/A)</f>
        <v>#N/A</v>
      </c>
      <c r="BM256" s="286" t="e">
        <f t="shared" ref="BM256:BM259" si="1052">IF(SUM(BD256,BE256)&lt;&gt;0,SUM(BD256,BE256),#N/A)</f>
        <v>#N/A</v>
      </c>
    </row>
    <row r="257" spans="1:65" s="102" customFormat="1" ht="14.25" customHeight="1" outlineLevel="2" x14ac:dyDescent="0.2">
      <c r="A257" s="320" t="s">
        <v>226</v>
      </c>
      <c r="B257" s="347"/>
      <c r="C257" s="350"/>
      <c r="D257" s="344"/>
      <c r="E257" s="280" t="s">
        <v>26</v>
      </c>
      <c r="F257" s="60"/>
      <c r="G257" s="61"/>
      <c r="H257" s="61"/>
      <c r="I257" s="61"/>
      <c r="J257" s="61"/>
      <c r="K257" s="61"/>
      <c r="L257" s="61"/>
      <c r="M257" s="61"/>
      <c r="N257" s="61"/>
      <c r="O257" s="61"/>
      <c r="P257" s="61"/>
      <c r="Q257" s="62"/>
      <c r="R257" s="60"/>
      <c r="S257" s="61"/>
      <c r="T257" s="61"/>
      <c r="U257" s="61"/>
      <c r="V257" s="61"/>
      <c r="W257" s="61"/>
      <c r="X257" s="61"/>
      <c r="Y257" s="61"/>
      <c r="Z257" s="61"/>
      <c r="AA257" s="61"/>
      <c r="AB257" s="61"/>
      <c r="AC257" s="62"/>
      <c r="AD257" s="267"/>
      <c r="AE257" s="61"/>
      <c r="AF257" s="61"/>
      <c r="AG257" s="61"/>
      <c r="AH257" s="61"/>
      <c r="AI257" s="61"/>
      <c r="AJ257" s="61"/>
      <c r="AK257" s="61"/>
      <c r="AL257" s="61"/>
      <c r="AM257" s="61"/>
      <c r="AN257" s="61"/>
      <c r="AO257" s="62"/>
      <c r="AP257" s="231" t="str">
        <f>IFERROR(IF(SUM(F257:K257)&lt;&gt;0,SUM(F257:K257),""),"")</f>
        <v/>
      </c>
      <c r="AQ257" s="232" t="str">
        <f>IFERROR(IF(SUM(L257:Q257)&lt;&gt;0,SUM(L257:Q257),""),"")</f>
        <v/>
      </c>
      <c r="AR257" s="231" t="str">
        <f>IFERROR(IF(SUM(R257:W257)&lt;&gt;0,SUM(R257:W257),""),"")</f>
        <v/>
      </c>
      <c r="AS257" s="232" t="str">
        <f>IFERROR(IF(SUM(X257:AC257)&lt;&gt;0,SUM(X257:AC257),""),"")</f>
        <v/>
      </c>
      <c r="AT257" s="231" t="str">
        <f>IFERROR(IF(SUM(AD257:AI257)&lt;&gt;0,SUM(AD257:AI257),""),"")</f>
        <v/>
      </c>
      <c r="AU257" s="232" t="str">
        <f>IFERROR(IF(SUM(AJ257:AO257)&lt;&gt;0,SUM(AJ257:AO257),""),"")</f>
        <v/>
      </c>
      <c r="AV257" s="74"/>
      <c r="AW257" s="61"/>
      <c r="AX257" s="74"/>
      <c r="AY257" s="61"/>
      <c r="AZ257" s="74"/>
      <c r="BA257" s="61"/>
      <c r="BB257" s="74"/>
      <c r="BC257" s="61"/>
      <c r="BD257" s="74"/>
      <c r="BE257" s="267"/>
      <c r="BF257" s="287" t="e">
        <f t="shared" si="1045"/>
        <v>#N/A</v>
      </c>
      <c r="BG257" s="287" t="e">
        <f t="shared" si="1046"/>
        <v>#N/A</v>
      </c>
      <c r="BH257" s="287" t="e">
        <f t="shared" si="1047"/>
        <v>#N/A</v>
      </c>
      <c r="BI257" s="287" t="e">
        <f t="shared" si="1048"/>
        <v>#N/A</v>
      </c>
      <c r="BJ257" s="287" t="e">
        <f t="shared" si="1049"/>
        <v>#N/A</v>
      </c>
      <c r="BK257" s="287" t="e">
        <f t="shared" si="1050"/>
        <v>#N/A</v>
      </c>
      <c r="BL257" s="287" t="e">
        <f t="shared" si="1051"/>
        <v>#N/A</v>
      </c>
      <c r="BM257" s="287" t="e">
        <f t="shared" si="1052"/>
        <v>#N/A</v>
      </c>
    </row>
    <row r="258" spans="1:65" s="102" customFormat="1" ht="14.25" customHeight="1" outlineLevel="2" x14ac:dyDescent="0.2">
      <c r="A258" s="320" t="s">
        <v>226</v>
      </c>
      <c r="B258" s="347"/>
      <c r="C258" s="350"/>
      <c r="D258" s="344"/>
      <c r="E258" s="280" t="s">
        <v>27</v>
      </c>
      <c r="F258" s="60"/>
      <c r="G258" s="61"/>
      <c r="H258" s="61"/>
      <c r="I258" s="61"/>
      <c r="J258" s="61"/>
      <c r="K258" s="61"/>
      <c r="L258" s="61"/>
      <c r="M258" s="61"/>
      <c r="N258" s="61"/>
      <c r="O258" s="61"/>
      <c r="P258" s="61"/>
      <c r="Q258" s="62"/>
      <c r="R258" s="60"/>
      <c r="S258" s="61"/>
      <c r="T258" s="61"/>
      <c r="U258" s="61"/>
      <c r="V258" s="61"/>
      <c r="W258" s="61"/>
      <c r="X258" s="61"/>
      <c r="Y258" s="61"/>
      <c r="Z258" s="61"/>
      <c r="AA258" s="61"/>
      <c r="AB258" s="61"/>
      <c r="AC258" s="62"/>
      <c r="AD258" s="267"/>
      <c r="AE258" s="61"/>
      <c r="AF258" s="61"/>
      <c r="AG258" s="61"/>
      <c r="AH258" s="61"/>
      <c r="AI258" s="61"/>
      <c r="AJ258" s="61"/>
      <c r="AK258" s="61"/>
      <c r="AL258" s="61"/>
      <c r="AM258" s="61"/>
      <c r="AN258" s="61"/>
      <c r="AO258" s="62"/>
      <c r="AP258" s="231" t="str">
        <f>IFERROR(IF(SUM(F258:K258)&lt;&gt;0,SUM(F258:K258),""),"")</f>
        <v/>
      </c>
      <c r="AQ258" s="232" t="str">
        <f>IFERROR(IF(SUM(L258:Q258)&lt;&gt;0,SUM(L258:Q258),""),"")</f>
        <v/>
      </c>
      <c r="AR258" s="231" t="str">
        <f>IFERROR(IF(SUM(R258:W258)&lt;&gt;0,SUM(R258:W258),""),"")</f>
        <v/>
      </c>
      <c r="AS258" s="232" t="str">
        <f>IFERROR(IF(SUM(X258:AC258)&lt;&gt;0,SUM(X258:AC258),""),"")</f>
        <v/>
      </c>
      <c r="AT258" s="231" t="str">
        <f>IFERROR(IF(SUM(AD258:AI258)&lt;&gt;0,SUM(AD258:AI258),""),"")</f>
        <v/>
      </c>
      <c r="AU258" s="232" t="str">
        <f>IFERROR(IF(SUM(AJ258:AO258)&lt;&gt;0,SUM(AJ258:AO258),""),"")</f>
        <v/>
      </c>
      <c r="AV258" s="74"/>
      <c r="AW258" s="61"/>
      <c r="AX258" s="74"/>
      <c r="AY258" s="61"/>
      <c r="AZ258" s="74"/>
      <c r="BA258" s="61"/>
      <c r="BB258" s="74"/>
      <c r="BC258" s="61"/>
      <c r="BD258" s="74"/>
      <c r="BE258" s="267"/>
      <c r="BF258" s="287" t="e">
        <f t="shared" si="1045"/>
        <v>#N/A</v>
      </c>
      <c r="BG258" s="287" t="e">
        <f t="shared" si="1046"/>
        <v>#N/A</v>
      </c>
      <c r="BH258" s="287" t="e">
        <f t="shared" si="1047"/>
        <v>#N/A</v>
      </c>
      <c r="BI258" s="287" t="e">
        <f t="shared" si="1048"/>
        <v>#N/A</v>
      </c>
      <c r="BJ258" s="287" t="e">
        <f t="shared" si="1049"/>
        <v>#N/A</v>
      </c>
      <c r="BK258" s="287" t="e">
        <f t="shared" si="1050"/>
        <v>#N/A</v>
      </c>
      <c r="BL258" s="287" t="e">
        <f t="shared" si="1051"/>
        <v>#N/A</v>
      </c>
      <c r="BM258" s="287" t="e">
        <f t="shared" si="1052"/>
        <v>#N/A</v>
      </c>
    </row>
    <row r="259" spans="1:65" s="102" customFormat="1" ht="15" customHeight="1" outlineLevel="2" thickBot="1" x14ac:dyDescent="0.25">
      <c r="A259" s="320" t="s">
        <v>226</v>
      </c>
      <c r="B259" s="347"/>
      <c r="C259" s="350"/>
      <c r="D259" s="344"/>
      <c r="E259" s="281" t="s">
        <v>88</v>
      </c>
      <c r="F259" s="63"/>
      <c r="G259" s="48"/>
      <c r="H259" s="48"/>
      <c r="I259" s="48"/>
      <c r="J259" s="48"/>
      <c r="K259" s="48"/>
      <c r="L259" s="48"/>
      <c r="M259" s="48"/>
      <c r="N259" s="48"/>
      <c r="O259" s="48"/>
      <c r="P259" s="48"/>
      <c r="Q259" s="51"/>
      <c r="R259" s="63"/>
      <c r="S259" s="48"/>
      <c r="T259" s="48"/>
      <c r="U259" s="48"/>
      <c r="V259" s="48"/>
      <c r="W259" s="48"/>
      <c r="X259" s="48"/>
      <c r="Y259" s="48"/>
      <c r="Z259" s="48"/>
      <c r="AA259" s="48"/>
      <c r="AB259" s="48"/>
      <c r="AC259" s="51"/>
      <c r="AD259" s="263"/>
      <c r="AE259" s="48"/>
      <c r="AF259" s="48"/>
      <c r="AG259" s="48"/>
      <c r="AH259" s="48"/>
      <c r="AI259" s="48"/>
      <c r="AJ259" s="48"/>
      <c r="AK259" s="48"/>
      <c r="AL259" s="48"/>
      <c r="AM259" s="48"/>
      <c r="AN259" s="48"/>
      <c r="AO259" s="51"/>
      <c r="AP259" s="233" t="str">
        <f>IFERROR(IF(SUM(F259:K259)&lt;&gt;0,SUM(F259:K259),""),"")</f>
        <v/>
      </c>
      <c r="AQ259" s="234" t="str">
        <f>IFERROR(IF(SUM(L259:Q259)&lt;&gt;0,SUM(L259:Q259),""),"")</f>
        <v/>
      </c>
      <c r="AR259" s="233" t="str">
        <f>IFERROR(IF(SUM(R259:W259)&lt;&gt;0,SUM(R259:W259),""),"")</f>
        <v/>
      </c>
      <c r="AS259" s="234" t="str">
        <f>IFERROR(IF(SUM(X259:AC259)&lt;&gt;0,SUM(X259:AC259),""),"")</f>
        <v/>
      </c>
      <c r="AT259" s="233" t="str">
        <f>IFERROR(IF(SUM(AD259:AI259)&lt;&gt;0,SUM(AD259:AI259),""),"")</f>
        <v/>
      </c>
      <c r="AU259" s="234" t="str">
        <f>IFERROR(IF(SUM(AJ259:AO259)&lt;&gt;0,SUM(AJ259:AO259),""),"")</f>
        <v/>
      </c>
      <c r="AV259" s="75"/>
      <c r="AW259" s="76"/>
      <c r="AX259" s="75"/>
      <c r="AY259" s="76"/>
      <c r="AZ259" s="75"/>
      <c r="BA259" s="76"/>
      <c r="BB259" s="75"/>
      <c r="BC259" s="76"/>
      <c r="BD259" s="75"/>
      <c r="BE259" s="268"/>
      <c r="BF259" s="271" t="e">
        <f t="shared" si="1045"/>
        <v>#N/A</v>
      </c>
      <c r="BG259" s="271" t="e">
        <f t="shared" si="1046"/>
        <v>#N/A</v>
      </c>
      <c r="BH259" s="271" t="e">
        <f t="shared" si="1047"/>
        <v>#N/A</v>
      </c>
      <c r="BI259" s="271" t="e">
        <f t="shared" si="1048"/>
        <v>#N/A</v>
      </c>
      <c r="BJ259" s="271" t="e">
        <f t="shared" si="1049"/>
        <v>#N/A</v>
      </c>
      <c r="BK259" s="271" t="e">
        <f t="shared" si="1050"/>
        <v>#N/A</v>
      </c>
      <c r="BL259" s="271" t="e">
        <f t="shared" si="1051"/>
        <v>#N/A</v>
      </c>
      <c r="BM259" s="271" t="e">
        <f t="shared" si="1052"/>
        <v>#N/A</v>
      </c>
    </row>
    <row r="260" spans="1:65" s="102" customFormat="1" ht="14.25" customHeight="1" outlineLevel="2" x14ac:dyDescent="0.2">
      <c r="A260" s="320" t="s">
        <v>226</v>
      </c>
      <c r="B260" s="347"/>
      <c r="C260" s="350"/>
      <c r="D260" s="344"/>
      <c r="E260" s="279" t="s">
        <v>32</v>
      </c>
      <c r="F260" s="64"/>
      <c r="G260" s="65"/>
      <c r="H260" s="65"/>
      <c r="I260" s="65"/>
      <c r="J260" s="65"/>
      <c r="K260" s="65"/>
      <c r="L260" s="65"/>
      <c r="M260" s="65"/>
      <c r="N260" s="65"/>
      <c r="O260" s="65"/>
      <c r="P260" s="65"/>
      <c r="Q260" s="66"/>
      <c r="R260" s="64"/>
      <c r="S260" s="65"/>
      <c r="T260" s="65"/>
      <c r="U260" s="65"/>
      <c r="V260" s="65"/>
      <c r="W260" s="65"/>
      <c r="X260" s="65"/>
      <c r="Y260" s="65"/>
      <c r="Z260" s="65"/>
      <c r="AA260" s="65"/>
      <c r="AB260" s="65"/>
      <c r="AC260" s="66"/>
      <c r="AD260" s="269"/>
      <c r="AE260" s="65"/>
      <c r="AF260" s="65"/>
      <c r="AG260" s="65"/>
      <c r="AH260" s="65"/>
      <c r="AI260" s="65"/>
      <c r="AJ260" s="65"/>
      <c r="AK260" s="65"/>
      <c r="AL260" s="65"/>
      <c r="AM260" s="65"/>
      <c r="AN260" s="65"/>
      <c r="AO260" s="66"/>
      <c r="AP260" s="32" t="str">
        <f>IFERROR(IF(AVERAGE(F260:K260)&lt;&gt;0,AVERAGE(F260:K260),""),"")</f>
        <v/>
      </c>
      <c r="AQ260" s="235" t="str">
        <f>IFERROR(IF(AVERAGE(L260:Q260)&lt;&gt;0,AVERAGE(L260:Q260),""),"")</f>
        <v/>
      </c>
      <c r="AR260" s="32" t="str">
        <f>IFERROR(IF(AVERAGE(R260:W260)&lt;&gt;0,AVERAGE(R260:W260),""),"")</f>
        <v/>
      </c>
      <c r="AS260" s="235" t="str">
        <f>IFERROR(IF(AVERAGE(X260:AC260)&lt;&gt;0,AVERAGE(X260:AC260),""),"")</f>
        <v/>
      </c>
      <c r="AT260" s="32" t="str">
        <f>IFERROR(IF(AVERAGE(AD260:AI260)&lt;&gt;0,AVERAGE(AD260:AI260),""),"")</f>
        <v/>
      </c>
      <c r="AU260" s="235" t="str">
        <f>IFERROR(IF(AVERAGE(AJ260:AO260)&lt;&gt;0,AVERAGE(AJ260:AO260),""),"")</f>
        <v/>
      </c>
      <c r="AV260" s="77"/>
      <c r="AW260" s="65"/>
      <c r="AX260" s="77"/>
      <c r="AY260" s="65"/>
      <c r="AZ260" s="77"/>
      <c r="BA260" s="65"/>
      <c r="BB260" s="77"/>
      <c r="BC260" s="65"/>
      <c r="BD260" s="77"/>
      <c r="BE260" s="269"/>
      <c r="BF260" s="272" t="str">
        <f>IFERROR(IF(AVERAGE(AP260:AQ260)&lt;&gt;0,AVERAGE(AP260:AQ260),""),"")</f>
        <v/>
      </c>
      <c r="BG260" s="272" t="str">
        <f>IFERROR(IF(AVERAGE(AR260:AS260)&lt;&gt;0,AVERAGE(AR260:AS260),""),"")</f>
        <v/>
      </c>
      <c r="BH260" s="272" t="str">
        <f>IFERROR(IF(AVERAGE(AT260:AU260)&lt;&gt;0,AVERAGE(AT260:AU260),""),"")</f>
        <v/>
      </c>
      <c r="BI260" s="272" t="str">
        <f>IFERROR(IF(AVERAGE(AV260:AW260)&lt;&gt;0,AVERAGE(AV260:AW260),""),"")</f>
        <v/>
      </c>
      <c r="BJ260" s="272" t="str">
        <f>IFERROR(IF(AVERAGE(AX260:AY260)&lt;&gt;0,AVERAGE(AX260:AY260),""),"")</f>
        <v/>
      </c>
      <c r="BK260" s="272" t="str">
        <f>IFERROR(IF(AVERAGE(AZ260:BA260)&lt;&gt;0,AVERAGE(AZ260:BA260),""),"")</f>
        <v/>
      </c>
      <c r="BL260" s="272" t="str">
        <f>IFERROR(IF(AVERAGE(BB260:BC260)&lt;&gt;0,AVERAGE(BB260:BC260),""),"")</f>
        <v/>
      </c>
      <c r="BM260" s="272" t="str">
        <f>IFERROR(IF(AVERAGE(BD260:BE260)&lt;&gt;0,AVERAGE(BD260:BE260),""),"")</f>
        <v/>
      </c>
    </row>
    <row r="261" spans="1:65" s="102" customFormat="1" ht="15" customHeight="1" outlineLevel="2" thickBot="1" x14ac:dyDescent="0.25">
      <c r="A261" s="320" t="s">
        <v>226</v>
      </c>
      <c r="B261" s="347"/>
      <c r="C261" s="350"/>
      <c r="D261" s="344"/>
      <c r="E261" s="281" t="s">
        <v>2</v>
      </c>
      <c r="F261" s="67"/>
      <c r="G261" s="68"/>
      <c r="H261" s="68"/>
      <c r="I261" s="68"/>
      <c r="J261" s="68"/>
      <c r="K261" s="68"/>
      <c r="L261" s="68"/>
      <c r="M261" s="68"/>
      <c r="N261" s="68"/>
      <c r="O261" s="68"/>
      <c r="P261" s="68"/>
      <c r="Q261" s="69"/>
      <c r="R261" s="67"/>
      <c r="S261" s="68"/>
      <c r="T261" s="68"/>
      <c r="U261" s="68"/>
      <c r="V261" s="68"/>
      <c r="W261" s="68"/>
      <c r="X261" s="68"/>
      <c r="Y261" s="68"/>
      <c r="Z261" s="68"/>
      <c r="AA261" s="68"/>
      <c r="AB261" s="68"/>
      <c r="AC261" s="69"/>
      <c r="AD261" s="270"/>
      <c r="AE261" s="68"/>
      <c r="AF261" s="68"/>
      <c r="AG261" s="68"/>
      <c r="AH261" s="68"/>
      <c r="AI261" s="68"/>
      <c r="AJ261" s="68"/>
      <c r="AK261" s="68"/>
      <c r="AL261" s="68"/>
      <c r="AM261" s="68"/>
      <c r="AN261" s="68"/>
      <c r="AO261" s="69"/>
      <c r="AP261" s="236" t="str">
        <f>IFERROR(IF(AVERAGE(F261:K261)&lt;&gt;0,AVERAGE(F261:K261),""),"")</f>
        <v/>
      </c>
      <c r="AQ261" s="237" t="str">
        <f>IFERROR(IF(AVERAGE(L261:Q261)&lt;&gt;0,AVERAGE(L261:Q261),""),"")</f>
        <v/>
      </c>
      <c r="AR261" s="236" t="str">
        <f>IFERROR(IF(AVERAGE(R261:W261)&lt;&gt;0,AVERAGE(R261:W261),""),"")</f>
        <v/>
      </c>
      <c r="AS261" s="237" t="str">
        <f>IFERROR(IF(AVERAGE(X261:AC261)&lt;&gt;0,AVERAGE(X261:AC261),""),"")</f>
        <v/>
      </c>
      <c r="AT261" s="236" t="str">
        <f>IFERROR(IF(AVERAGE(AD261:AI261)&lt;&gt;0,AVERAGE(AD261:AI261),""),"")</f>
        <v/>
      </c>
      <c r="AU261" s="237" t="str">
        <f>IFERROR(IF(AVERAGE(AJ261:AO261)&lt;&gt;0,AVERAGE(AJ261:AO261),""),"")</f>
        <v/>
      </c>
      <c r="AV261" s="78"/>
      <c r="AW261" s="68"/>
      <c r="AX261" s="78"/>
      <c r="AY261" s="68"/>
      <c r="AZ261" s="78"/>
      <c r="BA261" s="68"/>
      <c r="BB261" s="78"/>
      <c r="BC261" s="68"/>
      <c r="BD261" s="78"/>
      <c r="BE261" s="270"/>
      <c r="BF261" s="288" t="str">
        <f>IFERROR(IF(AVERAGE(AP261:AQ261)&lt;&gt;0,AVERAGE(AP261:AQ261),""),"")</f>
        <v/>
      </c>
      <c r="BG261" s="288" t="str">
        <f>IFERROR(IF(AVERAGE(AR261:AS261)&lt;&gt;0,AVERAGE(AR261:AS261),""),"")</f>
        <v/>
      </c>
      <c r="BH261" s="288" t="str">
        <f>IFERROR(IF(AVERAGE(AT261:AU261)&lt;&gt;0,AVERAGE(AT261:AU261),""),"")</f>
        <v/>
      </c>
      <c r="BI261" s="288" t="str">
        <f>IFERROR(IF(AVERAGE(AV261:AW261)&lt;&gt;0,AVERAGE(AV261:AW261),""),"")</f>
        <v/>
      </c>
      <c r="BJ261" s="288" t="str">
        <f>IFERROR(IF(AVERAGE(AX261:AY261)&lt;&gt;0,AVERAGE(AX261:AY261),""),"")</f>
        <v/>
      </c>
      <c r="BK261" s="288" t="str">
        <f>IFERROR(IF(AVERAGE(AZ261:BA261)&lt;&gt;0,AVERAGE(AZ261:BA261),""),"")</f>
        <v/>
      </c>
      <c r="BL261" s="288" t="str">
        <f>IFERROR(IF(AVERAGE(BB261:BC261)&lt;&gt;0,AVERAGE(BB261:BC261),""),"")</f>
        <v/>
      </c>
      <c r="BM261" s="288" t="str">
        <f>IFERROR(IF(AVERAGE(BD261:BE261)&lt;&gt;0,AVERAGE(BD261:BE261),""),"")</f>
        <v/>
      </c>
    </row>
    <row r="262" spans="1:65" s="102" customFormat="1" ht="14.25" customHeight="1" outlineLevel="1" x14ac:dyDescent="0.2">
      <c r="A262" s="320" t="s">
        <v>226</v>
      </c>
      <c r="B262" s="347"/>
      <c r="C262" s="350"/>
      <c r="D262" s="344"/>
      <c r="E262" s="282" t="s">
        <v>228</v>
      </c>
      <c r="F262" s="283" t="str">
        <f ca="1">IF(IFERROR((F$11*(F254-SUM(F256:F259)/F$11)*F261*3600)/(F260),"")&gt;0,IFERROR((F$11*(F254-SUM(F256:F259)/F$11)*F261*3600)/(F260),""),"")</f>
        <v/>
      </c>
      <c r="G262" s="284" t="str">
        <f t="shared" ref="G262:AO262" ca="1" si="1053">IF(IFERROR((G$11*(G254-SUM(G256:G259)/G$11)*G261*3600)/(G260),"")&gt;0,IFERROR((G$11*(G254-SUM(G256:G259)/G$11)*G261*3600)/(G260),""),"")</f>
        <v/>
      </c>
      <c r="H262" s="284" t="str">
        <f t="shared" ca="1" si="1053"/>
        <v/>
      </c>
      <c r="I262" s="284" t="str">
        <f t="shared" ca="1" si="1053"/>
        <v/>
      </c>
      <c r="J262" s="284" t="str">
        <f t="shared" ca="1" si="1053"/>
        <v/>
      </c>
      <c r="K262" s="284" t="str">
        <f t="shared" ca="1" si="1053"/>
        <v/>
      </c>
      <c r="L262" s="284" t="str">
        <f t="shared" ca="1" si="1053"/>
        <v/>
      </c>
      <c r="M262" s="284" t="str">
        <f t="shared" ca="1" si="1053"/>
        <v/>
      </c>
      <c r="N262" s="284" t="str">
        <f t="shared" ca="1" si="1053"/>
        <v/>
      </c>
      <c r="O262" s="284" t="str">
        <f t="shared" ca="1" si="1053"/>
        <v/>
      </c>
      <c r="P262" s="284" t="str">
        <f t="shared" ca="1" si="1053"/>
        <v/>
      </c>
      <c r="Q262" s="284" t="str">
        <f t="shared" ca="1" si="1053"/>
        <v/>
      </c>
      <c r="R262" s="283" t="str">
        <f t="shared" ca="1" si="1053"/>
        <v/>
      </c>
      <c r="S262" s="284" t="str">
        <f t="shared" ca="1" si="1053"/>
        <v/>
      </c>
      <c r="T262" s="284" t="str">
        <f t="shared" ca="1" si="1053"/>
        <v/>
      </c>
      <c r="U262" s="284" t="str">
        <f t="shared" ca="1" si="1053"/>
        <v/>
      </c>
      <c r="V262" s="284" t="str">
        <f t="shared" ca="1" si="1053"/>
        <v/>
      </c>
      <c r="W262" s="284" t="str">
        <f t="shared" ca="1" si="1053"/>
        <v/>
      </c>
      <c r="X262" s="284" t="str">
        <f t="shared" ca="1" si="1053"/>
        <v/>
      </c>
      <c r="Y262" s="284" t="str">
        <f t="shared" ca="1" si="1053"/>
        <v/>
      </c>
      <c r="Z262" s="284" t="str">
        <f t="shared" ca="1" si="1053"/>
        <v/>
      </c>
      <c r="AA262" s="284" t="str">
        <f t="shared" ca="1" si="1053"/>
        <v/>
      </c>
      <c r="AB262" s="284" t="str">
        <f t="shared" ca="1" si="1053"/>
        <v/>
      </c>
      <c r="AC262" s="284" t="str">
        <f t="shared" ca="1" si="1053"/>
        <v/>
      </c>
      <c r="AD262" s="283" t="str">
        <f t="shared" ca="1" si="1053"/>
        <v/>
      </c>
      <c r="AE262" s="284" t="str">
        <f t="shared" ca="1" si="1053"/>
        <v/>
      </c>
      <c r="AF262" s="284" t="str">
        <f t="shared" ca="1" si="1053"/>
        <v/>
      </c>
      <c r="AG262" s="284" t="str">
        <f t="shared" ca="1" si="1053"/>
        <v/>
      </c>
      <c r="AH262" s="284" t="str">
        <f t="shared" ca="1" si="1053"/>
        <v/>
      </c>
      <c r="AI262" s="284" t="str">
        <f t="shared" ca="1" si="1053"/>
        <v/>
      </c>
      <c r="AJ262" s="284" t="str">
        <f t="shared" ca="1" si="1053"/>
        <v/>
      </c>
      <c r="AK262" s="284" t="str">
        <f t="shared" ca="1" si="1053"/>
        <v/>
      </c>
      <c r="AL262" s="284" t="str">
        <f t="shared" ca="1" si="1053"/>
        <v/>
      </c>
      <c r="AM262" s="284" t="str">
        <f t="shared" ca="1" si="1053"/>
        <v/>
      </c>
      <c r="AN262" s="284" t="str">
        <f t="shared" ca="1" si="1053"/>
        <v/>
      </c>
      <c r="AO262" s="284" t="str">
        <f t="shared" ca="1" si="1053"/>
        <v/>
      </c>
      <c r="AP262" s="283" t="e">
        <f t="shared" ref="AP262:AP263" ca="1" si="1054">IF(SUM(F262:K262)&lt;&gt;0,SUM(F262:K262),#N/A)</f>
        <v>#N/A</v>
      </c>
      <c r="AQ262" s="284" t="e">
        <f t="shared" ref="AQ262:AQ263" ca="1" si="1055">IF(SUM(L262:Q262)&lt;&gt;0,SUM(L262:Q262),#N/A)</f>
        <v>#N/A</v>
      </c>
      <c r="AR262" s="283" t="e">
        <f t="shared" ref="AR262:AR263" ca="1" si="1056">IF(SUM(R262:W262)&lt;&gt;0,SUM(R262:W262),#N/A)</f>
        <v>#N/A</v>
      </c>
      <c r="AS262" s="284" t="e">
        <f t="shared" ref="AS262:AS263" ca="1" si="1057">IF(SUM(X262:AC262)&lt;&gt;0,SUM(X262:AC262),#N/A)</f>
        <v>#N/A</v>
      </c>
      <c r="AT262" s="283" t="e">
        <f t="shared" ref="AT262:AT263" ca="1" si="1058">IF(SUM(AD262:AI262)&lt;&gt;0,SUM(AD262:AI262),#N/A)</f>
        <v>#N/A</v>
      </c>
      <c r="AU262" s="284" t="e">
        <f t="shared" ref="AU262:AU263" ca="1" si="1059">IF(SUM(AJ262:AO262)&lt;&gt;0,SUM(AJ262:AO262),#N/A)</f>
        <v>#N/A</v>
      </c>
      <c r="AV262" s="283" t="str">
        <f ca="1">IF(IFERROR((AV$11*(AV254-SUM(AV256:AV259)/AV$11)*AV261*3600)/(AV260),"")&lt;&gt;0,IFERROR((AV$11*(AV254-SUM(AV256:AV259)/AV$11)*AV261*3600)/(AV260),""),"")</f>
        <v/>
      </c>
      <c r="AW262" s="284" t="str">
        <f t="shared" ref="AW262:BE262" ca="1" si="1060">IF(IFERROR((AW$11*(AW254-SUM(AW256:AW259)/AW$11)*AW261*3600)/(AW260),"")&lt;&gt;0,IFERROR((AW$11*(AW254-SUM(AW256:AW259)/AW$11)*AW261*3600)/(AW260),""),"")</f>
        <v/>
      </c>
      <c r="AX262" s="283" t="str">
        <f t="shared" ca="1" si="1060"/>
        <v/>
      </c>
      <c r="AY262" s="284" t="str">
        <f t="shared" ca="1" si="1060"/>
        <v/>
      </c>
      <c r="AZ262" s="283" t="str">
        <f t="shared" ca="1" si="1060"/>
        <v/>
      </c>
      <c r="BA262" s="284" t="str">
        <f t="shared" ca="1" si="1060"/>
        <v/>
      </c>
      <c r="BB262" s="283" t="str">
        <f t="shared" ca="1" si="1060"/>
        <v/>
      </c>
      <c r="BC262" s="284" t="str">
        <f t="shared" ca="1" si="1060"/>
        <v/>
      </c>
      <c r="BD262" s="283" t="str">
        <f t="shared" ca="1" si="1060"/>
        <v/>
      </c>
      <c r="BE262" s="285" t="str">
        <f t="shared" ca="1" si="1060"/>
        <v/>
      </c>
      <c r="BF262" s="285" t="e">
        <f t="shared" ref="BF262:BF264" ca="1" si="1061">IF(SUM(AP262,AQ262)&lt;&gt;0,SUM(AP262,AQ262),#N/A)</f>
        <v>#N/A</v>
      </c>
      <c r="BG262" s="285" t="e">
        <f t="shared" ref="BG262:BG264" ca="1" si="1062">IF(SUM(AR262,AS262)&lt;&gt;0,SUM(AR262,AS262),#N/A)</f>
        <v>#N/A</v>
      </c>
      <c r="BH262" s="285" t="e">
        <f t="shared" ref="BH262:BH264" ca="1" si="1063">IF(SUM(AT262,AU262)&lt;&gt;0,SUM(AT262,AU262),#N/A)</f>
        <v>#N/A</v>
      </c>
      <c r="BI262" s="285" t="e">
        <f t="shared" ref="BI262:BI264" ca="1" si="1064">IF(SUM(AV262,AW262)&lt;&gt;0,SUM(AV262,AW262),#N/A)</f>
        <v>#N/A</v>
      </c>
      <c r="BJ262" s="285" t="e">
        <f t="shared" ref="BJ262:BJ264" ca="1" si="1065">IF(SUM(AX262,AY262)&lt;&gt;0,SUM(AX262,AY262),#N/A)</f>
        <v>#N/A</v>
      </c>
      <c r="BK262" s="285" t="e">
        <f t="shared" ref="BK262:BK264" ca="1" si="1066">IF(SUM(AZ262,BA262)&lt;&gt;0,SUM(AZ262,BA262),#N/A)</f>
        <v>#N/A</v>
      </c>
      <c r="BL262" s="285" t="e">
        <f t="shared" ref="BL262:BL264" ca="1" si="1067">IF(SUM(BB262,BC262)&lt;&gt;0,SUM(BB262,BC262),#N/A)</f>
        <v>#N/A</v>
      </c>
      <c r="BM262" s="285" t="e">
        <f t="shared" ref="BM262:BM264" ca="1" si="1068">IF(SUM(BD262,BE262)&lt;&gt;0,SUM(BD262,BE262),#N/A)</f>
        <v>#N/A</v>
      </c>
    </row>
    <row r="263" spans="1:65" s="102" customFormat="1" ht="15" customHeight="1" outlineLevel="1" thickBot="1" x14ac:dyDescent="0.25">
      <c r="A263" s="320" t="s">
        <v>226</v>
      </c>
      <c r="B263" s="348"/>
      <c r="C263" s="351"/>
      <c r="D263" s="345"/>
      <c r="E263" s="104" t="s">
        <v>225</v>
      </c>
      <c r="F263" s="317" t="str">
        <f ca="1">IFERROR(F262+((F253*F255*F261*3600)/(F260)),"")</f>
        <v/>
      </c>
      <c r="G263" s="318" t="str">
        <f t="shared" ref="G263:AO263" ca="1" si="1069">IFERROR(G262+((G253*G255*G261*3600)/(G260)),"")</f>
        <v/>
      </c>
      <c r="H263" s="318" t="str">
        <f t="shared" ca="1" si="1069"/>
        <v/>
      </c>
      <c r="I263" s="318" t="str">
        <f t="shared" ca="1" si="1069"/>
        <v/>
      </c>
      <c r="J263" s="318" t="str">
        <f t="shared" ca="1" si="1069"/>
        <v/>
      </c>
      <c r="K263" s="318" t="str">
        <f t="shared" ca="1" si="1069"/>
        <v/>
      </c>
      <c r="L263" s="318" t="str">
        <f t="shared" ca="1" si="1069"/>
        <v/>
      </c>
      <c r="M263" s="318" t="str">
        <f t="shared" ca="1" si="1069"/>
        <v/>
      </c>
      <c r="N263" s="318" t="str">
        <f t="shared" ca="1" si="1069"/>
        <v/>
      </c>
      <c r="O263" s="318" t="str">
        <f t="shared" ca="1" si="1069"/>
        <v/>
      </c>
      <c r="P263" s="318" t="str">
        <f t="shared" ca="1" si="1069"/>
        <v/>
      </c>
      <c r="Q263" s="318" t="str">
        <f t="shared" ca="1" si="1069"/>
        <v/>
      </c>
      <c r="R263" s="317" t="str">
        <f t="shared" ca="1" si="1069"/>
        <v/>
      </c>
      <c r="S263" s="318" t="str">
        <f t="shared" ca="1" si="1069"/>
        <v/>
      </c>
      <c r="T263" s="318" t="str">
        <f t="shared" ca="1" si="1069"/>
        <v/>
      </c>
      <c r="U263" s="318" t="str">
        <f t="shared" ca="1" si="1069"/>
        <v/>
      </c>
      <c r="V263" s="318" t="str">
        <f t="shared" ca="1" si="1069"/>
        <v/>
      </c>
      <c r="W263" s="318" t="str">
        <f t="shared" ca="1" si="1069"/>
        <v/>
      </c>
      <c r="X263" s="318" t="str">
        <f t="shared" ca="1" si="1069"/>
        <v/>
      </c>
      <c r="Y263" s="318" t="str">
        <f t="shared" ca="1" si="1069"/>
        <v/>
      </c>
      <c r="Z263" s="318" t="str">
        <f t="shared" ca="1" si="1069"/>
        <v/>
      </c>
      <c r="AA263" s="318" t="str">
        <f t="shared" ca="1" si="1069"/>
        <v/>
      </c>
      <c r="AB263" s="318" t="str">
        <f t="shared" ca="1" si="1069"/>
        <v/>
      </c>
      <c r="AC263" s="318" t="str">
        <f t="shared" ca="1" si="1069"/>
        <v/>
      </c>
      <c r="AD263" s="317" t="str">
        <f t="shared" ca="1" si="1069"/>
        <v/>
      </c>
      <c r="AE263" s="318" t="str">
        <f t="shared" ca="1" si="1069"/>
        <v/>
      </c>
      <c r="AF263" s="318" t="str">
        <f t="shared" ca="1" si="1069"/>
        <v/>
      </c>
      <c r="AG263" s="318" t="str">
        <f t="shared" ca="1" si="1069"/>
        <v/>
      </c>
      <c r="AH263" s="318" t="str">
        <f t="shared" ca="1" si="1069"/>
        <v/>
      </c>
      <c r="AI263" s="318" t="str">
        <f t="shared" ca="1" si="1069"/>
        <v/>
      </c>
      <c r="AJ263" s="318" t="str">
        <f t="shared" ca="1" si="1069"/>
        <v/>
      </c>
      <c r="AK263" s="318" t="str">
        <f t="shared" ca="1" si="1069"/>
        <v/>
      </c>
      <c r="AL263" s="318" t="str">
        <f t="shared" ca="1" si="1069"/>
        <v/>
      </c>
      <c r="AM263" s="318" t="str">
        <f t="shared" ca="1" si="1069"/>
        <v/>
      </c>
      <c r="AN263" s="318" t="str">
        <f t="shared" ca="1" si="1069"/>
        <v/>
      </c>
      <c r="AO263" s="318" t="str">
        <f t="shared" ca="1" si="1069"/>
        <v/>
      </c>
      <c r="AP263" s="317" t="e">
        <f t="shared" ca="1" si="1054"/>
        <v>#N/A</v>
      </c>
      <c r="AQ263" s="318" t="e">
        <f t="shared" ca="1" si="1055"/>
        <v>#N/A</v>
      </c>
      <c r="AR263" s="317" t="e">
        <f t="shared" ca="1" si="1056"/>
        <v>#N/A</v>
      </c>
      <c r="AS263" s="318" t="e">
        <f t="shared" ca="1" si="1057"/>
        <v>#N/A</v>
      </c>
      <c r="AT263" s="317" t="e">
        <f t="shared" ca="1" si="1058"/>
        <v>#N/A</v>
      </c>
      <c r="AU263" s="318" t="e">
        <f t="shared" ca="1" si="1059"/>
        <v>#N/A</v>
      </c>
      <c r="AV263" s="317" t="str">
        <f t="shared" ref="AV263:BE263" ca="1" si="1070">IFERROR(AV262+((AV253*AV255*AV261*3600)/(AV260)),"")</f>
        <v/>
      </c>
      <c r="AW263" s="318" t="str">
        <f t="shared" ca="1" si="1070"/>
        <v/>
      </c>
      <c r="AX263" s="317" t="str">
        <f t="shared" ca="1" si="1070"/>
        <v/>
      </c>
      <c r="AY263" s="318" t="str">
        <f t="shared" ca="1" si="1070"/>
        <v/>
      </c>
      <c r="AZ263" s="317" t="str">
        <f t="shared" ca="1" si="1070"/>
        <v/>
      </c>
      <c r="BA263" s="318" t="str">
        <f t="shared" ca="1" si="1070"/>
        <v/>
      </c>
      <c r="BB263" s="317" t="str">
        <f t="shared" ca="1" si="1070"/>
        <v/>
      </c>
      <c r="BC263" s="318" t="str">
        <f t="shared" ca="1" si="1070"/>
        <v/>
      </c>
      <c r="BD263" s="317" t="str">
        <f t="shared" ca="1" si="1070"/>
        <v/>
      </c>
      <c r="BE263" s="291" t="str">
        <f t="shared" ca="1" si="1070"/>
        <v/>
      </c>
      <c r="BF263" s="291" t="e">
        <f t="shared" ca="1" si="1061"/>
        <v>#N/A</v>
      </c>
      <c r="BG263" s="291" t="e">
        <f t="shared" ca="1" si="1062"/>
        <v>#N/A</v>
      </c>
      <c r="BH263" s="291" t="e">
        <f t="shared" ca="1" si="1063"/>
        <v>#N/A</v>
      </c>
      <c r="BI263" s="291" t="e">
        <f t="shared" ca="1" si="1064"/>
        <v>#N/A</v>
      </c>
      <c r="BJ263" s="291" t="e">
        <f t="shared" ca="1" si="1065"/>
        <v>#N/A</v>
      </c>
      <c r="BK263" s="291" t="e">
        <f t="shared" ca="1" si="1066"/>
        <v>#N/A</v>
      </c>
      <c r="BL263" s="291" t="e">
        <f t="shared" ca="1" si="1067"/>
        <v>#N/A</v>
      </c>
      <c r="BM263" s="291" t="e">
        <f t="shared" ca="1" si="1068"/>
        <v>#N/A</v>
      </c>
    </row>
    <row r="264" spans="1:65" s="102" customFormat="1" ht="22.5" outlineLevel="2" x14ac:dyDescent="0.2">
      <c r="A264" s="320" t="s">
        <v>226</v>
      </c>
      <c r="B264" s="346"/>
      <c r="C264" s="349" t="str">
        <f t="shared" ref="C264" si="1071">IF(AND($B264&lt;&gt;0,$C$9&lt;&gt;0),$C$9,"")</f>
        <v/>
      </c>
      <c r="D264" s="343"/>
      <c r="E264" s="277" t="s">
        <v>40</v>
      </c>
      <c r="F264" s="33">
        <f t="shared" ref="F264:AO264" ca="1" si="1072">IF(F$11-(SUM(F268:F271)/24)=0,"",F$11-(SUM(F268:F271)/24))</f>
        <v>27</v>
      </c>
      <c r="G264" s="34">
        <f t="shared" ca="1" si="1072"/>
        <v>24</v>
      </c>
      <c r="H264" s="34">
        <f t="shared" ca="1" si="1072"/>
        <v>26</v>
      </c>
      <c r="I264" s="34">
        <f t="shared" ca="1" si="1072"/>
        <v>26</v>
      </c>
      <c r="J264" s="34">
        <f t="shared" ca="1" si="1072"/>
        <v>27</v>
      </c>
      <c r="K264" s="34">
        <f t="shared" ca="1" si="1072"/>
        <v>25</v>
      </c>
      <c r="L264" s="34">
        <f t="shared" ca="1" si="1072"/>
        <v>27</v>
      </c>
      <c r="M264" s="34">
        <f t="shared" ca="1" si="1072"/>
        <v>26</v>
      </c>
      <c r="N264" s="34">
        <f t="shared" ca="1" si="1072"/>
        <v>26</v>
      </c>
      <c r="O264" s="34">
        <f t="shared" ca="1" si="1072"/>
        <v>27</v>
      </c>
      <c r="P264" s="34">
        <f t="shared" ca="1" si="1072"/>
        <v>25</v>
      </c>
      <c r="Q264" s="34">
        <f t="shared" ca="1" si="1072"/>
        <v>27</v>
      </c>
      <c r="R264" s="32">
        <f t="shared" ca="1" si="1072"/>
        <v>27</v>
      </c>
      <c r="S264" s="29">
        <f t="shared" ca="1" si="1072"/>
        <v>24</v>
      </c>
      <c r="T264" s="29">
        <f t="shared" ca="1" si="1072"/>
        <v>26</v>
      </c>
      <c r="U264" s="29">
        <f t="shared" ca="1" si="1072"/>
        <v>26</v>
      </c>
      <c r="V264" s="29">
        <f t="shared" ca="1" si="1072"/>
        <v>26</v>
      </c>
      <c r="W264" s="29">
        <f t="shared" ca="1" si="1072"/>
        <v>26</v>
      </c>
      <c r="X264" s="29">
        <f t="shared" ca="1" si="1072"/>
        <v>27</v>
      </c>
      <c r="Y264" s="29">
        <f t="shared" ca="1" si="1072"/>
        <v>26</v>
      </c>
      <c r="Z264" s="29">
        <f t="shared" ca="1" si="1072"/>
        <v>26</v>
      </c>
      <c r="AA264" s="29">
        <f t="shared" ca="1" si="1072"/>
        <v>27</v>
      </c>
      <c r="AB264" s="29">
        <f t="shared" ca="1" si="1072"/>
        <v>25</v>
      </c>
      <c r="AC264" s="29">
        <f t="shared" ca="1" si="1072"/>
        <v>27</v>
      </c>
      <c r="AD264" s="32">
        <f t="shared" ca="1" si="1072"/>
        <v>26</v>
      </c>
      <c r="AE264" s="29">
        <f t="shared" ca="1" si="1072"/>
        <v>24</v>
      </c>
      <c r="AF264" s="29">
        <f t="shared" ca="1" si="1072"/>
        <v>27</v>
      </c>
      <c r="AG264" s="29">
        <f t="shared" ca="1" si="1072"/>
        <v>26</v>
      </c>
      <c r="AH264" s="29">
        <f t="shared" ca="1" si="1072"/>
        <v>26</v>
      </c>
      <c r="AI264" s="29">
        <f t="shared" ca="1" si="1072"/>
        <v>26</v>
      </c>
      <c r="AJ264" s="29">
        <f t="shared" ca="1" si="1072"/>
        <v>27</v>
      </c>
      <c r="AK264" s="29">
        <f t="shared" ca="1" si="1072"/>
        <v>26</v>
      </c>
      <c r="AL264" s="29">
        <f t="shared" ca="1" si="1072"/>
        <v>26</v>
      </c>
      <c r="AM264" s="29">
        <f t="shared" ca="1" si="1072"/>
        <v>26</v>
      </c>
      <c r="AN264" s="29">
        <f t="shared" ca="1" si="1072"/>
        <v>26</v>
      </c>
      <c r="AO264" s="29">
        <f t="shared" ca="1" si="1072"/>
        <v>27</v>
      </c>
      <c r="AP264" s="32">
        <f ca="1">IF(SUM(F264:K264)&lt;&gt;0,SUM(F264:K264),"")</f>
        <v>155</v>
      </c>
      <c r="AQ264" s="29">
        <f ca="1">IF(SUM(L264:Q264)&lt;&gt;0,SUM(L264:Q264),"")</f>
        <v>158</v>
      </c>
      <c r="AR264" s="32">
        <f ca="1">IF(SUM(R264:W264)&lt;&gt;0,SUM(R264:W264),"")</f>
        <v>155</v>
      </c>
      <c r="AS264" s="29">
        <f ca="1">IF(SUM(X264:AC264)&lt;&gt;0,SUM(X264:AC264),"")</f>
        <v>158</v>
      </c>
      <c r="AT264" s="32">
        <f ca="1">IF(SUM(AD264:AI264)&lt;&gt;0,SUM(AD264:AI264),"")</f>
        <v>155</v>
      </c>
      <c r="AU264" s="296">
        <f ca="1">SUM(AJ264:AO264)</f>
        <v>158</v>
      </c>
      <c r="AV264" s="32">
        <f t="shared" ref="AV264:BE264" ca="1" si="1073">IF(AV$11-(SUM(AV268:AV271)/24)=0,"",AV$11-(SUM(AV268:AV271)/24))</f>
        <v>156</v>
      </c>
      <c r="AW264" s="29">
        <f t="shared" ca="1" si="1073"/>
        <v>157</v>
      </c>
      <c r="AX264" s="32">
        <f t="shared" ca="1" si="1073"/>
        <v>156</v>
      </c>
      <c r="AY264" s="29">
        <f t="shared" ca="1" si="1073"/>
        <v>158</v>
      </c>
      <c r="AZ264" s="32">
        <f t="shared" ca="1" si="1073"/>
        <v>155</v>
      </c>
      <c r="BA264" s="29">
        <f t="shared" ca="1" si="1073"/>
        <v>158</v>
      </c>
      <c r="BB264" s="32">
        <f t="shared" ca="1" si="1073"/>
        <v>155</v>
      </c>
      <c r="BC264" s="29">
        <f t="shared" ca="1" si="1073"/>
        <v>158</v>
      </c>
      <c r="BD264" s="32">
        <f t="shared" ca="1" si="1073"/>
        <v>156</v>
      </c>
      <c r="BE264" s="262">
        <f t="shared" ca="1" si="1073"/>
        <v>158</v>
      </c>
      <c r="BF264" s="286">
        <f t="shared" ca="1" si="1061"/>
        <v>313</v>
      </c>
      <c r="BG264" s="286">
        <f t="shared" ca="1" si="1062"/>
        <v>313</v>
      </c>
      <c r="BH264" s="286">
        <f t="shared" ca="1" si="1063"/>
        <v>313</v>
      </c>
      <c r="BI264" s="286">
        <f t="shared" ca="1" si="1064"/>
        <v>313</v>
      </c>
      <c r="BJ264" s="286">
        <f t="shared" ca="1" si="1065"/>
        <v>314</v>
      </c>
      <c r="BK264" s="286">
        <f t="shared" ca="1" si="1066"/>
        <v>313</v>
      </c>
      <c r="BL264" s="286">
        <f t="shared" ca="1" si="1067"/>
        <v>313</v>
      </c>
      <c r="BM264" s="286">
        <f t="shared" ca="1" si="1068"/>
        <v>314</v>
      </c>
    </row>
    <row r="265" spans="1:65" s="102" customFormat="1" ht="15" customHeight="1" outlineLevel="2" thickBot="1" x14ac:dyDescent="0.25">
      <c r="A265" s="320" t="s">
        <v>226</v>
      </c>
      <c r="B265" s="347"/>
      <c r="C265" s="350"/>
      <c r="D265" s="344"/>
      <c r="E265" s="278" t="s">
        <v>29</v>
      </c>
      <c r="F265" s="47"/>
      <c r="G265" s="48"/>
      <c r="H265" s="48"/>
      <c r="I265" s="48"/>
      <c r="J265" s="48"/>
      <c r="K265" s="48"/>
      <c r="L265" s="48"/>
      <c r="M265" s="48"/>
      <c r="N265" s="48"/>
      <c r="O265" s="48"/>
      <c r="P265" s="48"/>
      <c r="Q265" s="51"/>
      <c r="R265" s="47"/>
      <c r="S265" s="48"/>
      <c r="T265" s="48"/>
      <c r="U265" s="48"/>
      <c r="V265" s="48"/>
      <c r="W265" s="48"/>
      <c r="X265" s="48"/>
      <c r="Y265" s="48"/>
      <c r="Z265" s="48"/>
      <c r="AA265" s="48"/>
      <c r="AB265" s="48"/>
      <c r="AC265" s="51"/>
      <c r="AD265" s="47"/>
      <c r="AE265" s="48"/>
      <c r="AF265" s="48"/>
      <c r="AG265" s="48"/>
      <c r="AH265" s="48"/>
      <c r="AI265" s="48"/>
      <c r="AJ265" s="48"/>
      <c r="AK265" s="48"/>
      <c r="AL265" s="48"/>
      <c r="AM265" s="48"/>
      <c r="AN265" s="48"/>
      <c r="AO265" s="51"/>
      <c r="AP265" s="294" t="str">
        <f>IFERROR(IF(SUM(F265:K265)&lt;&gt;0,SUM(F265:K265),""),"")</f>
        <v/>
      </c>
      <c r="AQ265" s="295" t="str">
        <f>IFERROR(IF(SUM(L265:Q265)&lt;&gt;0,SUM(L265:Q265),""),"")</f>
        <v/>
      </c>
      <c r="AR265" s="294" t="str">
        <f>IFERROR(IF(SUM(R265:W265)&lt;&gt;0,SUM(R265:W265),""),"")</f>
        <v/>
      </c>
      <c r="AS265" s="295" t="str">
        <f>IFERROR(IF(SUM(X265:AC265)&lt;&gt;0,SUM(X265:AC265),""),"")</f>
        <v/>
      </c>
      <c r="AT265" s="294" t="str">
        <f>IFERROR(IF(SUM(AD265:AI265)&lt;&gt;0,SUM(AD265:AI265),""),"")</f>
        <v/>
      </c>
      <c r="AU265" s="295" t="str">
        <f>IFERROR(IF(SUM(AJ265:AO265)&lt;&gt;0,SUM(AJ265:AO265),""),"")</f>
        <v/>
      </c>
      <c r="AV265" s="47"/>
      <c r="AW265" s="51"/>
      <c r="AX265" s="47"/>
      <c r="AY265" s="51"/>
      <c r="AZ265" s="47"/>
      <c r="BA265" s="51"/>
      <c r="BB265" s="47"/>
      <c r="BC265" s="51"/>
      <c r="BD265" s="47"/>
      <c r="BE265" s="263"/>
      <c r="BF265" s="271" t="str">
        <f>IFERROR(IF(AVERAGE(AP265:AQ265)&lt;&gt;0,AVERAGE(AP265:AQ265),""),"")</f>
        <v/>
      </c>
      <c r="BG265" s="271" t="str">
        <f>IFERROR(IF(AVERAGE(AR265:AS265)&lt;&gt;0,AVERAGE(AR265:AS265),""),"")</f>
        <v/>
      </c>
      <c r="BH265" s="271" t="str">
        <f>IFERROR(IF(AVERAGE(AT265:AU265)&lt;&gt;0,AVERAGE(AT265:AU265),""),"")</f>
        <v/>
      </c>
      <c r="BI265" s="271" t="str">
        <f>IFERROR(IF(AVERAGE(AV265:AW265)&lt;&gt;0,AVERAGE(AV265:AW265),""),"")</f>
        <v/>
      </c>
      <c r="BJ265" s="271" t="str">
        <f>IFERROR(IF(AVERAGE(AX265:AY265)&lt;&gt;0,AVERAGE(AX265:AY265),""),"")</f>
        <v/>
      </c>
      <c r="BK265" s="271" t="str">
        <f>IFERROR(IF(AVERAGE(AZ265:BA265)&lt;&gt;0,AVERAGE(AZ265:BA265),""),"")</f>
        <v/>
      </c>
      <c r="BL265" s="271" t="str">
        <f>IFERROR(IF(AVERAGE(BB265:BC265)&lt;&gt;0,AVERAGE(BB265:BC265),""),"")</f>
        <v/>
      </c>
      <c r="BM265" s="271" t="str">
        <f>IFERROR(IF(AVERAGE(BD265:BE265)&lt;&gt;0,AVERAGE(BD265:BE265),""),"")</f>
        <v/>
      </c>
    </row>
    <row r="266" spans="1:65" s="102" customFormat="1" ht="14.25" customHeight="1" outlineLevel="2" x14ac:dyDescent="0.2">
      <c r="A266" s="320" t="s">
        <v>226</v>
      </c>
      <c r="B266" s="347"/>
      <c r="C266" s="350"/>
      <c r="D266" s="344"/>
      <c r="E266" s="279" t="s">
        <v>28</v>
      </c>
      <c r="F266" s="52"/>
      <c r="G266" s="53"/>
      <c r="H266" s="53"/>
      <c r="I266" s="53"/>
      <c r="J266" s="53"/>
      <c r="K266" s="53"/>
      <c r="L266" s="53"/>
      <c r="M266" s="53"/>
      <c r="N266" s="53"/>
      <c r="O266" s="53"/>
      <c r="P266" s="53"/>
      <c r="Q266" s="54"/>
      <c r="R266" s="52"/>
      <c r="S266" s="53"/>
      <c r="T266" s="53"/>
      <c r="U266" s="53"/>
      <c r="V266" s="53"/>
      <c r="W266" s="53"/>
      <c r="X266" s="53"/>
      <c r="Y266" s="53"/>
      <c r="Z266" s="53"/>
      <c r="AA266" s="53"/>
      <c r="AB266" s="53"/>
      <c r="AC266" s="54"/>
      <c r="AD266" s="52"/>
      <c r="AE266" s="53"/>
      <c r="AF266" s="53"/>
      <c r="AG266" s="53"/>
      <c r="AH266" s="53"/>
      <c r="AI266" s="53"/>
      <c r="AJ266" s="53"/>
      <c r="AK266" s="53"/>
      <c r="AL266" s="53"/>
      <c r="AM266" s="53"/>
      <c r="AN266" s="53"/>
      <c r="AO266" s="54"/>
      <c r="AP266" s="225" t="str">
        <f>IFERROR(IF(AVERAGE(F266:K266)&lt;&gt;0,AVERAGE(F266:K266),""),"")</f>
        <v/>
      </c>
      <c r="AQ266" s="226" t="str">
        <f>IFERROR(IF(AVERAGE(L266:Q266)&lt;&gt;0,AVERAGE(L266:Q266),""),"")</f>
        <v/>
      </c>
      <c r="AR266" s="225" t="str">
        <f>IFERROR(IF(AVERAGE(R266:W266)&lt;&gt;0,AVERAGE(R266:W266),""),"")</f>
        <v/>
      </c>
      <c r="AS266" s="226" t="str">
        <f>IFERROR(IF(AVERAGE(X266:AC266)&lt;&gt;0,AVERAGE(X266:AC266),""),"")</f>
        <v/>
      </c>
      <c r="AT266" s="225" t="str">
        <f>IFERROR(IF(AVERAGE(AD266:AI266)&lt;&gt;0,AVERAGE(AD266:AI266),""),"")</f>
        <v/>
      </c>
      <c r="AU266" s="226" t="str">
        <f>IFERROR(IF(AVERAGE(AJ266:AO266)&lt;&gt;0,AVERAGE(AJ266:AO266),""),"")</f>
        <v/>
      </c>
      <c r="AV266" s="70"/>
      <c r="AW266" s="53"/>
      <c r="AX266" s="70"/>
      <c r="AY266" s="53"/>
      <c r="AZ266" s="70"/>
      <c r="BA266" s="53"/>
      <c r="BB266" s="70"/>
      <c r="BC266" s="53"/>
      <c r="BD266" s="70"/>
      <c r="BE266" s="264"/>
      <c r="BF266" s="272" t="str">
        <f>IFERROR(IF(AVERAGE(AP266:AQ266)&lt;&gt;0,AVERAGE(AP266:AQ266),""),"")</f>
        <v/>
      </c>
      <c r="BG266" s="272" t="str">
        <f>IFERROR(IF(AVERAGE(AR266:AS266)&lt;&gt;0,AVERAGE(AR266:AS266),""),"")</f>
        <v/>
      </c>
      <c r="BH266" s="272" t="str">
        <f>IFERROR(IF(AVERAGE(AT266:AU266)&lt;&gt;0,AVERAGE(AT266:AU266),""),"")</f>
        <v/>
      </c>
      <c r="BI266" s="272" t="str">
        <f>IFERROR(IF(AVERAGE(AV266:AW266)&lt;&gt;0,AVERAGE(AV266:AW266),""),"")</f>
        <v/>
      </c>
      <c r="BJ266" s="272" t="str">
        <f>IFERROR(IF(AVERAGE(AX266:AY266)&lt;&gt;0,AVERAGE(AX266:AY266),""),"")</f>
        <v/>
      </c>
      <c r="BK266" s="272" t="str">
        <f>IFERROR(IF(AVERAGE(AZ266:BA266)&lt;&gt;0,AVERAGE(AZ266:BA266),""),"")</f>
        <v/>
      </c>
      <c r="BL266" s="272" t="str">
        <f>IFERROR(IF(AVERAGE(BB266:BC266)&lt;&gt;0,AVERAGE(BB266:BC266),""),"")</f>
        <v/>
      </c>
      <c r="BM266" s="272" t="str">
        <f>IFERROR(IF(AVERAGE(BD266:BE266)&lt;&gt;0,AVERAGE(BD266:BE266),""),"")</f>
        <v/>
      </c>
    </row>
    <row r="267" spans="1:65" s="102" customFormat="1" ht="15" customHeight="1" outlineLevel="2" thickBot="1" x14ac:dyDescent="0.25">
      <c r="A267" s="320" t="s">
        <v>226</v>
      </c>
      <c r="B267" s="347"/>
      <c r="C267" s="350"/>
      <c r="D267" s="344"/>
      <c r="E267" s="278" t="s">
        <v>30</v>
      </c>
      <c r="F267" s="55"/>
      <c r="G267" s="56"/>
      <c r="H267" s="56"/>
      <c r="I267" s="56"/>
      <c r="J267" s="56"/>
      <c r="K267" s="56"/>
      <c r="L267" s="56"/>
      <c r="M267" s="56"/>
      <c r="N267" s="56"/>
      <c r="O267" s="56"/>
      <c r="P267" s="56"/>
      <c r="Q267" s="57"/>
      <c r="R267" s="55"/>
      <c r="S267" s="56"/>
      <c r="T267" s="56"/>
      <c r="U267" s="56"/>
      <c r="V267" s="56"/>
      <c r="W267" s="56"/>
      <c r="X267" s="56"/>
      <c r="Y267" s="56"/>
      <c r="Z267" s="56"/>
      <c r="AA267" s="56"/>
      <c r="AB267" s="56"/>
      <c r="AC267" s="57"/>
      <c r="AD267" s="55"/>
      <c r="AE267" s="56"/>
      <c r="AF267" s="56"/>
      <c r="AG267" s="56"/>
      <c r="AH267" s="56"/>
      <c r="AI267" s="56"/>
      <c r="AJ267" s="56"/>
      <c r="AK267" s="56"/>
      <c r="AL267" s="56"/>
      <c r="AM267" s="56"/>
      <c r="AN267" s="56"/>
      <c r="AO267" s="57"/>
      <c r="AP267" s="227" t="str">
        <f>IFERROR(IF(AVERAGE(F267:K267)&lt;&gt;0,AVERAGE(F267:K267),""),"")</f>
        <v/>
      </c>
      <c r="AQ267" s="228" t="str">
        <f>IFERROR(IF(AVERAGE(L267:Q267)&lt;&gt;0,AVERAGE(L267:Q267),""),"")</f>
        <v/>
      </c>
      <c r="AR267" s="227" t="str">
        <f>IFERROR(IF(AVERAGE(R267:W267)&lt;&gt;0,AVERAGE(R267:W267),""),"")</f>
        <v/>
      </c>
      <c r="AS267" s="228" t="str">
        <f>IFERROR(IF(AVERAGE(X267:AC267)&lt;&gt;0,AVERAGE(X267:AC267),""),"")</f>
        <v/>
      </c>
      <c r="AT267" s="227" t="str">
        <f>IFERROR(IF(AVERAGE(AD267:AI267)&lt;&gt;0,AVERAGE(AD267:AI267),""),"")</f>
        <v/>
      </c>
      <c r="AU267" s="228" t="str">
        <f>IFERROR(IF(AVERAGE(AJ267:AO267)&lt;&gt;0,AVERAGE(AJ267:AO267),""),"")</f>
        <v/>
      </c>
      <c r="AV267" s="71"/>
      <c r="AW267" s="56"/>
      <c r="AX267" s="71"/>
      <c r="AY267" s="56"/>
      <c r="AZ267" s="71"/>
      <c r="BA267" s="56"/>
      <c r="BB267" s="71"/>
      <c r="BC267" s="56"/>
      <c r="BD267" s="71"/>
      <c r="BE267" s="265"/>
      <c r="BF267" s="273" t="str">
        <f>IFERROR(IF(AVERAGE(AP267:AQ267)&lt;&gt;0,AVERAGE(AP267:AQ267),""),"")</f>
        <v/>
      </c>
      <c r="BG267" s="273" t="str">
        <f>IFERROR(IF(AVERAGE(AR267:AS267)&lt;&gt;0,AVERAGE(AR267:AS267),""),"")</f>
        <v/>
      </c>
      <c r="BH267" s="273" t="str">
        <f>IFERROR(IF(AVERAGE(AT267:AU267)&lt;&gt;0,AVERAGE(AT267:AU267),""),"")</f>
        <v/>
      </c>
      <c r="BI267" s="273" t="str">
        <f>IFERROR(IF(AVERAGE(AV267:AW267)&lt;&gt;0,AVERAGE(AV267:AW267),""),"")</f>
        <v/>
      </c>
      <c r="BJ267" s="273" t="str">
        <f>IFERROR(IF(AVERAGE(AX267:AY267)&lt;&gt;0,AVERAGE(AX267:AY267),""),"")</f>
        <v/>
      </c>
      <c r="BK267" s="273" t="str">
        <f>IFERROR(IF(AVERAGE(AZ267:BA267)&lt;&gt;0,AVERAGE(AZ267:BA267),""),"")</f>
        <v/>
      </c>
      <c r="BL267" s="273" t="str">
        <f>IFERROR(IF(AVERAGE(BB267:BC267)&lt;&gt;0,AVERAGE(BB267:BC267),""),"")</f>
        <v/>
      </c>
      <c r="BM267" s="273" t="str">
        <f>IFERROR(IF(AVERAGE(BD267:BE267)&lt;&gt;0,AVERAGE(BD267:BE267),""),"")</f>
        <v/>
      </c>
    </row>
    <row r="268" spans="1:65" s="102" customFormat="1" ht="14.25" customHeight="1" outlineLevel="2" x14ac:dyDescent="0.2">
      <c r="A268" s="320" t="s">
        <v>226</v>
      </c>
      <c r="B268" s="347"/>
      <c r="C268" s="350"/>
      <c r="D268" s="344"/>
      <c r="E268" s="279" t="s">
        <v>25</v>
      </c>
      <c r="F268" s="58"/>
      <c r="G268" s="50"/>
      <c r="H268" s="50"/>
      <c r="I268" s="50"/>
      <c r="J268" s="50"/>
      <c r="K268" s="50"/>
      <c r="L268" s="50"/>
      <c r="M268" s="50"/>
      <c r="N268" s="50"/>
      <c r="O268" s="50"/>
      <c r="P268" s="50"/>
      <c r="Q268" s="59"/>
      <c r="R268" s="58"/>
      <c r="S268" s="50"/>
      <c r="T268" s="50"/>
      <c r="U268" s="50"/>
      <c r="V268" s="50"/>
      <c r="W268" s="50"/>
      <c r="X268" s="50"/>
      <c r="Y268" s="50"/>
      <c r="Z268" s="50"/>
      <c r="AA268" s="50"/>
      <c r="AB268" s="50"/>
      <c r="AC268" s="59"/>
      <c r="AD268" s="58"/>
      <c r="AE268" s="50"/>
      <c r="AF268" s="50"/>
      <c r="AG268" s="50"/>
      <c r="AH268" s="50"/>
      <c r="AI268" s="50"/>
      <c r="AJ268" s="50"/>
      <c r="AK268" s="50"/>
      <c r="AL268" s="50"/>
      <c r="AM268" s="50"/>
      <c r="AN268" s="50"/>
      <c r="AO268" s="59"/>
      <c r="AP268" s="229" t="str">
        <f>IFERROR(IF(SUM(F268:K268)&lt;&gt;0,SUM(F268:K268),""),"")</f>
        <v/>
      </c>
      <c r="AQ268" s="230" t="str">
        <f>IFERROR(IF(SUM(L268:Q268)&lt;&gt;0,SUM(L268:Q268),""),"")</f>
        <v/>
      </c>
      <c r="AR268" s="229" t="str">
        <f>IFERROR(IF(SUM(R268:W268)&lt;&gt;0,SUM(R268:W268),""),"")</f>
        <v/>
      </c>
      <c r="AS268" s="230" t="str">
        <f>IFERROR(IF(SUM(X268:AC268)&lt;&gt;0,SUM(X268:AC268),""),"")</f>
        <v/>
      </c>
      <c r="AT268" s="229" t="str">
        <f>IFERROR(IF(SUM(AD268:AI268)&lt;&gt;0,SUM(AD268:AI268),""),"")</f>
        <v/>
      </c>
      <c r="AU268" s="230" t="str">
        <f>IFERROR(IF(SUM(AJ268:AO268)&lt;&gt;0,SUM(AJ268:AO268),""),"")</f>
        <v/>
      </c>
      <c r="AV268" s="72"/>
      <c r="AW268" s="73"/>
      <c r="AX268" s="72"/>
      <c r="AY268" s="73"/>
      <c r="AZ268" s="72"/>
      <c r="BA268" s="73"/>
      <c r="BB268" s="72"/>
      <c r="BC268" s="73"/>
      <c r="BD268" s="72"/>
      <c r="BE268" s="266"/>
      <c r="BF268" s="286" t="e">
        <f t="shared" ref="BF268:BF271" si="1074">IF(SUM(AP268,AQ268)&lt;&gt;0,SUM(AP268,AQ268),#N/A)</f>
        <v>#N/A</v>
      </c>
      <c r="BG268" s="286" t="e">
        <f t="shared" ref="BG268:BG271" si="1075">IF(SUM(AR268,AS268)&lt;&gt;0,SUM(AR268,AS268),#N/A)</f>
        <v>#N/A</v>
      </c>
      <c r="BH268" s="286" t="e">
        <f t="shared" ref="BH268:BH271" si="1076">IF(SUM(AT268,AU268)&lt;&gt;0,SUM(AT268,AU268),#N/A)</f>
        <v>#N/A</v>
      </c>
      <c r="BI268" s="286" t="e">
        <f t="shared" ref="BI268:BI271" si="1077">IF(SUM(AV268,AW268)&lt;&gt;0,SUM(AV268,AW268),#N/A)</f>
        <v>#N/A</v>
      </c>
      <c r="BJ268" s="286" t="e">
        <f t="shared" ref="BJ268:BJ271" si="1078">IF(SUM(AX268,AY268)&lt;&gt;0,SUM(AX268,AY268),#N/A)</f>
        <v>#N/A</v>
      </c>
      <c r="BK268" s="286" t="e">
        <f t="shared" ref="BK268:BK271" si="1079">IF(SUM(AZ268,BA268)&lt;&gt;0,SUM(AZ268,BA268),#N/A)</f>
        <v>#N/A</v>
      </c>
      <c r="BL268" s="286" t="e">
        <f t="shared" ref="BL268:BL271" si="1080">IF(SUM(BB268,BC268)&lt;&gt;0,SUM(BB268,BC268),#N/A)</f>
        <v>#N/A</v>
      </c>
      <c r="BM268" s="286" t="e">
        <f t="shared" ref="BM268:BM271" si="1081">IF(SUM(BD268,BE268)&lt;&gt;0,SUM(BD268,BE268),#N/A)</f>
        <v>#N/A</v>
      </c>
    </row>
    <row r="269" spans="1:65" s="102" customFormat="1" ht="14.25" customHeight="1" outlineLevel="2" x14ac:dyDescent="0.2">
      <c r="A269" s="320" t="s">
        <v>226</v>
      </c>
      <c r="B269" s="347"/>
      <c r="C269" s="350"/>
      <c r="D269" s="344"/>
      <c r="E269" s="280" t="s">
        <v>26</v>
      </c>
      <c r="F269" s="60"/>
      <c r="G269" s="61"/>
      <c r="H269" s="61"/>
      <c r="I269" s="61"/>
      <c r="J269" s="61"/>
      <c r="K269" s="61"/>
      <c r="L269" s="61"/>
      <c r="M269" s="61"/>
      <c r="N269" s="61"/>
      <c r="O269" s="61"/>
      <c r="P269" s="61"/>
      <c r="Q269" s="62"/>
      <c r="R269" s="60"/>
      <c r="S269" s="61"/>
      <c r="T269" s="61"/>
      <c r="U269" s="61"/>
      <c r="V269" s="61"/>
      <c r="W269" s="61"/>
      <c r="X269" s="61"/>
      <c r="Y269" s="61"/>
      <c r="Z269" s="61"/>
      <c r="AA269" s="61"/>
      <c r="AB269" s="61"/>
      <c r="AC269" s="62"/>
      <c r="AD269" s="60"/>
      <c r="AE269" s="61"/>
      <c r="AF269" s="61"/>
      <c r="AG269" s="61"/>
      <c r="AH269" s="61"/>
      <c r="AI269" s="61"/>
      <c r="AJ269" s="61"/>
      <c r="AK269" s="61"/>
      <c r="AL269" s="61"/>
      <c r="AM269" s="61"/>
      <c r="AN269" s="61"/>
      <c r="AO269" s="62"/>
      <c r="AP269" s="231" t="str">
        <f>IFERROR(IF(SUM(F269:K269)&lt;&gt;0,SUM(F269:K269),""),"")</f>
        <v/>
      </c>
      <c r="AQ269" s="232" t="str">
        <f>IFERROR(IF(SUM(L269:Q269)&lt;&gt;0,SUM(L269:Q269),""),"")</f>
        <v/>
      </c>
      <c r="AR269" s="231" t="str">
        <f>IFERROR(IF(SUM(R269:W269)&lt;&gt;0,SUM(R269:W269),""),"")</f>
        <v/>
      </c>
      <c r="AS269" s="232" t="str">
        <f>IFERROR(IF(SUM(X269:AC269)&lt;&gt;0,SUM(X269:AC269),""),"")</f>
        <v/>
      </c>
      <c r="AT269" s="231" t="str">
        <f>IFERROR(IF(SUM(AD269:AI269)&lt;&gt;0,SUM(AD269:AI269),""),"")</f>
        <v/>
      </c>
      <c r="AU269" s="232" t="str">
        <f>IFERROR(IF(SUM(AJ269:AO269)&lt;&gt;0,SUM(AJ269:AO269),""),"")</f>
        <v/>
      </c>
      <c r="AV269" s="74"/>
      <c r="AW269" s="61"/>
      <c r="AX269" s="74"/>
      <c r="AY269" s="61"/>
      <c r="AZ269" s="74"/>
      <c r="BA269" s="61"/>
      <c r="BB269" s="74"/>
      <c r="BC269" s="61"/>
      <c r="BD269" s="74"/>
      <c r="BE269" s="267"/>
      <c r="BF269" s="287" t="e">
        <f t="shared" si="1074"/>
        <v>#N/A</v>
      </c>
      <c r="BG269" s="287" t="e">
        <f t="shared" si="1075"/>
        <v>#N/A</v>
      </c>
      <c r="BH269" s="287" t="e">
        <f t="shared" si="1076"/>
        <v>#N/A</v>
      </c>
      <c r="BI269" s="287" t="e">
        <f t="shared" si="1077"/>
        <v>#N/A</v>
      </c>
      <c r="BJ269" s="287" t="e">
        <f t="shared" si="1078"/>
        <v>#N/A</v>
      </c>
      <c r="BK269" s="287" t="e">
        <f t="shared" si="1079"/>
        <v>#N/A</v>
      </c>
      <c r="BL269" s="287" t="e">
        <f t="shared" si="1080"/>
        <v>#N/A</v>
      </c>
      <c r="BM269" s="287" t="e">
        <f t="shared" si="1081"/>
        <v>#N/A</v>
      </c>
    </row>
    <row r="270" spans="1:65" s="102" customFormat="1" ht="14.25" customHeight="1" outlineLevel="2" x14ac:dyDescent="0.2">
      <c r="A270" s="320" t="s">
        <v>226</v>
      </c>
      <c r="B270" s="347"/>
      <c r="C270" s="350"/>
      <c r="D270" s="344"/>
      <c r="E270" s="280" t="s">
        <v>27</v>
      </c>
      <c r="F270" s="60"/>
      <c r="G270" s="61"/>
      <c r="H270" s="61"/>
      <c r="I270" s="61"/>
      <c r="J270" s="61"/>
      <c r="K270" s="61"/>
      <c r="L270" s="61"/>
      <c r="M270" s="61"/>
      <c r="N270" s="61"/>
      <c r="O270" s="61"/>
      <c r="P270" s="61"/>
      <c r="Q270" s="62"/>
      <c r="R270" s="60"/>
      <c r="S270" s="61"/>
      <c r="T270" s="61"/>
      <c r="U270" s="61"/>
      <c r="V270" s="61"/>
      <c r="W270" s="61"/>
      <c r="X270" s="61"/>
      <c r="Y270" s="61"/>
      <c r="Z270" s="61"/>
      <c r="AA270" s="61"/>
      <c r="AB270" s="61"/>
      <c r="AC270" s="62"/>
      <c r="AD270" s="60"/>
      <c r="AE270" s="61"/>
      <c r="AF270" s="61"/>
      <c r="AG270" s="61"/>
      <c r="AH270" s="61"/>
      <c r="AI270" s="61"/>
      <c r="AJ270" s="61"/>
      <c r="AK270" s="61"/>
      <c r="AL270" s="61"/>
      <c r="AM270" s="61"/>
      <c r="AN270" s="61"/>
      <c r="AO270" s="62"/>
      <c r="AP270" s="231" t="str">
        <f>IFERROR(IF(SUM(F270:K270)&lt;&gt;0,SUM(F270:K270),""),"")</f>
        <v/>
      </c>
      <c r="AQ270" s="232" t="str">
        <f>IFERROR(IF(SUM(L270:Q270)&lt;&gt;0,SUM(L270:Q270),""),"")</f>
        <v/>
      </c>
      <c r="AR270" s="231" t="str">
        <f>IFERROR(IF(SUM(R270:W270)&lt;&gt;0,SUM(R270:W270),""),"")</f>
        <v/>
      </c>
      <c r="AS270" s="232" t="str">
        <f>IFERROR(IF(SUM(X270:AC270)&lt;&gt;0,SUM(X270:AC270),""),"")</f>
        <v/>
      </c>
      <c r="AT270" s="231" t="str">
        <f>IFERROR(IF(SUM(AD270:AI270)&lt;&gt;0,SUM(AD270:AI270),""),"")</f>
        <v/>
      </c>
      <c r="AU270" s="232" t="str">
        <f>IFERROR(IF(SUM(AJ270:AO270)&lt;&gt;0,SUM(AJ270:AO270),""),"")</f>
        <v/>
      </c>
      <c r="AV270" s="74"/>
      <c r="AW270" s="61"/>
      <c r="AX270" s="74"/>
      <c r="AY270" s="61"/>
      <c r="AZ270" s="74"/>
      <c r="BA270" s="61"/>
      <c r="BB270" s="74"/>
      <c r="BC270" s="61"/>
      <c r="BD270" s="74"/>
      <c r="BE270" s="267"/>
      <c r="BF270" s="287" t="e">
        <f t="shared" si="1074"/>
        <v>#N/A</v>
      </c>
      <c r="BG270" s="287" t="e">
        <f t="shared" si="1075"/>
        <v>#N/A</v>
      </c>
      <c r="BH270" s="287" t="e">
        <f t="shared" si="1076"/>
        <v>#N/A</v>
      </c>
      <c r="BI270" s="287" t="e">
        <f t="shared" si="1077"/>
        <v>#N/A</v>
      </c>
      <c r="BJ270" s="287" t="e">
        <f t="shared" si="1078"/>
        <v>#N/A</v>
      </c>
      <c r="BK270" s="287" t="e">
        <f t="shared" si="1079"/>
        <v>#N/A</v>
      </c>
      <c r="BL270" s="287" t="e">
        <f t="shared" si="1080"/>
        <v>#N/A</v>
      </c>
      <c r="BM270" s="287" t="e">
        <f t="shared" si="1081"/>
        <v>#N/A</v>
      </c>
    </row>
    <row r="271" spans="1:65" s="102" customFormat="1" ht="15" customHeight="1" outlineLevel="2" thickBot="1" x14ac:dyDescent="0.25">
      <c r="A271" s="320" t="s">
        <v>226</v>
      </c>
      <c r="B271" s="347"/>
      <c r="C271" s="350"/>
      <c r="D271" s="344"/>
      <c r="E271" s="281" t="s">
        <v>88</v>
      </c>
      <c r="F271" s="63"/>
      <c r="G271" s="48"/>
      <c r="H271" s="48"/>
      <c r="I271" s="48"/>
      <c r="J271" s="48"/>
      <c r="K271" s="48"/>
      <c r="L271" s="48"/>
      <c r="M271" s="48"/>
      <c r="N271" s="48"/>
      <c r="O271" s="48"/>
      <c r="P271" s="48"/>
      <c r="Q271" s="51"/>
      <c r="R271" s="63"/>
      <c r="S271" s="48"/>
      <c r="T271" s="48"/>
      <c r="U271" s="48"/>
      <c r="V271" s="48"/>
      <c r="W271" s="48"/>
      <c r="X271" s="48"/>
      <c r="Y271" s="48"/>
      <c r="Z271" s="48"/>
      <c r="AA271" s="48"/>
      <c r="AB271" s="48"/>
      <c r="AC271" s="51"/>
      <c r="AD271" s="63"/>
      <c r="AE271" s="48"/>
      <c r="AF271" s="48"/>
      <c r="AG271" s="48"/>
      <c r="AH271" s="48"/>
      <c r="AI271" s="48"/>
      <c r="AJ271" s="48"/>
      <c r="AK271" s="48"/>
      <c r="AL271" s="48"/>
      <c r="AM271" s="48"/>
      <c r="AN271" s="48"/>
      <c r="AO271" s="51"/>
      <c r="AP271" s="233" t="str">
        <f>IFERROR(IF(SUM(F271:K271)&lt;&gt;0,SUM(F271:K271),""),"")</f>
        <v/>
      </c>
      <c r="AQ271" s="234" t="str">
        <f>IFERROR(IF(SUM(L271:Q271)&lt;&gt;0,SUM(L271:Q271),""),"")</f>
        <v/>
      </c>
      <c r="AR271" s="233" t="str">
        <f>IFERROR(IF(SUM(R271:W271)&lt;&gt;0,SUM(R271:W271),""),"")</f>
        <v/>
      </c>
      <c r="AS271" s="234" t="str">
        <f>IFERROR(IF(SUM(X271:AC271)&lt;&gt;0,SUM(X271:AC271),""),"")</f>
        <v/>
      </c>
      <c r="AT271" s="233" t="str">
        <f>IFERROR(IF(SUM(AD271:AI271)&lt;&gt;0,SUM(AD271:AI271),""),"")</f>
        <v/>
      </c>
      <c r="AU271" s="234" t="str">
        <f>IFERROR(IF(SUM(AJ271:AO271)&lt;&gt;0,SUM(AJ271:AO271),""),"")</f>
        <v/>
      </c>
      <c r="AV271" s="75"/>
      <c r="AW271" s="76"/>
      <c r="AX271" s="75"/>
      <c r="AY271" s="76"/>
      <c r="AZ271" s="75"/>
      <c r="BA271" s="76"/>
      <c r="BB271" s="75"/>
      <c r="BC271" s="76"/>
      <c r="BD271" s="75"/>
      <c r="BE271" s="268"/>
      <c r="BF271" s="271" t="e">
        <f t="shared" si="1074"/>
        <v>#N/A</v>
      </c>
      <c r="BG271" s="271" t="e">
        <f t="shared" si="1075"/>
        <v>#N/A</v>
      </c>
      <c r="BH271" s="271" t="e">
        <f t="shared" si="1076"/>
        <v>#N/A</v>
      </c>
      <c r="BI271" s="271" t="e">
        <f t="shared" si="1077"/>
        <v>#N/A</v>
      </c>
      <c r="BJ271" s="271" t="e">
        <f t="shared" si="1078"/>
        <v>#N/A</v>
      </c>
      <c r="BK271" s="271" t="e">
        <f t="shared" si="1079"/>
        <v>#N/A</v>
      </c>
      <c r="BL271" s="271" t="e">
        <f t="shared" si="1080"/>
        <v>#N/A</v>
      </c>
      <c r="BM271" s="271" t="e">
        <f t="shared" si="1081"/>
        <v>#N/A</v>
      </c>
    </row>
    <row r="272" spans="1:65" s="102" customFormat="1" ht="14.25" customHeight="1" outlineLevel="2" x14ac:dyDescent="0.2">
      <c r="A272" s="320" t="s">
        <v>226</v>
      </c>
      <c r="B272" s="347"/>
      <c r="C272" s="350"/>
      <c r="D272" s="344"/>
      <c r="E272" s="279" t="s">
        <v>32</v>
      </c>
      <c r="F272" s="64"/>
      <c r="G272" s="65"/>
      <c r="H272" s="65"/>
      <c r="I272" s="65"/>
      <c r="J272" s="65"/>
      <c r="K272" s="65"/>
      <c r="L272" s="65"/>
      <c r="M272" s="65"/>
      <c r="N272" s="65"/>
      <c r="O272" s="65"/>
      <c r="P272" s="65"/>
      <c r="Q272" s="66"/>
      <c r="R272" s="64"/>
      <c r="S272" s="65"/>
      <c r="T272" s="65"/>
      <c r="U272" s="65"/>
      <c r="V272" s="65"/>
      <c r="W272" s="65"/>
      <c r="X272" s="65"/>
      <c r="Y272" s="65"/>
      <c r="Z272" s="65"/>
      <c r="AA272" s="65"/>
      <c r="AB272" s="65"/>
      <c r="AC272" s="66"/>
      <c r="AD272" s="64"/>
      <c r="AE272" s="65"/>
      <c r="AF272" s="65"/>
      <c r="AG272" s="65"/>
      <c r="AH272" s="65"/>
      <c r="AI272" s="65"/>
      <c r="AJ272" s="65"/>
      <c r="AK272" s="65"/>
      <c r="AL272" s="65"/>
      <c r="AM272" s="65"/>
      <c r="AN272" s="65"/>
      <c r="AO272" s="66"/>
      <c r="AP272" s="32" t="str">
        <f>IFERROR(IF(AVERAGE(F272:K272)&lt;&gt;0,AVERAGE(F272:K272),""),"")</f>
        <v/>
      </c>
      <c r="AQ272" s="235" t="str">
        <f>IFERROR(IF(AVERAGE(L272:Q272)&lt;&gt;0,AVERAGE(L272:Q272),""),"")</f>
        <v/>
      </c>
      <c r="AR272" s="32" t="str">
        <f>IFERROR(IF(AVERAGE(R272:W272)&lt;&gt;0,AVERAGE(R272:W272),""),"")</f>
        <v/>
      </c>
      <c r="AS272" s="235" t="str">
        <f>IFERROR(IF(AVERAGE(X272:AC272)&lt;&gt;0,AVERAGE(X272:AC272),""),"")</f>
        <v/>
      </c>
      <c r="AT272" s="32" t="str">
        <f>IFERROR(IF(AVERAGE(AD272:AI272)&lt;&gt;0,AVERAGE(AD272:AI272),""),"")</f>
        <v/>
      </c>
      <c r="AU272" s="235" t="str">
        <f>IFERROR(IF(AVERAGE(AJ272:AO272)&lt;&gt;0,AVERAGE(AJ272:AO272),""),"")</f>
        <v/>
      </c>
      <c r="AV272" s="77"/>
      <c r="AW272" s="65"/>
      <c r="AX272" s="77"/>
      <c r="AY272" s="65"/>
      <c r="AZ272" s="77"/>
      <c r="BA272" s="65"/>
      <c r="BB272" s="77"/>
      <c r="BC272" s="65"/>
      <c r="BD272" s="77"/>
      <c r="BE272" s="269"/>
      <c r="BF272" s="272" t="str">
        <f>IFERROR(IF(AVERAGE(AP272:AQ272)&lt;&gt;0,AVERAGE(AP272:AQ272),""),"")</f>
        <v/>
      </c>
      <c r="BG272" s="272" t="str">
        <f>IFERROR(IF(AVERAGE(AR272:AS272)&lt;&gt;0,AVERAGE(AR272:AS272),""),"")</f>
        <v/>
      </c>
      <c r="BH272" s="272" t="str">
        <f>IFERROR(IF(AVERAGE(AT272:AU272)&lt;&gt;0,AVERAGE(AT272:AU272),""),"")</f>
        <v/>
      </c>
      <c r="BI272" s="272" t="str">
        <f>IFERROR(IF(AVERAGE(AV272:AW272)&lt;&gt;0,AVERAGE(AV272:AW272),""),"")</f>
        <v/>
      </c>
      <c r="BJ272" s="272" t="str">
        <f>IFERROR(IF(AVERAGE(AX272:AY272)&lt;&gt;0,AVERAGE(AX272:AY272),""),"")</f>
        <v/>
      </c>
      <c r="BK272" s="272" t="str">
        <f>IFERROR(IF(AVERAGE(AZ272:BA272)&lt;&gt;0,AVERAGE(AZ272:BA272),""),"")</f>
        <v/>
      </c>
      <c r="BL272" s="272" t="str">
        <f>IFERROR(IF(AVERAGE(BB272:BC272)&lt;&gt;0,AVERAGE(BB272:BC272),""),"")</f>
        <v/>
      </c>
      <c r="BM272" s="272" t="str">
        <f>IFERROR(IF(AVERAGE(BD272:BE272)&lt;&gt;0,AVERAGE(BD272:BE272),""),"")</f>
        <v/>
      </c>
    </row>
    <row r="273" spans="1:65" s="102" customFormat="1" ht="15" customHeight="1" outlineLevel="2" thickBot="1" x14ac:dyDescent="0.25">
      <c r="A273" s="320" t="s">
        <v>226</v>
      </c>
      <c r="B273" s="347"/>
      <c r="C273" s="350"/>
      <c r="D273" s="344"/>
      <c r="E273" s="281" t="s">
        <v>2</v>
      </c>
      <c r="F273" s="67"/>
      <c r="G273" s="68"/>
      <c r="H273" s="68"/>
      <c r="I273" s="68"/>
      <c r="J273" s="68"/>
      <c r="K273" s="68"/>
      <c r="L273" s="68"/>
      <c r="M273" s="68"/>
      <c r="N273" s="68"/>
      <c r="O273" s="68"/>
      <c r="P273" s="68"/>
      <c r="Q273" s="69"/>
      <c r="R273" s="67"/>
      <c r="S273" s="68"/>
      <c r="T273" s="68"/>
      <c r="U273" s="68"/>
      <c r="V273" s="68"/>
      <c r="W273" s="68"/>
      <c r="X273" s="68"/>
      <c r="Y273" s="68"/>
      <c r="Z273" s="68"/>
      <c r="AA273" s="68"/>
      <c r="AB273" s="68"/>
      <c r="AC273" s="69"/>
      <c r="AD273" s="67"/>
      <c r="AE273" s="68"/>
      <c r="AF273" s="68"/>
      <c r="AG273" s="68"/>
      <c r="AH273" s="68"/>
      <c r="AI273" s="68"/>
      <c r="AJ273" s="68"/>
      <c r="AK273" s="68"/>
      <c r="AL273" s="68"/>
      <c r="AM273" s="68"/>
      <c r="AN273" s="68"/>
      <c r="AO273" s="69"/>
      <c r="AP273" s="236" t="str">
        <f>IFERROR(IF(AVERAGE(F273:K273)&lt;&gt;0,AVERAGE(F273:K273),""),"")</f>
        <v/>
      </c>
      <c r="AQ273" s="237" t="str">
        <f>IFERROR(IF(AVERAGE(L273:Q273)&lt;&gt;0,AVERAGE(L273:Q273),""),"")</f>
        <v/>
      </c>
      <c r="AR273" s="236" t="str">
        <f>IFERROR(IF(AVERAGE(R273:W273)&lt;&gt;0,AVERAGE(R273:W273),""),"")</f>
        <v/>
      </c>
      <c r="AS273" s="237" t="str">
        <f>IFERROR(IF(AVERAGE(X273:AC273)&lt;&gt;0,AVERAGE(X273:AC273),""),"")</f>
        <v/>
      </c>
      <c r="AT273" s="236" t="str">
        <f>IFERROR(IF(AVERAGE(AD273:AI273)&lt;&gt;0,AVERAGE(AD273:AI273),""),"")</f>
        <v/>
      </c>
      <c r="AU273" s="237" t="str">
        <f>IFERROR(IF(AVERAGE(AJ273:AO273)&lt;&gt;0,AVERAGE(AJ273:AO273),""),"")</f>
        <v/>
      </c>
      <c r="AV273" s="78"/>
      <c r="AW273" s="68"/>
      <c r="AX273" s="78"/>
      <c r="AY273" s="68"/>
      <c r="AZ273" s="78"/>
      <c r="BA273" s="68"/>
      <c r="BB273" s="78"/>
      <c r="BC273" s="68"/>
      <c r="BD273" s="78"/>
      <c r="BE273" s="270"/>
      <c r="BF273" s="288" t="str">
        <f>IFERROR(IF(AVERAGE(AP273:AQ273)&lt;&gt;0,AVERAGE(AP273:AQ273),""),"")</f>
        <v/>
      </c>
      <c r="BG273" s="288" t="str">
        <f>IFERROR(IF(AVERAGE(AR273:AS273)&lt;&gt;0,AVERAGE(AR273:AS273),""),"")</f>
        <v/>
      </c>
      <c r="BH273" s="288" t="str">
        <f>IFERROR(IF(AVERAGE(AT273:AU273)&lt;&gt;0,AVERAGE(AT273:AU273),""),"")</f>
        <v/>
      </c>
      <c r="BI273" s="288" t="str">
        <f>IFERROR(IF(AVERAGE(AV273:AW273)&lt;&gt;0,AVERAGE(AV273:AW273),""),"")</f>
        <v/>
      </c>
      <c r="BJ273" s="288" t="str">
        <f>IFERROR(IF(AVERAGE(AX273:AY273)&lt;&gt;0,AVERAGE(AX273:AY273),""),"")</f>
        <v/>
      </c>
      <c r="BK273" s="288" t="str">
        <f>IFERROR(IF(AVERAGE(AZ273:BA273)&lt;&gt;0,AVERAGE(AZ273:BA273),""),"")</f>
        <v/>
      </c>
      <c r="BL273" s="288" t="str">
        <f>IFERROR(IF(AVERAGE(BB273:BC273)&lt;&gt;0,AVERAGE(BB273:BC273),""),"")</f>
        <v/>
      </c>
      <c r="BM273" s="288" t="str">
        <f>IFERROR(IF(AVERAGE(BD273:BE273)&lt;&gt;0,AVERAGE(BD273:BE273),""),"")</f>
        <v/>
      </c>
    </row>
    <row r="274" spans="1:65" s="102" customFormat="1" ht="14.25" customHeight="1" outlineLevel="1" x14ac:dyDescent="0.2">
      <c r="A274" s="320" t="s">
        <v>226</v>
      </c>
      <c r="B274" s="347"/>
      <c r="C274" s="350"/>
      <c r="D274" s="344"/>
      <c r="E274" s="282" t="s">
        <v>228</v>
      </c>
      <c r="F274" s="283" t="str">
        <f ca="1">IF(IFERROR((F$11*(F266-SUM(F268:F271)/F$11)*F273*3600)/(F272),"")&gt;0,IFERROR((F$11*(F266-SUM(F268:F271)/F$11)*F273*3600)/(F272),""),"")</f>
        <v/>
      </c>
      <c r="G274" s="284" t="str">
        <f t="shared" ref="G274:AO274" ca="1" si="1082">IF(IFERROR((G$11*(G266-SUM(G268:G271)/G$11)*G273*3600)/(G272),"")&gt;0,IFERROR((G$11*(G266-SUM(G268:G271)/G$11)*G273*3600)/(G272),""),"")</f>
        <v/>
      </c>
      <c r="H274" s="284" t="str">
        <f t="shared" ca="1" si="1082"/>
        <v/>
      </c>
      <c r="I274" s="284" t="str">
        <f t="shared" ca="1" si="1082"/>
        <v/>
      </c>
      <c r="J274" s="284" t="str">
        <f t="shared" ca="1" si="1082"/>
        <v/>
      </c>
      <c r="K274" s="284" t="str">
        <f t="shared" ca="1" si="1082"/>
        <v/>
      </c>
      <c r="L274" s="284" t="str">
        <f t="shared" ca="1" si="1082"/>
        <v/>
      </c>
      <c r="M274" s="284" t="str">
        <f t="shared" ca="1" si="1082"/>
        <v/>
      </c>
      <c r="N274" s="284" t="str">
        <f t="shared" ca="1" si="1082"/>
        <v/>
      </c>
      <c r="O274" s="284" t="str">
        <f t="shared" ca="1" si="1082"/>
        <v/>
      </c>
      <c r="P274" s="284" t="str">
        <f t="shared" ca="1" si="1082"/>
        <v/>
      </c>
      <c r="Q274" s="284" t="str">
        <f t="shared" ca="1" si="1082"/>
        <v/>
      </c>
      <c r="R274" s="283" t="str">
        <f t="shared" ca="1" si="1082"/>
        <v/>
      </c>
      <c r="S274" s="284" t="str">
        <f t="shared" ca="1" si="1082"/>
        <v/>
      </c>
      <c r="T274" s="284" t="str">
        <f t="shared" ca="1" si="1082"/>
        <v/>
      </c>
      <c r="U274" s="284" t="str">
        <f t="shared" ca="1" si="1082"/>
        <v/>
      </c>
      <c r="V274" s="284" t="str">
        <f t="shared" ca="1" si="1082"/>
        <v/>
      </c>
      <c r="W274" s="284" t="str">
        <f t="shared" ca="1" si="1082"/>
        <v/>
      </c>
      <c r="X274" s="284" t="str">
        <f t="shared" ca="1" si="1082"/>
        <v/>
      </c>
      <c r="Y274" s="284" t="str">
        <f t="shared" ca="1" si="1082"/>
        <v/>
      </c>
      <c r="Z274" s="284" t="str">
        <f t="shared" ca="1" si="1082"/>
        <v/>
      </c>
      <c r="AA274" s="284" t="str">
        <f t="shared" ca="1" si="1082"/>
        <v/>
      </c>
      <c r="AB274" s="284" t="str">
        <f t="shared" ca="1" si="1082"/>
        <v/>
      </c>
      <c r="AC274" s="284" t="str">
        <f t="shared" ca="1" si="1082"/>
        <v/>
      </c>
      <c r="AD274" s="283" t="str">
        <f t="shared" ca="1" si="1082"/>
        <v/>
      </c>
      <c r="AE274" s="284" t="str">
        <f t="shared" ca="1" si="1082"/>
        <v/>
      </c>
      <c r="AF274" s="284" t="str">
        <f t="shared" ca="1" si="1082"/>
        <v/>
      </c>
      <c r="AG274" s="284" t="str">
        <f t="shared" ca="1" si="1082"/>
        <v/>
      </c>
      <c r="AH274" s="284" t="str">
        <f t="shared" ca="1" si="1082"/>
        <v/>
      </c>
      <c r="AI274" s="284" t="str">
        <f t="shared" ca="1" si="1082"/>
        <v/>
      </c>
      <c r="AJ274" s="284" t="str">
        <f t="shared" ca="1" si="1082"/>
        <v/>
      </c>
      <c r="AK274" s="284" t="str">
        <f t="shared" ca="1" si="1082"/>
        <v/>
      </c>
      <c r="AL274" s="284" t="str">
        <f t="shared" ca="1" si="1082"/>
        <v/>
      </c>
      <c r="AM274" s="284" t="str">
        <f t="shared" ca="1" si="1082"/>
        <v/>
      </c>
      <c r="AN274" s="284" t="str">
        <f t="shared" ca="1" si="1082"/>
        <v/>
      </c>
      <c r="AO274" s="284" t="str">
        <f t="shared" ca="1" si="1082"/>
        <v/>
      </c>
      <c r="AP274" s="283" t="e">
        <f t="shared" ref="AP274:AP275" ca="1" si="1083">IF(SUM(F274:K274)&lt;&gt;0,SUM(F274:K274),#N/A)</f>
        <v>#N/A</v>
      </c>
      <c r="AQ274" s="284" t="e">
        <f t="shared" ref="AQ274:AQ275" ca="1" si="1084">IF(SUM(L274:Q274)&lt;&gt;0,SUM(L274:Q274),#N/A)</f>
        <v>#N/A</v>
      </c>
      <c r="AR274" s="283" t="e">
        <f t="shared" ref="AR274:AR275" ca="1" si="1085">IF(SUM(R274:W274)&lt;&gt;0,SUM(R274:W274),#N/A)</f>
        <v>#N/A</v>
      </c>
      <c r="AS274" s="284" t="e">
        <f t="shared" ref="AS274:AS275" ca="1" si="1086">IF(SUM(X274:AC274)&lt;&gt;0,SUM(X274:AC274),#N/A)</f>
        <v>#N/A</v>
      </c>
      <c r="AT274" s="283" t="e">
        <f t="shared" ref="AT274:AT275" ca="1" si="1087">IF(SUM(AD274:AI274)&lt;&gt;0,SUM(AD274:AI274),#N/A)</f>
        <v>#N/A</v>
      </c>
      <c r="AU274" s="284" t="e">
        <f t="shared" ref="AU274:AU275" ca="1" si="1088">IF(SUM(AJ274:AO274)&lt;&gt;0,SUM(AJ274:AO274),#N/A)</f>
        <v>#N/A</v>
      </c>
      <c r="AV274" s="283" t="str">
        <f ca="1">IF(IFERROR((AV$11*(AV266-SUM(AV268:AV271)/AV$11)*AV273*3600)/(AV272),"")&lt;&gt;0,IFERROR((AV$11*(AV266-SUM(AV268:AV271)/AV$11)*AV273*3600)/(AV272),""),"")</f>
        <v/>
      </c>
      <c r="AW274" s="284" t="str">
        <f t="shared" ref="AW274:BE274" ca="1" si="1089">IF(IFERROR((AW$11*(AW266-SUM(AW268:AW271)/AW$11)*AW273*3600)/(AW272),"")&lt;&gt;0,IFERROR((AW$11*(AW266-SUM(AW268:AW271)/AW$11)*AW273*3600)/(AW272),""),"")</f>
        <v/>
      </c>
      <c r="AX274" s="283" t="str">
        <f t="shared" ca="1" si="1089"/>
        <v/>
      </c>
      <c r="AY274" s="284" t="str">
        <f t="shared" ca="1" si="1089"/>
        <v/>
      </c>
      <c r="AZ274" s="283" t="str">
        <f t="shared" ca="1" si="1089"/>
        <v/>
      </c>
      <c r="BA274" s="284" t="str">
        <f t="shared" ca="1" si="1089"/>
        <v/>
      </c>
      <c r="BB274" s="283" t="str">
        <f t="shared" ca="1" si="1089"/>
        <v/>
      </c>
      <c r="BC274" s="284" t="str">
        <f t="shared" ca="1" si="1089"/>
        <v/>
      </c>
      <c r="BD274" s="283" t="str">
        <f t="shared" ca="1" si="1089"/>
        <v/>
      </c>
      <c r="BE274" s="285" t="str">
        <f t="shared" ca="1" si="1089"/>
        <v/>
      </c>
      <c r="BF274" s="285" t="e">
        <f t="shared" ref="BF274:BF276" ca="1" si="1090">IF(SUM(AP274,AQ274)&lt;&gt;0,SUM(AP274,AQ274),#N/A)</f>
        <v>#N/A</v>
      </c>
      <c r="BG274" s="285" t="e">
        <f t="shared" ref="BG274:BG276" ca="1" si="1091">IF(SUM(AR274,AS274)&lt;&gt;0,SUM(AR274,AS274),#N/A)</f>
        <v>#N/A</v>
      </c>
      <c r="BH274" s="285" t="e">
        <f t="shared" ref="BH274:BH276" ca="1" si="1092">IF(SUM(AT274,AU274)&lt;&gt;0,SUM(AT274,AU274),#N/A)</f>
        <v>#N/A</v>
      </c>
      <c r="BI274" s="285" t="e">
        <f t="shared" ref="BI274:BI276" ca="1" si="1093">IF(SUM(AV274,AW274)&lt;&gt;0,SUM(AV274,AW274),#N/A)</f>
        <v>#N/A</v>
      </c>
      <c r="BJ274" s="285" t="e">
        <f t="shared" ref="BJ274:BJ276" ca="1" si="1094">IF(SUM(AX274,AY274)&lt;&gt;0,SUM(AX274,AY274),#N/A)</f>
        <v>#N/A</v>
      </c>
      <c r="BK274" s="285" t="e">
        <f t="shared" ref="BK274:BK276" ca="1" si="1095">IF(SUM(AZ274,BA274)&lt;&gt;0,SUM(AZ274,BA274),#N/A)</f>
        <v>#N/A</v>
      </c>
      <c r="BL274" s="285" t="e">
        <f t="shared" ref="BL274:BL276" ca="1" si="1096">IF(SUM(BB274,BC274)&lt;&gt;0,SUM(BB274,BC274),#N/A)</f>
        <v>#N/A</v>
      </c>
      <c r="BM274" s="285" t="e">
        <f t="shared" ref="BM274:BM276" ca="1" si="1097">IF(SUM(BD274,BE274)&lt;&gt;0,SUM(BD274,BE274),#N/A)</f>
        <v>#N/A</v>
      </c>
    </row>
    <row r="275" spans="1:65" s="102" customFormat="1" ht="15" customHeight="1" outlineLevel="1" thickBot="1" x14ac:dyDescent="0.25">
      <c r="A275" s="320" t="s">
        <v>226</v>
      </c>
      <c r="B275" s="348"/>
      <c r="C275" s="351"/>
      <c r="D275" s="345"/>
      <c r="E275" s="104" t="s">
        <v>225</v>
      </c>
      <c r="F275" s="317" t="str">
        <f ca="1">IFERROR(F274+((F265*F267*F273*3600)/(F272)),"")</f>
        <v/>
      </c>
      <c r="G275" s="318" t="str">
        <f t="shared" ref="G275:AO275" ca="1" si="1098">IFERROR(G274+((G265*G267*G273*3600)/(G272)),"")</f>
        <v/>
      </c>
      <c r="H275" s="318" t="str">
        <f t="shared" ca="1" si="1098"/>
        <v/>
      </c>
      <c r="I275" s="318" t="str">
        <f t="shared" ca="1" si="1098"/>
        <v/>
      </c>
      <c r="J275" s="318" t="str">
        <f t="shared" ca="1" si="1098"/>
        <v/>
      </c>
      <c r="K275" s="318" t="str">
        <f t="shared" ca="1" si="1098"/>
        <v/>
      </c>
      <c r="L275" s="318" t="str">
        <f t="shared" ca="1" si="1098"/>
        <v/>
      </c>
      <c r="M275" s="318" t="str">
        <f t="shared" ca="1" si="1098"/>
        <v/>
      </c>
      <c r="N275" s="318" t="str">
        <f t="shared" ca="1" si="1098"/>
        <v/>
      </c>
      <c r="O275" s="318" t="str">
        <f t="shared" ca="1" si="1098"/>
        <v/>
      </c>
      <c r="P275" s="318" t="str">
        <f t="shared" ca="1" si="1098"/>
        <v/>
      </c>
      <c r="Q275" s="318" t="str">
        <f t="shared" ca="1" si="1098"/>
        <v/>
      </c>
      <c r="R275" s="317" t="str">
        <f t="shared" ca="1" si="1098"/>
        <v/>
      </c>
      <c r="S275" s="318" t="str">
        <f t="shared" ca="1" si="1098"/>
        <v/>
      </c>
      <c r="T275" s="318" t="str">
        <f t="shared" ca="1" si="1098"/>
        <v/>
      </c>
      <c r="U275" s="318" t="str">
        <f t="shared" ca="1" si="1098"/>
        <v/>
      </c>
      <c r="V275" s="318" t="str">
        <f t="shared" ca="1" si="1098"/>
        <v/>
      </c>
      <c r="W275" s="318" t="str">
        <f t="shared" ca="1" si="1098"/>
        <v/>
      </c>
      <c r="X275" s="318" t="str">
        <f t="shared" ca="1" si="1098"/>
        <v/>
      </c>
      <c r="Y275" s="318" t="str">
        <f t="shared" ca="1" si="1098"/>
        <v/>
      </c>
      <c r="Z275" s="318" t="str">
        <f t="shared" ca="1" si="1098"/>
        <v/>
      </c>
      <c r="AA275" s="318" t="str">
        <f t="shared" ca="1" si="1098"/>
        <v/>
      </c>
      <c r="AB275" s="318" t="str">
        <f t="shared" ca="1" si="1098"/>
        <v/>
      </c>
      <c r="AC275" s="318" t="str">
        <f t="shared" ca="1" si="1098"/>
        <v/>
      </c>
      <c r="AD275" s="317" t="str">
        <f t="shared" ca="1" si="1098"/>
        <v/>
      </c>
      <c r="AE275" s="318" t="str">
        <f t="shared" ca="1" si="1098"/>
        <v/>
      </c>
      <c r="AF275" s="318" t="str">
        <f t="shared" ca="1" si="1098"/>
        <v/>
      </c>
      <c r="AG275" s="318" t="str">
        <f t="shared" ca="1" si="1098"/>
        <v/>
      </c>
      <c r="AH275" s="318" t="str">
        <f t="shared" ca="1" si="1098"/>
        <v/>
      </c>
      <c r="AI275" s="318" t="str">
        <f t="shared" ca="1" si="1098"/>
        <v/>
      </c>
      <c r="AJ275" s="318" t="str">
        <f t="shared" ca="1" si="1098"/>
        <v/>
      </c>
      <c r="AK275" s="318" t="str">
        <f t="shared" ca="1" si="1098"/>
        <v/>
      </c>
      <c r="AL275" s="318" t="str">
        <f t="shared" ca="1" si="1098"/>
        <v/>
      </c>
      <c r="AM275" s="318" t="str">
        <f t="shared" ca="1" si="1098"/>
        <v/>
      </c>
      <c r="AN275" s="318" t="str">
        <f t="shared" ca="1" si="1098"/>
        <v/>
      </c>
      <c r="AO275" s="318" t="str">
        <f t="shared" ca="1" si="1098"/>
        <v/>
      </c>
      <c r="AP275" s="317" t="e">
        <f t="shared" ca="1" si="1083"/>
        <v>#N/A</v>
      </c>
      <c r="AQ275" s="318" t="e">
        <f t="shared" ca="1" si="1084"/>
        <v>#N/A</v>
      </c>
      <c r="AR275" s="317" t="e">
        <f t="shared" ca="1" si="1085"/>
        <v>#N/A</v>
      </c>
      <c r="AS275" s="318" t="e">
        <f t="shared" ca="1" si="1086"/>
        <v>#N/A</v>
      </c>
      <c r="AT275" s="317" t="e">
        <f t="shared" ca="1" si="1087"/>
        <v>#N/A</v>
      </c>
      <c r="AU275" s="318" t="e">
        <f t="shared" ca="1" si="1088"/>
        <v>#N/A</v>
      </c>
      <c r="AV275" s="317" t="str">
        <f t="shared" ref="AV275:BE275" ca="1" si="1099">IFERROR(AV274+((AV265*AV267*AV273*3600)/(AV272)),"")</f>
        <v/>
      </c>
      <c r="AW275" s="318" t="str">
        <f t="shared" ca="1" si="1099"/>
        <v/>
      </c>
      <c r="AX275" s="317" t="str">
        <f t="shared" ca="1" si="1099"/>
        <v/>
      </c>
      <c r="AY275" s="318" t="str">
        <f t="shared" ca="1" si="1099"/>
        <v/>
      </c>
      <c r="AZ275" s="317" t="str">
        <f t="shared" ca="1" si="1099"/>
        <v/>
      </c>
      <c r="BA275" s="318" t="str">
        <f t="shared" ca="1" si="1099"/>
        <v/>
      </c>
      <c r="BB275" s="317" t="str">
        <f t="shared" ca="1" si="1099"/>
        <v/>
      </c>
      <c r="BC275" s="318" t="str">
        <f t="shared" ca="1" si="1099"/>
        <v/>
      </c>
      <c r="BD275" s="317" t="str">
        <f t="shared" ca="1" si="1099"/>
        <v/>
      </c>
      <c r="BE275" s="291" t="str">
        <f t="shared" ca="1" si="1099"/>
        <v/>
      </c>
      <c r="BF275" s="291" t="e">
        <f t="shared" ca="1" si="1090"/>
        <v>#N/A</v>
      </c>
      <c r="BG275" s="291" t="e">
        <f t="shared" ca="1" si="1091"/>
        <v>#N/A</v>
      </c>
      <c r="BH275" s="291" t="e">
        <f t="shared" ca="1" si="1092"/>
        <v>#N/A</v>
      </c>
      <c r="BI275" s="291" t="e">
        <f t="shared" ca="1" si="1093"/>
        <v>#N/A</v>
      </c>
      <c r="BJ275" s="291" t="e">
        <f t="shared" ca="1" si="1094"/>
        <v>#N/A</v>
      </c>
      <c r="BK275" s="291" t="e">
        <f t="shared" ca="1" si="1095"/>
        <v>#N/A</v>
      </c>
      <c r="BL275" s="291" t="e">
        <f t="shared" ca="1" si="1096"/>
        <v>#N/A</v>
      </c>
      <c r="BM275" s="291" t="e">
        <f t="shared" ca="1" si="1097"/>
        <v>#N/A</v>
      </c>
    </row>
    <row r="276" spans="1:65" s="102" customFormat="1" ht="22.5" outlineLevel="2" x14ac:dyDescent="0.2">
      <c r="A276" s="320" t="s">
        <v>226</v>
      </c>
      <c r="B276" s="346"/>
      <c r="C276" s="349" t="str">
        <f t="shared" ref="C276" si="1100">IF(AND($B276&lt;&gt;0,$C$9&lt;&gt;0),$C$9,"")</f>
        <v/>
      </c>
      <c r="D276" s="343"/>
      <c r="E276" s="277" t="s">
        <v>40</v>
      </c>
      <c r="F276" s="33">
        <f ca="1">IF(F$11-(SUM(F280:F283)/24)=0,"",F$11-(SUM(F280:F283)/24))</f>
        <v>27</v>
      </c>
      <c r="G276" s="34">
        <f t="shared" ref="G276:AO276" ca="1" si="1101">IF(G$11-(SUM(G280:G283)/24)=0,"",G$11-(SUM(G280:G283)/24))</f>
        <v>24</v>
      </c>
      <c r="H276" s="34">
        <f t="shared" ca="1" si="1101"/>
        <v>26</v>
      </c>
      <c r="I276" s="34">
        <f t="shared" ca="1" si="1101"/>
        <v>26</v>
      </c>
      <c r="J276" s="34">
        <f t="shared" ca="1" si="1101"/>
        <v>27</v>
      </c>
      <c r="K276" s="34">
        <f t="shared" ca="1" si="1101"/>
        <v>25</v>
      </c>
      <c r="L276" s="34">
        <f t="shared" ca="1" si="1101"/>
        <v>27</v>
      </c>
      <c r="M276" s="34">
        <f t="shared" ca="1" si="1101"/>
        <v>26</v>
      </c>
      <c r="N276" s="34">
        <f t="shared" ca="1" si="1101"/>
        <v>26</v>
      </c>
      <c r="O276" s="34">
        <f t="shared" ca="1" si="1101"/>
        <v>27</v>
      </c>
      <c r="P276" s="34">
        <f t="shared" ca="1" si="1101"/>
        <v>25</v>
      </c>
      <c r="Q276" s="34">
        <f t="shared" ca="1" si="1101"/>
        <v>27</v>
      </c>
      <c r="R276" s="32">
        <f t="shared" ca="1" si="1101"/>
        <v>27</v>
      </c>
      <c r="S276" s="29">
        <f t="shared" ca="1" si="1101"/>
        <v>24</v>
      </c>
      <c r="T276" s="29">
        <f t="shared" ca="1" si="1101"/>
        <v>26</v>
      </c>
      <c r="U276" s="29">
        <f t="shared" ca="1" si="1101"/>
        <v>26</v>
      </c>
      <c r="V276" s="29">
        <f t="shared" ca="1" si="1101"/>
        <v>26</v>
      </c>
      <c r="W276" s="29">
        <f t="shared" ca="1" si="1101"/>
        <v>26</v>
      </c>
      <c r="X276" s="29">
        <f t="shared" ca="1" si="1101"/>
        <v>27</v>
      </c>
      <c r="Y276" s="29">
        <f t="shared" ca="1" si="1101"/>
        <v>26</v>
      </c>
      <c r="Z276" s="29">
        <f t="shared" ca="1" si="1101"/>
        <v>26</v>
      </c>
      <c r="AA276" s="29">
        <f t="shared" ca="1" si="1101"/>
        <v>27</v>
      </c>
      <c r="AB276" s="29">
        <f t="shared" ca="1" si="1101"/>
        <v>25</v>
      </c>
      <c r="AC276" s="29">
        <f t="shared" ca="1" si="1101"/>
        <v>27</v>
      </c>
      <c r="AD276" s="32">
        <f t="shared" ca="1" si="1101"/>
        <v>26</v>
      </c>
      <c r="AE276" s="29">
        <f t="shared" ca="1" si="1101"/>
        <v>24</v>
      </c>
      <c r="AF276" s="29">
        <f t="shared" ca="1" si="1101"/>
        <v>27</v>
      </c>
      <c r="AG276" s="29">
        <f t="shared" ca="1" si="1101"/>
        <v>26</v>
      </c>
      <c r="AH276" s="29">
        <f t="shared" ca="1" si="1101"/>
        <v>26</v>
      </c>
      <c r="AI276" s="29">
        <f t="shared" ca="1" si="1101"/>
        <v>26</v>
      </c>
      <c r="AJ276" s="29">
        <f t="shared" ca="1" si="1101"/>
        <v>27</v>
      </c>
      <c r="AK276" s="29">
        <f t="shared" ca="1" si="1101"/>
        <v>26</v>
      </c>
      <c r="AL276" s="29">
        <f t="shared" ca="1" si="1101"/>
        <v>26</v>
      </c>
      <c r="AM276" s="29">
        <f t="shared" ca="1" si="1101"/>
        <v>26</v>
      </c>
      <c r="AN276" s="29">
        <f t="shared" ca="1" si="1101"/>
        <v>26</v>
      </c>
      <c r="AO276" s="29">
        <f t="shared" ca="1" si="1101"/>
        <v>27</v>
      </c>
      <c r="AP276" s="32">
        <f ca="1">IF(SUM(F276:K276)&lt;&gt;0,SUM(F276:K276),"")</f>
        <v>155</v>
      </c>
      <c r="AQ276" s="29">
        <f ca="1">IF(SUM(L276:Q276)&lt;&gt;0,SUM(L276:Q276),"")</f>
        <v>158</v>
      </c>
      <c r="AR276" s="32">
        <f ca="1">IF(SUM(R276:W276)&lt;&gt;0,SUM(R276:W276),"")</f>
        <v>155</v>
      </c>
      <c r="AS276" s="29">
        <f ca="1">IF(SUM(X276:AC276)&lt;&gt;0,SUM(X276:AC276),"")</f>
        <v>158</v>
      </c>
      <c r="AT276" s="32">
        <f ca="1">IF(SUM(AD276:AI276)&lt;&gt;0,SUM(AD276:AI276),"")</f>
        <v>155</v>
      </c>
      <c r="AU276" s="296">
        <f ca="1">SUM(AJ276:AO276)</f>
        <v>158</v>
      </c>
      <c r="AV276" s="32">
        <f t="shared" ref="AV276:BE276" ca="1" si="1102">IF(AV$11-(SUM(AV280:AV283)/24)=0,"",AV$11-(SUM(AV280:AV283)/24))</f>
        <v>156</v>
      </c>
      <c r="AW276" s="29">
        <f t="shared" ca="1" si="1102"/>
        <v>157</v>
      </c>
      <c r="AX276" s="32">
        <f t="shared" ca="1" si="1102"/>
        <v>156</v>
      </c>
      <c r="AY276" s="29">
        <f t="shared" ca="1" si="1102"/>
        <v>158</v>
      </c>
      <c r="AZ276" s="32">
        <f t="shared" ca="1" si="1102"/>
        <v>155</v>
      </c>
      <c r="BA276" s="29">
        <f t="shared" ca="1" si="1102"/>
        <v>158</v>
      </c>
      <c r="BB276" s="32">
        <f t="shared" ca="1" si="1102"/>
        <v>155</v>
      </c>
      <c r="BC276" s="29">
        <f t="shared" ca="1" si="1102"/>
        <v>158</v>
      </c>
      <c r="BD276" s="32">
        <f t="shared" ca="1" si="1102"/>
        <v>156</v>
      </c>
      <c r="BE276" s="262">
        <f t="shared" ca="1" si="1102"/>
        <v>158</v>
      </c>
      <c r="BF276" s="286">
        <f t="shared" ca="1" si="1090"/>
        <v>313</v>
      </c>
      <c r="BG276" s="286">
        <f t="shared" ca="1" si="1091"/>
        <v>313</v>
      </c>
      <c r="BH276" s="286">
        <f t="shared" ca="1" si="1092"/>
        <v>313</v>
      </c>
      <c r="BI276" s="286">
        <f t="shared" ca="1" si="1093"/>
        <v>313</v>
      </c>
      <c r="BJ276" s="286">
        <f t="shared" ca="1" si="1094"/>
        <v>314</v>
      </c>
      <c r="BK276" s="286">
        <f t="shared" ca="1" si="1095"/>
        <v>313</v>
      </c>
      <c r="BL276" s="286">
        <f t="shared" ca="1" si="1096"/>
        <v>313</v>
      </c>
      <c r="BM276" s="286">
        <f t="shared" ca="1" si="1097"/>
        <v>314</v>
      </c>
    </row>
    <row r="277" spans="1:65" s="102" customFormat="1" ht="15" customHeight="1" outlineLevel="2" thickBot="1" x14ac:dyDescent="0.25">
      <c r="A277" s="320" t="s">
        <v>226</v>
      </c>
      <c r="B277" s="347"/>
      <c r="C277" s="350"/>
      <c r="D277" s="344"/>
      <c r="E277" s="278" t="s">
        <v>29</v>
      </c>
      <c r="F277" s="47"/>
      <c r="G277" s="48"/>
      <c r="H277" s="48"/>
      <c r="I277" s="48"/>
      <c r="J277" s="48"/>
      <c r="K277" s="48"/>
      <c r="L277" s="48"/>
      <c r="M277" s="48"/>
      <c r="N277" s="48"/>
      <c r="O277" s="48"/>
      <c r="P277" s="48"/>
      <c r="Q277" s="51"/>
      <c r="R277" s="47"/>
      <c r="S277" s="48"/>
      <c r="T277" s="48"/>
      <c r="U277" s="48"/>
      <c r="V277" s="48"/>
      <c r="W277" s="48"/>
      <c r="X277" s="48"/>
      <c r="Y277" s="48"/>
      <c r="Z277" s="48"/>
      <c r="AA277" s="48"/>
      <c r="AB277" s="48"/>
      <c r="AC277" s="51"/>
      <c r="AD277" s="47"/>
      <c r="AE277" s="48"/>
      <c r="AF277" s="48"/>
      <c r="AG277" s="48"/>
      <c r="AH277" s="48"/>
      <c r="AI277" s="48"/>
      <c r="AJ277" s="48"/>
      <c r="AK277" s="48"/>
      <c r="AL277" s="48"/>
      <c r="AM277" s="48"/>
      <c r="AN277" s="48"/>
      <c r="AO277" s="51"/>
      <c r="AP277" s="294" t="str">
        <f>IFERROR(IF(SUM(F277:K277)&lt;&gt;0,SUM(F277:K277),""),"")</f>
        <v/>
      </c>
      <c r="AQ277" s="295" t="str">
        <f>IFERROR(IF(SUM(L277:Q277)&lt;&gt;0,SUM(L277:Q277),""),"")</f>
        <v/>
      </c>
      <c r="AR277" s="294" t="str">
        <f>IFERROR(IF(SUM(R277:W277)&lt;&gt;0,SUM(R277:W277),""),"")</f>
        <v/>
      </c>
      <c r="AS277" s="295" t="str">
        <f>IFERROR(IF(SUM(X277:AC277)&lt;&gt;0,SUM(X277:AC277),""),"")</f>
        <v/>
      </c>
      <c r="AT277" s="294" t="str">
        <f>IFERROR(IF(SUM(AD277:AI277)&lt;&gt;0,SUM(AD277:AI277),""),"")</f>
        <v/>
      </c>
      <c r="AU277" s="295" t="str">
        <f>IFERROR(IF(SUM(AJ277:AO277)&lt;&gt;0,SUM(AJ277:AO277),""),"")</f>
        <v/>
      </c>
      <c r="AV277" s="47"/>
      <c r="AW277" s="51"/>
      <c r="AX277" s="47"/>
      <c r="AY277" s="51"/>
      <c r="AZ277" s="47"/>
      <c r="BA277" s="51"/>
      <c r="BB277" s="47"/>
      <c r="BC277" s="51"/>
      <c r="BD277" s="47"/>
      <c r="BE277" s="263"/>
      <c r="BF277" s="271" t="str">
        <f>IFERROR(IF(AVERAGE(AP277:AQ277)&lt;&gt;0,AVERAGE(AP277:AQ277),""),"")</f>
        <v/>
      </c>
      <c r="BG277" s="271" t="str">
        <f>IFERROR(IF(AVERAGE(AR277:AS277)&lt;&gt;0,AVERAGE(AR277:AS277),""),"")</f>
        <v/>
      </c>
      <c r="BH277" s="271" t="str">
        <f>IFERROR(IF(AVERAGE(AT277:AU277)&lt;&gt;0,AVERAGE(AT277:AU277),""),"")</f>
        <v/>
      </c>
      <c r="BI277" s="271" t="str">
        <f>IFERROR(IF(AVERAGE(AV277:AW277)&lt;&gt;0,AVERAGE(AV277:AW277),""),"")</f>
        <v/>
      </c>
      <c r="BJ277" s="271" t="str">
        <f>IFERROR(IF(AVERAGE(AX277:AY277)&lt;&gt;0,AVERAGE(AX277:AY277),""),"")</f>
        <v/>
      </c>
      <c r="BK277" s="271" t="str">
        <f>IFERROR(IF(AVERAGE(AZ277:BA277)&lt;&gt;0,AVERAGE(AZ277:BA277),""),"")</f>
        <v/>
      </c>
      <c r="BL277" s="271" t="str">
        <f>IFERROR(IF(AVERAGE(BB277:BC277)&lt;&gt;0,AVERAGE(BB277:BC277),""),"")</f>
        <v/>
      </c>
      <c r="BM277" s="271" t="str">
        <f>IFERROR(IF(AVERAGE(BD277:BE277)&lt;&gt;0,AVERAGE(BD277:BE277),""),"")</f>
        <v/>
      </c>
    </row>
    <row r="278" spans="1:65" s="102" customFormat="1" ht="14.25" customHeight="1" outlineLevel="2" x14ac:dyDescent="0.2">
      <c r="A278" s="320" t="s">
        <v>226</v>
      </c>
      <c r="B278" s="347"/>
      <c r="C278" s="350"/>
      <c r="D278" s="344"/>
      <c r="E278" s="279" t="s">
        <v>28</v>
      </c>
      <c r="F278" s="52"/>
      <c r="G278" s="53"/>
      <c r="H278" s="53"/>
      <c r="I278" s="53"/>
      <c r="J278" s="53"/>
      <c r="K278" s="53"/>
      <c r="L278" s="53"/>
      <c r="M278" s="53"/>
      <c r="N278" s="53"/>
      <c r="O278" s="53"/>
      <c r="P278" s="53"/>
      <c r="Q278" s="54"/>
      <c r="R278" s="52"/>
      <c r="S278" s="53"/>
      <c r="T278" s="53"/>
      <c r="U278" s="53"/>
      <c r="V278" s="53"/>
      <c r="W278" s="53"/>
      <c r="X278" s="53"/>
      <c r="Y278" s="53"/>
      <c r="Z278" s="53"/>
      <c r="AA278" s="53"/>
      <c r="AB278" s="53"/>
      <c r="AC278" s="54"/>
      <c r="AD278" s="52"/>
      <c r="AE278" s="53"/>
      <c r="AF278" s="53"/>
      <c r="AG278" s="53"/>
      <c r="AH278" s="53"/>
      <c r="AI278" s="53"/>
      <c r="AJ278" s="53"/>
      <c r="AK278" s="53"/>
      <c r="AL278" s="53"/>
      <c r="AM278" s="53"/>
      <c r="AN278" s="53"/>
      <c r="AO278" s="54"/>
      <c r="AP278" s="225" t="str">
        <f>IFERROR(IF(AVERAGE(F278:K278)&lt;&gt;0,AVERAGE(F278:K278),""),"")</f>
        <v/>
      </c>
      <c r="AQ278" s="226" t="str">
        <f>IFERROR(IF(AVERAGE(L278:Q278)&lt;&gt;0,AVERAGE(L278:Q278),""),"")</f>
        <v/>
      </c>
      <c r="AR278" s="225" t="str">
        <f>IFERROR(IF(AVERAGE(R278:W278)&lt;&gt;0,AVERAGE(R278:W278),""),"")</f>
        <v/>
      </c>
      <c r="AS278" s="226" t="str">
        <f>IFERROR(IF(AVERAGE(X278:AC278)&lt;&gt;0,AVERAGE(X278:AC278),""),"")</f>
        <v/>
      </c>
      <c r="AT278" s="225" t="str">
        <f>IFERROR(IF(AVERAGE(AD278:AI278)&lt;&gt;0,AVERAGE(AD278:AI278),""),"")</f>
        <v/>
      </c>
      <c r="AU278" s="226" t="str">
        <f>IFERROR(IF(AVERAGE(AJ278:AO278)&lt;&gt;0,AVERAGE(AJ278:AO278),""),"")</f>
        <v/>
      </c>
      <c r="AV278" s="70"/>
      <c r="AW278" s="53"/>
      <c r="AX278" s="70"/>
      <c r="AY278" s="53"/>
      <c r="AZ278" s="70"/>
      <c r="BA278" s="53"/>
      <c r="BB278" s="70"/>
      <c r="BC278" s="53"/>
      <c r="BD278" s="70"/>
      <c r="BE278" s="264"/>
      <c r="BF278" s="272" t="str">
        <f>IFERROR(IF(AVERAGE(AP278:AQ278)&lt;&gt;0,AVERAGE(AP278:AQ278),""),"")</f>
        <v/>
      </c>
      <c r="BG278" s="272" t="str">
        <f>IFERROR(IF(AVERAGE(AR278:AS278)&lt;&gt;0,AVERAGE(AR278:AS278),""),"")</f>
        <v/>
      </c>
      <c r="BH278" s="272" t="str">
        <f>IFERROR(IF(AVERAGE(AT278:AU278)&lt;&gt;0,AVERAGE(AT278:AU278),""),"")</f>
        <v/>
      </c>
      <c r="BI278" s="272" t="str">
        <f>IFERROR(IF(AVERAGE(AV278:AW278)&lt;&gt;0,AVERAGE(AV278:AW278),""),"")</f>
        <v/>
      </c>
      <c r="BJ278" s="272" t="str">
        <f>IFERROR(IF(AVERAGE(AX278:AY278)&lt;&gt;0,AVERAGE(AX278:AY278),""),"")</f>
        <v/>
      </c>
      <c r="BK278" s="272" t="str">
        <f>IFERROR(IF(AVERAGE(AZ278:BA278)&lt;&gt;0,AVERAGE(AZ278:BA278),""),"")</f>
        <v/>
      </c>
      <c r="BL278" s="272" t="str">
        <f>IFERROR(IF(AVERAGE(BB278:BC278)&lt;&gt;0,AVERAGE(BB278:BC278),""),"")</f>
        <v/>
      </c>
      <c r="BM278" s="272" t="str">
        <f>IFERROR(IF(AVERAGE(BD278:BE278)&lt;&gt;0,AVERAGE(BD278:BE278),""),"")</f>
        <v/>
      </c>
    </row>
    <row r="279" spans="1:65" s="102" customFormat="1" ht="15" customHeight="1" outlineLevel="2" thickBot="1" x14ac:dyDescent="0.25">
      <c r="A279" s="320" t="s">
        <v>226</v>
      </c>
      <c r="B279" s="347"/>
      <c r="C279" s="350"/>
      <c r="D279" s="344"/>
      <c r="E279" s="278" t="s">
        <v>30</v>
      </c>
      <c r="F279" s="55"/>
      <c r="G279" s="56"/>
      <c r="H279" s="56"/>
      <c r="I279" s="56"/>
      <c r="J279" s="56"/>
      <c r="K279" s="56"/>
      <c r="L279" s="56"/>
      <c r="M279" s="56"/>
      <c r="N279" s="56"/>
      <c r="O279" s="56"/>
      <c r="P279" s="56"/>
      <c r="Q279" s="57"/>
      <c r="R279" s="55"/>
      <c r="S279" s="56"/>
      <c r="T279" s="56"/>
      <c r="U279" s="56"/>
      <c r="V279" s="56"/>
      <c r="W279" s="56"/>
      <c r="X279" s="56"/>
      <c r="Y279" s="56"/>
      <c r="Z279" s="56"/>
      <c r="AA279" s="56"/>
      <c r="AB279" s="56"/>
      <c r="AC279" s="57"/>
      <c r="AD279" s="55"/>
      <c r="AE279" s="56"/>
      <c r="AF279" s="56"/>
      <c r="AG279" s="56"/>
      <c r="AH279" s="56"/>
      <c r="AI279" s="56"/>
      <c r="AJ279" s="56"/>
      <c r="AK279" s="56"/>
      <c r="AL279" s="56"/>
      <c r="AM279" s="56"/>
      <c r="AN279" s="56"/>
      <c r="AO279" s="57"/>
      <c r="AP279" s="227" t="str">
        <f>IFERROR(IF(AVERAGE(F279:K279)&lt;&gt;0,AVERAGE(F279:K279),""),"")</f>
        <v/>
      </c>
      <c r="AQ279" s="228" t="str">
        <f>IFERROR(IF(AVERAGE(L279:Q279)&lt;&gt;0,AVERAGE(L279:Q279),""),"")</f>
        <v/>
      </c>
      <c r="AR279" s="227" t="str">
        <f>IFERROR(IF(AVERAGE(R279:W279)&lt;&gt;0,AVERAGE(R279:W279),""),"")</f>
        <v/>
      </c>
      <c r="AS279" s="228" t="str">
        <f>IFERROR(IF(AVERAGE(X279:AC279)&lt;&gt;0,AVERAGE(X279:AC279),""),"")</f>
        <v/>
      </c>
      <c r="AT279" s="227" t="str">
        <f>IFERROR(IF(AVERAGE(AD279:AI279)&lt;&gt;0,AVERAGE(AD279:AI279),""),"")</f>
        <v/>
      </c>
      <c r="AU279" s="228" t="str">
        <f>IFERROR(IF(AVERAGE(AJ279:AO279)&lt;&gt;0,AVERAGE(AJ279:AO279),""),"")</f>
        <v/>
      </c>
      <c r="AV279" s="71"/>
      <c r="AW279" s="56"/>
      <c r="AX279" s="71"/>
      <c r="AY279" s="56"/>
      <c r="AZ279" s="71"/>
      <c r="BA279" s="56"/>
      <c r="BB279" s="71"/>
      <c r="BC279" s="56"/>
      <c r="BD279" s="71"/>
      <c r="BE279" s="265"/>
      <c r="BF279" s="273" t="str">
        <f>IFERROR(IF(AVERAGE(AP279:AQ279)&lt;&gt;0,AVERAGE(AP279:AQ279),""),"")</f>
        <v/>
      </c>
      <c r="BG279" s="273" t="str">
        <f>IFERROR(IF(AVERAGE(AR279:AS279)&lt;&gt;0,AVERAGE(AR279:AS279),""),"")</f>
        <v/>
      </c>
      <c r="BH279" s="273" t="str">
        <f>IFERROR(IF(AVERAGE(AT279:AU279)&lt;&gt;0,AVERAGE(AT279:AU279),""),"")</f>
        <v/>
      </c>
      <c r="BI279" s="273" t="str">
        <f>IFERROR(IF(AVERAGE(AV279:AW279)&lt;&gt;0,AVERAGE(AV279:AW279),""),"")</f>
        <v/>
      </c>
      <c r="BJ279" s="273" t="str">
        <f>IFERROR(IF(AVERAGE(AX279:AY279)&lt;&gt;0,AVERAGE(AX279:AY279),""),"")</f>
        <v/>
      </c>
      <c r="BK279" s="273" t="str">
        <f>IFERROR(IF(AVERAGE(AZ279:BA279)&lt;&gt;0,AVERAGE(AZ279:BA279),""),"")</f>
        <v/>
      </c>
      <c r="BL279" s="273" t="str">
        <f>IFERROR(IF(AVERAGE(BB279:BC279)&lt;&gt;0,AVERAGE(BB279:BC279),""),"")</f>
        <v/>
      </c>
      <c r="BM279" s="273" t="str">
        <f>IFERROR(IF(AVERAGE(BD279:BE279)&lt;&gt;0,AVERAGE(BD279:BE279),""),"")</f>
        <v/>
      </c>
    </row>
    <row r="280" spans="1:65" s="102" customFormat="1" ht="14.25" customHeight="1" outlineLevel="2" x14ac:dyDescent="0.2">
      <c r="A280" s="320" t="s">
        <v>226</v>
      </c>
      <c r="B280" s="347"/>
      <c r="C280" s="350"/>
      <c r="D280" s="344"/>
      <c r="E280" s="279" t="s">
        <v>25</v>
      </c>
      <c r="F280" s="58"/>
      <c r="G280" s="50"/>
      <c r="H280" s="50"/>
      <c r="I280" s="50"/>
      <c r="J280" s="50"/>
      <c r="K280" s="50"/>
      <c r="L280" s="50"/>
      <c r="M280" s="50"/>
      <c r="N280" s="50"/>
      <c r="O280" s="50"/>
      <c r="P280" s="50"/>
      <c r="Q280" s="59"/>
      <c r="R280" s="58"/>
      <c r="S280" s="50"/>
      <c r="T280" s="50"/>
      <c r="U280" s="50"/>
      <c r="V280" s="50"/>
      <c r="W280" s="50"/>
      <c r="X280" s="50"/>
      <c r="Y280" s="50"/>
      <c r="Z280" s="50"/>
      <c r="AA280" s="50"/>
      <c r="AB280" s="50"/>
      <c r="AC280" s="59"/>
      <c r="AD280" s="58"/>
      <c r="AE280" s="50"/>
      <c r="AF280" s="50"/>
      <c r="AG280" s="50"/>
      <c r="AH280" s="50"/>
      <c r="AI280" s="50"/>
      <c r="AJ280" s="50"/>
      <c r="AK280" s="50"/>
      <c r="AL280" s="50"/>
      <c r="AM280" s="50"/>
      <c r="AN280" s="50"/>
      <c r="AO280" s="59"/>
      <c r="AP280" s="229" t="str">
        <f>IFERROR(IF(SUM(F280:K280)&lt;&gt;0,SUM(F280:K280),""),"")</f>
        <v/>
      </c>
      <c r="AQ280" s="230" t="str">
        <f>IFERROR(IF(SUM(L280:Q280)&lt;&gt;0,SUM(L280:Q280),""),"")</f>
        <v/>
      </c>
      <c r="AR280" s="229" t="str">
        <f>IFERROR(IF(SUM(R280:W280)&lt;&gt;0,SUM(R280:W280),""),"")</f>
        <v/>
      </c>
      <c r="AS280" s="230" t="str">
        <f>IFERROR(IF(SUM(X280:AC280)&lt;&gt;0,SUM(X280:AC280),""),"")</f>
        <v/>
      </c>
      <c r="AT280" s="229" t="str">
        <f>IFERROR(IF(SUM(AD280:AI280)&lt;&gt;0,SUM(AD280:AI280),""),"")</f>
        <v/>
      </c>
      <c r="AU280" s="230" t="str">
        <f>IFERROR(IF(SUM(AJ280:AO280)&lt;&gt;0,SUM(AJ280:AO280),""),"")</f>
        <v/>
      </c>
      <c r="AV280" s="72"/>
      <c r="AW280" s="73"/>
      <c r="AX280" s="72"/>
      <c r="AY280" s="73"/>
      <c r="AZ280" s="72"/>
      <c r="BA280" s="73"/>
      <c r="BB280" s="72"/>
      <c r="BC280" s="73"/>
      <c r="BD280" s="72"/>
      <c r="BE280" s="266"/>
      <c r="BF280" s="286" t="e">
        <f t="shared" ref="BF280:BF283" si="1103">IF(SUM(AP280,AQ280)&lt;&gt;0,SUM(AP280,AQ280),#N/A)</f>
        <v>#N/A</v>
      </c>
      <c r="BG280" s="286" t="e">
        <f t="shared" ref="BG280:BG283" si="1104">IF(SUM(AR280,AS280)&lt;&gt;0,SUM(AR280,AS280),#N/A)</f>
        <v>#N/A</v>
      </c>
      <c r="BH280" s="286" t="e">
        <f t="shared" ref="BH280:BH283" si="1105">IF(SUM(AT280,AU280)&lt;&gt;0,SUM(AT280,AU280),#N/A)</f>
        <v>#N/A</v>
      </c>
      <c r="BI280" s="286" t="e">
        <f t="shared" ref="BI280:BI283" si="1106">IF(SUM(AV280,AW280)&lt;&gt;0,SUM(AV280,AW280),#N/A)</f>
        <v>#N/A</v>
      </c>
      <c r="BJ280" s="286" t="e">
        <f t="shared" ref="BJ280:BJ283" si="1107">IF(SUM(AX280,AY280)&lt;&gt;0,SUM(AX280,AY280),#N/A)</f>
        <v>#N/A</v>
      </c>
      <c r="BK280" s="286" t="e">
        <f t="shared" ref="BK280:BK283" si="1108">IF(SUM(AZ280,BA280)&lt;&gt;0,SUM(AZ280,BA280),#N/A)</f>
        <v>#N/A</v>
      </c>
      <c r="BL280" s="286" t="e">
        <f t="shared" ref="BL280:BL283" si="1109">IF(SUM(BB280,BC280)&lt;&gt;0,SUM(BB280,BC280),#N/A)</f>
        <v>#N/A</v>
      </c>
      <c r="BM280" s="286" t="e">
        <f t="shared" ref="BM280:BM283" si="1110">IF(SUM(BD280,BE280)&lt;&gt;0,SUM(BD280,BE280),#N/A)</f>
        <v>#N/A</v>
      </c>
    </row>
    <row r="281" spans="1:65" s="102" customFormat="1" ht="14.25" customHeight="1" outlineLevel="2" x14ac:dyDescent="0.2">
      <c r="A281" s="320" t="s">
        <v>226</v>
      </c>
      <c r="B281" s="347"/>
      <c r="C281" s="350"/>
      <c r="D281" s="344"/>
      <c r="E281" s="280" t="s">
        <v>26</v>
      </c>
      <c r="F281" s="60"/>
      <c r="G281" s="61"/>
      <c r="H281" s="61"/>
      <c r="I281" s="61"/>
      <c r="J281" s="61"/>
      <c r="K281" s="61"/>
      <c r="L281" s="61"/>
      <c r="M281" s="61"/>
      <c r="N281" s="61"/>
      <c r="O281" s="61"/>
      <c r="P281" s="61"/>
      <c r="Q281" s="62"/>
      <c r="R281" s="60"/>
      <c r="S281" s="61"/>
      <c r="T281" s="61"/>
      <c r="U281" s="61"/>
      <c r="V281" s="61"/>
      <c r="W281" s="61"/>
      <c r="X281" s="61"/>
      <c r="Y281" s="61"/>
      <c r="Z281" s="61"/>
      <c r="AA281" s="61"/>
      <c r="AB281" s="61"/>
      <c r="AC281" s="62"/>
      <c r="AD281" s="60"/>
      <c r="AE281" s="61"/>
      <c r="AF281" s="61"/>
      <c r="AG281" s="61"/>
      <c r="AH281" s="61"/>
      <c r="AI281" s="61"/>
      <c r="AJ281" s="61"/>
      <c r="AK281" s="61"/>
      <c r="AL281" s="61"/>
      <c r="AM281" s="61"/>
      <c r="AN281" s="61"/>
      <c r="AO281" s="62"/>
      <c r="AP281" s="231" t="str">
        <f>IFERROR(IF(SUM(F281:K281)&lt;&gt;0,SUM(F281:K281),""),"")</f>
        <v/>
      </c>
      <c r="AQ281" s="232" t="str">
        <f>IFERROR(IF(SUM(L281:Q281)&lt;&gt;0,SUM(L281:Q281),""),"")</f>
        <v/>
      </c>
      <c r="AR281" s="231" t="str">
        <f>IFERROR(IF(SUM(R281:W281)&lt;&gt;0,SUM(R281:W281),""),"")</f>
        <v/>
      </c>
      <c r="AS281" s="232" t="str">
        <f>IFERROR(IF(SUM(X281:AC281)&lt;&gt;0,SUM(X281:AC281),""),"")</f>
        <v/>
      </c>
      <c r="AT281" s="231" t="str">
        <f>IFERROR(IF(SUM(AD281:AI281)&lt;&gt;0,SUM(AD281:AI281),""),"")</f>
        <v/>
      </c>
      <c r="AU281" s="232" t="str">
        <f>IFERROR(IF(SUM(AJ281:AO281)&lt;&gt;0,SUM(AJ281:AO281),""),"")</f>
        <v/>
      </c>
      <c r="AV281" s="74"/>
      <c r="AW281" s="61"/>
      <c r="AX281" s="74"/>
      <c r="AY281" s="61"/>
      <c r="AZ281" s="74"/>
      <c r="BA281" s="61"/>
      <c r="BB281" s="74"/>
      <c r="BC281" s="61"/>
      <c r="BD281" s="74"/>
      <c r="BE281" s="267"/>
      <c r="BF281" s="287" t="e">
        <f t="shared" si="1103"/>
        <v>#N/A</v>
      </c>
      <c r="BG281" s="287" t="e">
        <f t="shared" si="1104"/>
        <v>#N/A</v>
      </c>
      <c r="BH281" s="287" t="e">
        <f t="shared" si="1105"/>
        <v>#N/A</v>
      </c>
      <c r="BI281" s="287" t="e">
        <f t="shared" si="1106"/>
        <v>#N/A</v>
      </c>
      <c r="BJ281" s="287" t="e">
        <f t="shared" si="1107"/>
        <v>#N/A</v>
      </c>
      <c r="BK281" s="287" t="e">
        <f t="shared" si="1108"/>
        <v>#N/A</v>
      </c>
      <c r="BL281" s="287" t="e">
        <f t="shared" si="1109"/>
        <v>#N/A</v>
      </c>
      <c r="BM281" s="287" t="e">
        <f t="shared" si="1110"/>
        <v>#N/A</v>
      </c>
    </row>
    <row r="282" spans="1:65" s="102" customFormat="1" ht="14.25" customHeight="1" outlineLevel="2" x14ac:dyDescent="0.2">
      <c r="A282" s="320" t="s">
        <v>226</v>
      </c>
      <c r="B282" s="347"/>
      <c r="C282" s="350"/>
      <c r="D282" s="344"/>
      <c r="E282" s="280" t="s">
        <v>27</v>
      </c>
      <c r="F282" s="60"/>
      <c r="G282" s="61"/>
      <c r="H282" s="61"/>
      <c r="I282" s="61"/>
      <c r="J282" s="61"/>
      <c r="K282" s="61"/>
      <c r="L282" s="61"/>
      <c r="M282" s="61"/>
      <c r="N282" s="61"/>
      <c r="O282" s="61"/>
      <c r="P282" s="61"/>
      <c r="Q282" s="62"/>
      <c r="R282" s="60"/>
      <c r="S282" s="61"/>
      <c r="T282" s="61"/>
      <c r="U282" s="61"/>
      <c r="V282" s="61"/>
      <c r="W282" s="61"/>
      <c r="X282" s="61"/>
      <c r="Y282" s="61"/>
      <c r="Z282" s="61"/>
      <c r="AA282" s="61"/>
      <c r="AB282" s="61"/>
      <c r="AC282" s="62"/>
      <c r="AD282" s="60"/>
      <c r="AE282" s="61"/>
      <c r="AF282" s="61"/>
      <c r="AG282" s="61"/>
      <c r="AH282" s="61"/>
      <c r="AI282" s="61"/>
      <c r="AJ282" s="61"/>
      <c r="AK282" s="61"/>
      <c r="AL282" s="61"/>
      <c r="AM282" s="61"/>
      <c r="AN282" s="61"/>
      <c r="AO282" s="62"/>
      <c r="AP282" s="231" t="str">
        <f>IFERROR(IF(SUM(F282:K282)&lt;&gt;0,SUM(F282:K282),""),"")</f>
        <v/>
      </c>
      <c r="AQ282" s="232" t="str">
        <f>IFERROR(IF(SUM(L282:Q282)&lt;&gt;0,SUM(L282:Q282),""),"")</f>
        <v/>
      </c>
      <c r="AR282" s="231" t="str">
        <f>IFERROR(IF(SUM(R282:W282)&lt;&gt;0,SUM(R282:W282),""),"")</f>
        <v/>
      </c>
      <c r="AS282" s="232" t="str">
        <f>IFERROR(IF(SUM(X282:AC282)&lt;&gt;0,SUM(X282:AC282),""),"")</f>
        <v/>
      </c>
      <c r="AT282" s="231" t="str">
        <f>IFERROR(IF(SUM(AD282:AI282)&lt;&gt;0,SUM(AD282:AI282),""),"")</f>
        <v/>
      </c>
      <c r="AU282" s="232" t="str">
        <f>IFERROR(IF(SUM(AJ282:AO282)&lt;&gt;0,SUM(AJ282:AO282),""),"")</f>
        <v/>
      </c>
      <c r="AV282" s="74"/>
      <c r="AW282" s="61"/>
      <c r="AX282" s="74"/>
      <c r="AY282" s="61"/>
      <c r="AZ282" s="74"/>
      <c r="BA282" s="61"/>
      <c r="BB282" s="74"/>
      <c r="BC282" s="61"/>
      <c r="BD282" s="74"/>
      <c r="BE282" s="267"/>
      <c r="BF282" s="287" t="e">
        <f t="shared" si="1103"/>
        <v>#N/A</v>
      </c>
      <c r="BG282" s="287" t="e">
        <f t="shared" si="1104"/>
        <v>#N/A</v>
      </c>
      <c r="BH282" s="287" t="e">
        <f t="shared" si="1105"/>
        <v>#N/A</v>
      </c>
      <c r="BI282" s="287" t="e">
        <f t="shared" si="1106"/>
        <v>#N/A</v>
      </c>
      <c r="BJ282" s="287" t="e">
        <f t="shared" si="1107"/>
        <v>#N/A</v>
      </c>
      <c r="BK282" s="287" t="e">
        <f t="shared" si="1108"/>
        <v>#N/A</v>
      </c>
      <c r="BL282" s="287" t="e">
        <f t="shared" si="1109"/>
        <v>#N/A</v>
      </c>
      <c r="BM282" s="287" t="e">
        <f t="shared" si="1110"/>
        <v>#N/A</v>
      </c>
    </row>
    <row r="283" spans="1:65" s="102" customFormat="1" ht="15" customHeight="1" outlineLevel="2" thickBot="1" x14ac:dyDescent="0.25">
      <c r="A283" s="320" t="s">
        <v>226</v>
      </c>
      <c r="B283" s="347"/>
      <c r="C283" s="350"/>
      <c r="D283" s="344"/>
      <c r="E283" s="281" t="s">
        <v>88</v>
      </c>
      <c r="F283" s="63"/>
      <c r="G283" s="48"/>
      <c r="H283" s="48"/>
      <c r="I283" s="48"/>
      <c r="J283" s="48"/>
      <c r="K283" s="48"/>
      <c r="L283" s="48"/>
      <c r="M283" s="48"/>
      <c r="N283" s="48"/>
      <c r="O283" s="48"/>
      <c r="P283" s="48"/>
      <c r="Q283" s="51"/>
      <c r="R283" s="63"/>
      <c r="S283" s="48"/>
      <c r="T283" s="48"/>
      <c r="U283" s="48"/>
      <c r="V283" s="48"/>
      <c r="W283" s="48"/>
      <c r="X283" s="48"/>
      <c r="Y283" s="48"/>
      <c r="Z283" s="48"/>
      <c r="AA283" s="48"/>
      <c r="AB283" s="48"/>
      <c r="AC283" s="51"/>
      <c r="AD283" s="63"/>
      <c r="AE283" s="48"/>
      <c r="AF283" s="48"/>
      <c r="AG283" s="48"/>
      <c r="AH283" s="48"/>
      <c r="AI283" s="48"/>
      <c r="AJ283" s="48"/>
      <c r="AK283" s="48"/>
      <c r="AL283" s="48"/>
      <c r="AM283" s="48"/>
      <c r="AN283" s="48"/>
      <c r="AO283" s="51"/>
      <c r="AP283" s="233" t="str">
        <f>IFERROR(IF(SUM(F283:K283)&lt;&gt;0,SUM(F283:K283),""),"")</f>
        <v/>
      </c>
      <c r="AQ283" s="234" t="str">
        <f>IFERROR(IF(SUM(L283:Q283)&lt;&gt;0,SUM(L283:Q283),""),"")</f>
        <v/>
      </c>
      <c r="AR283" s="233" t="str">
        <f>IFERROR(IF(SUM(R283:W283)&lt;&gt;0,SUM(R283:W283),""),"")</f>
        <v/>
      </c>
      <c r="AS283" s="234" t="str">
        <f>IFERROR(IF(SUM(X283:AC283)&lt;&gt;0,SUM(X283:AC283),""),"")</f>
        <v/>
      </c>
      <c r="AT283" s="233" t="str">
        <f>IFERROR(IF(SUM(AD283:AI283)&lt;&gt;0,SUM(AD283:AI283),""),"")</f>
        <v/>
      </c>
      <c r="AU283" s="234" t="str">
        <f>IFERROR(IF(SUM(AJ283:AO283)&lt;&gt;0,SUM(AJ283:AO283),""),"")</f>
        <v/>
      </c>
      <c r="AV283" s="75"/>
      <c r="AW283" s="76"/>
      <c r="AX283" s="75"/>
      <c r="AY283" s="76"/>
      <c r="AZ283" s="75"/>
      <c r="BA283" s="76"/>
      <c r="BB283" s="75"/>
      <c r="BC283" s="76"/>
      <c r="BD283" s="75"/>
      <c r="BE283" s="268"/>
      <c r="BF283" s="271" t="e">
        <f t="shared" si="1103"/>
        <v>#N/A</v>
      </c>
      <c r="BG283" s="271" t="e">
        <f t="shared" si="1104"/>
        <v>#N/A</v>
      </c>
      <c r="BH283" s="271" t="e">
        <f t="shared" si="1105"/>
        <v>#N/A</v>
      </c>
      <c r="BI283" s="271" t="e">
        <f t="shared" si="1106"/>
        <v>#N/A</v>
      </c>
      <c r="BJ283" s="271" t="e">
        <f t="shared" si="1107"/>
        <v>#N/A</v>
      </c>
      <c r="BK283" s="271" t="e">
        <f t="shared" si="1108"/>
        <v>#N/A</v>
      </c>
      <c r="BL283" s="271" t="e">
        <f t="shared" si="1109"/>
        <v>#N/A</v>
      </c>
      <c r="BM283" s="271" t="e">
        <f t="shared" si="1110"/>
        <v>#N/A</v>
      </c>
    </row>
    <row r="284" spans="1:65" s="102" customFormat="1" ht="14.25" customHeight="1" outlineLevel="2" x14ac:dyDescent="0.2">
      <c r="A284" s="320" t="s">
        <v>226</v>
      </c>
      <c r="B284" s="347"/>
      <c r="C284" s="350"/>
      <c r="D284" s="344"/>
      <c r="E284" s="279" t="s">
        <v>32</v>
      </c>
      <c r="F284" s="64"/>
      <c r="G284" s="65"/>
      <c r="H284" s="65"/>
      <c r="I284" s="65"/>
      <c r="J284" s="65"/>
      <c r="K284" s="65"/>
      <c r="L284" s="65"/>
      <c r="M284" s="65"/>
      <c r="N284" s="65"/>
      <c r="O284" s="65"/>
      <c r="P284" s="65"/>
      <c r="Q284" s="66"/>
      <c r="R284" s="64"/>
      <c r="S284" s="65"/>
      <c r="T284" s="65"/>
      <c r="U284" s="65"/>
      <c r="V284" s="65"/>
      <c r="W284" s="65"/>
      <c r="X284" s="65"/>
      <c r="Y284" s="65"/>
      <c r="Z284" s="65"/>
      <c r="AA284" s="65"/>
      <c r="AB284" s="65"/>
      <c r="AC284" s="66"/>
      <c r="AD284" s="64"/>
      <c r="AE284" s="65"/>
      <c r="AF284" s="65"/>
      <c r="AG284" s="65"/>
      <c r="AH284" s="65"/>
      <c r="AI284" s="65"/>
      <c r="AJ284" s="65"/>
      <c r="AK284" s="65"/>
      <c r="AL284" s="65"/>
      <c r="AM284" s="65"/>
      <c r="AN284" s="65"/>
      <c r="AO284" s="66"/>
      <c r="AP284" s="32" t="str">
        <f>IFERROR(IF(AVERAGE(F284:K284)&lt;&gt;0,AVERAGE(F284:K284),""),"")</f>
        <v/>
      </c>
      <c r="AQ284" s="235" t="str">
        <f>IFERROR(IF(AVERAGE(L284:Q284)&lt;&gt;0,AVERAGE(L284:Q284),""),"")</f>
        <v/>
      </c>
      <c r="AR284" s="32" t="str">
        <f>IFERROR(IF(AVERAGE(R284:W284)&lt;&gt;0,AVERAGE(R284:W284),""),"")</f>
        <v/>
      </c>
      <c r="AS284" s="235" t="str">
        <f>IFERROR(IF(AVERAGE(X284:AC284)&lt;&gt;0,AVERAGE(X284:AC284),""),"")</f>
        <v/>
      </c>
      <c r="AT284" s="32" t="str">
        <f>IFERROR(IF(AVERAGE(AD284:AI284)&lt;&gt;0,AVERAGE(AD284:AI284),""),"")</f>
        <v/>
      </c>
      <c r="AU284" s="235" t="str">
        <f>IFERROR(IF(AVERAGE(AJ284:AO284)&lt;&gt;0,AVERAGE(AJ284:AO284),""),"")</f>
        <v/>
      </c>
      <c r="AV284" s="77"/>
      <c r="AW284" s="65"/>
      <c r="AX284" s="77"/>
      <c r="AY284" s="65"/>
      <c r="AZ284" s="77"/>
      <c r="BA284" s="65"/>
      <c r="BB284" s="77"/>
      <c r="BC284" s="65"/>
      <c r="BD284" s="77"/>
      <c r="BE284" s="269"/>
      <c r="BF284" s="272" t="str">
        <f>IFERROR(IF(AVERAGE(AP284:AQ284)&lt;&gt;0,AVERAGE(AP284:AQ284),""),"")</f>
        <v/>
      </c>
      <c r="BG284" s="272" t="str">
        <f>IFERROR(IF(AVERAGE(AR284:AS284)&lt;&gt;0,AVERAGE(AR284:AS284),""),"")</f>
        <v/>
      </c>
      <c r="BH284" s="272" t="str">
        <f>IFERROR(IF(AVERAGE(AT284:AU284)&lt;&gt;0,AVERAGE(AT284:AU284),""),"")</f>
        <v/>
      </c>
      <c r="BI284" s="272" t="str">
        <f>IFERROR(IF(AVERAGE(AV284:AW284)&lt;&gt;0,AVERAGE(AV284:AW284),""),"")</f>
        <v/>
      </c>
      <c r="BJ284" s="272" t="str">
        <f>IFERROR(IF(AVERAGE(AX284:AY284)&lt;&gt;0,AVERAGE(AX284:AY284),""),"")</f>
        <v/>
      </c>
      <c r="BK284" s="272" t="str">
        <f>IFERROR(IF(AVERAGE(AZ284:BA284)&lt;&gt;0,AVERAGE(AZ284:BA284),""),"")</f>
        <v/>
      </c>
      <c r="BL284" s="272" t="str">
        <f>IFERROR(IF(AVERAGE(BB284:BC284)&lt;&gt;0,AVERAGE(BB284:BC284),""),"")</f>
        <v/>
      </c>
      <c r="BM284" s="272" t="str">
        <f>IFERROR(IF(AVERAGE(BD284:BE284)&lt;&gt;0,AVERAGE(BD284:BE284),""),"")</f>
        <v/>
      </c>
    </row>
    <row r="285" spans="1:65" s="102" customFormat="1" ht="15" customHeight="1" outlineLevel="2" thickBot="1" x14ac:dyDescent="0.25">
      <c r="A285" s="320" t="s">
        <v>226</v>
      </c>
      <c r="B285" s="347"/>
      <c r="C285" s="350"/>
      <c r="D285" s="344"/>
      <c r="E285" s="281" t="s">
        <v>2</v>
      </c>
      <c r="F285" s="67"/>
      <c r="G285" s="68"/>
      <c r="H285" s="68"/>
      <c r="I285" s="68"/>
      <c r="J285" s="68"/>
      <c r="K285" s="68"/>
      <c r="L285" s="68"/>
      <c r="M285" s="68"/>
      <c r="N285" s="68"/>
      <c r="O285" s="68"/>
      <c r="P285" s="68"/>
      <c r="Q285" s="69"/>
      <c r="R285" s="67"/>
      <c r="S285" s="68"/>
      <c r="T285" s="68"/>
      <c r="U285" s="68"/>
      <c r="V285" s="68"/>
      <c r="W285" s="68"/>
      <c r="X285" s="68"/>
      <c r="Y285" s="68"/>
      <c r="Z285" s="68"/>
      <c r="AA285" s="68"/>
      <c r="AB285" s="68"/>
      <c r="AC285" s="69"/>
      <c r="AD285" s="67"/>
      <c r="AE285" s="68"/>
      <c r="AF285" s="68"/>
      <c r="AG285" s="68"/>
      <c r="AH285" s="68"/>
      <c r="AI285" s="68"/>
      <c r="AJ285" s="68"/>
      <c r="AK285" s="68"/>
      <c r="AL285" s="68"/>
      <c r="AM285" s="68"/>
      <c r="AN285" s="68"/>
      <c r="AO285" s="69"/>
      <c r="AP285" s="236" t="str">
        <f>IFERROR(IF(AVERAGE(F285:K285)&lt;&gt;0,AVERAGE(F285:K285),""),"")</f>
        <v/>
      </c>
      <c r="AQ285" s="237" t="str">
        <f>IFERROR(IF(AVERAGE(L285:Q285)&lt;&gt;0,AVERAGE(L285:Q285),""),"")</f>
        <v/>
      </c>
      <c r="AR285" s="236" t="str">
        <f>IFERROR(IF(AVERAGE(R285:W285)&lt;&gt;0,AVERAGE(R285:W285),""),"")</f>
        <v/>
      </c>
      <c r="AS285" s="237" t="str">
        <f>IFERROR(IF(AVERAGE(X285:AC285)&lt;&gt;0,AVERAGE(X285:AC285),""),"")</f>
        <v/>
      </c>
      <c r="AT285" s="236" t="str">
        <f>IFERROR(IF(AVERAGE(AD285:AI285)&lt;&gt;0,AVERAGE(AD285:AI285),""),"")</f>
        <v/>
      </c>
      <c r="AU285" s="237" t="str">
        <f>IFERROR(IF(AVERAGE(AJ285:AO285)&lt;&gt;0,AVERAGE(AJ285:AO285),""),"")</f>
        <v/>
      </c>
      <c r="AV285" s="78"/>
      <c r="AW285" s="68"/>
      <c r="AX285" s="78"/>
      <c r="AY285" s="68"/>
      <c r="AZ285" s="78"/>
      <c r="BA285" s="68"/>
      <c r="BB285" s="78"/>
      <c r="BC285" s="68"/>
      <c r="BD285" s="78"/>
      <c r="BE285" s="270"/>
      <c r="BF285" s="288" t="str">
        <f>IFERROR(IF(AVERAGE(AP285:AQ285)&lt;&gt;0,AVERAGE(AP285:AQ285),""),"")</f>
        <v/>
      </c>
      <c r="BG285" s="288" t="str">
        <f>IFERROR(IF(AVERAGE(AR285:AS285)&lt;&gt;0,AVERAGE(AR285:AS285),""),"")</f>
        <v/>
      </c>
      <c r="BH285" s="288" t="str">
        <f>IFERROR(IF(AVERAGE(AT285:AU285)&lt;&gt;0,AVERAGE(AT285:AU285),""),"")</f>
        <v/>
      </c>
      <c r="BI285" s="288" t="str">
        <f>IFERROR(IF(AVERAGE(AV285:AW285)&lt;&gt;0,AVERAGE(AV285:AW285),""),"")</f>
        <v/>
      </c>
      <c r="BJ285" s="288" t="str">
        <f>IFERROR(IF(AVERAGE(AX285:AY285)&lt;&gt;0,AVERAGE(AX285:AY285),""),"")</f>
        <v/>
      </c>
      <c r="BK285" s="288" t="str">
        <f>IFERROR(IF(AVERAGE(AZ285:BA285)&lt;&gt;0,AVERAGE(AZ285:BA285),""),"")</f>
        <v/>
      </c>
      <c r="BL285" s="288" t="str">
        <f>IFERROR(IF(AVERAGE(BB285:BC285)&lt;&gt;0,AVERAGE(BB285:BC285),""),"")</f>
        <v/>
      </c>
      <c r="BM285" s="288" t="str">
        <f>IFERROR(IF(AVERAGE(BD285:BE285)&lt;&gt;0,AVERAGE(BD285:BE285),""),"")</f>
        <v/>
      </c>
    </row>
    <row r="286" spans="1:65" s="102" customFormat="1" ht="14.25" customHeight="1" outlineLevel="1" x14ac:dyDescent="0.2">
      <c r="A286" s="320" t="s">
        <v>226</v>
      </c>
      <c r="B286" s="347"/>
      <c r="C286" s="350"/>
      <c r="D286" s="344"/>
      <c r="E286" s="282" t="s">
        <v>228</v>
      </c>
      <c r="F286" s="283" t="str">
        <f ca="1">IF(IFERROR((F$11*(F278-SUM(F280:F283)/F$11)*F285*3600)/(F284),"")&gt;0,IFERROR((F$11*(F278-SUM(F280:F283)/F$11)*F285*3600)/(F284),""),"")</f>
        <v/>
      </c>
      <c r="G286" s="284" t="str">
        <f t="shared" ref="G286:AO286" ca="1" si="1111">IF(IFERROR((G$11*(G278-SUM(G280:G283)/G$11)*G285*3600)/(G284),"")&gt;0,IFERROR((G$11*(G278-SUM(G280:G283)/G$11)*G285*3600)/(G284),""),"")</f>
        <v/>
      </c>
      <c r="H286" s="284" t="str">
        <f t="shared" ca="1" si="1111"/>
        <v/>
      </c>
      <c r="I286" s="284" t="str">
        <f t="shared" ca="1" si="1111"/>
        <v/>
      </c>
      <c r="J286" s="284" t="str">
        <f t="shared" ca="1" si="1111"/>
        <v/>
      </c>
      <c r="K286" s="284" t="str">
        <f t="shared" ca="1" si="1111"/>
        <v/>
      </c>
      <c r="L286" s="284" t="str">
        <f t="shared" ca="1" si="1111"/>
        <v/>
      </c>
      <c r="M286" s="284" t="str">
        <f t="shared" ca="1" si="1111"/>
        <v/>
      </c>
      <c r="N286" s="284" t="str">
        <f t="shared" ca="1" si="1111"/>
        <v/>
      </c>
      <c r="O286" s="284" t="str">
        <f t="shared" ca="1" si="1111"/>
        <v/>
      </c>
      <c r="P286" s="284" t="str">
        <f t="shared" ca="1" si="1111"/>
        <v/>
      </c>
      <c r="Q286" s="284" t="str">
        <f t="shared" ca="1" si="1111"/>
        <v/>
      </c>
      <c r="R286" s="283" t="str">
        <f t="shared" ca="1" si="1111"/>
        <v/>
      </c>
      <c r="S286" s="284" t="str">
        <f t="shared" ca="1" si="1111"/>
        <v/>
      </c>
      <c r="T286" s="284" t="str">
        <f t="shared" ca="1" si="1111"/>
        <v/>
      </c>
      <c r="U286" s="284" t="str">
        <f t="shared" ca="1" si="1111"/>
        <v/>
      </c>
      <c r="V286" s="284" t="str">
        <f t="shared" ca="1" si="1111"/>
        <v/>
      </c>
      <c r="W286" s="284" t="str">
        <f t="shared" ca="1" si="1111"/>
        <v/>
      </c>
      <c r="X286" s="284" t="str">
        <f t="shared" ca="1" si="1111"/>
        <v/>
      </c>
      <c r="Y286" s="284" t="str">
        <f t="shared" ca="1" si="1111"/>
        <v/>
      </c>
      <c r="Z286" s="284" t="str">
        <f t="shared" ca="1" si="1111"/>
        <v/>
      </c>
      <c r="AA286" s="284" t="str">
        <f t="shared" ca="1" si="1111"/>
        <v/>
      </c>
      <c r="AB286" s="284" t="str">
        <f t="shared" ca="1" si="1111"/>
        <v/>
      </c>
      <c r="AC286" s="284" t="str">
        <f t="shared" ca="1" si="1111"/>
        <v/>
      </c>
      <c r="AD286" s="283" t="str">
        <f t="shared" ca="1" si="1111"/>
        <v/>
      </c>
      <c r="AE286" s="284" t="str">
        <f t="shared" ca="1" si="1111"/>
        <v/>
      </c>
      <c r="AF286" s="284" t="str">
        <f t="shared" ca="1" si="1111"/>
        <v/>
      </c>
      <c r="AG286" s="284" t="str">
        <f t="shared" ca="1" si="1111"/>
        <v/>
      </c>
      <c r="AH286" s="284" t="str">
        <f t="shared" ca="1" si="1111"/>
        <v/>
      </c>
      <c r="AI286" s="284" t="str">
        <f t="shared" ca="1" si="1111"/>
        <v/>
      </c>
      <c r="AJ286" s="284" t="str">
        <f t="shared" ca="1" si="1111"/>
        <v/>
      </c>
      <c r="AK286" s="284" t="str">
        <f t="shared" ca="1" si="1111"/>
        <v/>
      </c>
      <c r="AL286" s="284" t="str">
        <f t="shared" ca="1" si="1111"/>
        <v/>
      </c>
      <c r="AM286" s="284" t="str">
        <f t="shared" ca="1" si="1111"/>
        <v/>
      </c>
      <c r="AN286" s="284" t="str">
        <f t="shared" ca="1" si="1111"/>
        <v/>
      </c>
      <c r="AO286" s="284" t="str">
        <f t="shared" ca="1" si="1111"/>
        <v/>
      </c>
      <c r="AP286" s="283" t="e">
        <f t="shared" ref="AP286:AP287" ca="1" si="1112">IF(SUM(F286:K286)&lt;&gt;0,SUM(F286:K286),#N/A)</f>
        <v>#N/A</v>
      </c>
      <c r="AQ286" s="284" t="e">
        <f t="shared" ref="AQ286:AQ287" ca="1" si="1113">IF(SUM(L286:Q286)&lt;&gt;0,SUM(L286:Q286),#N/A)</f>
        <v>#N/A</v>
      </c>
      <c r="AR286" s="283" t="e">
        <f t="shared" ref="AR286:AR287" ca="1" si="1114">IF(SUM(R286:W286)&lt;&gt;0,SUM(R286:W286),#N/A)</f>
        <v>#N/A</v>
      </c>
      <c r="AS286" s="284" t="e">
        <f t="shared" ref="AS286:AS287" ca="1" si="1115">IF(SUM(X286:AC286)&lt;&gt;0,SUM(X286:AC286),#N/A)</f>
        <v>#N/A</v>
      </c>
      <c r="AT286" s="283" t="e">
        <f t="shared" ref="AT286:AT287" ca="1" si="1116">IF(SUM(AD286:AI286)&lt;&gt;0,SUM(AD286:AI286),#N/A)</f>
        <v>#N/A</v>
      </c>
      <c r="AU286" s="284" t="e">
        <f t="shared" ref="AU286:AU287" ca="1" si="1117">IF(SUM(AJ286:AO286)&lt;&gt;0,SUM(AJ286:AO286),#N/A)</f>
        <v>#N/A</v>
      </c>
      <c r="AV286" s="283" t="str">
        <f ca="1">IF(IFERROR((AV$11*(AV278-SUM(AV280:AV283)/AV$11)*AV285*3600)/(AV284),"")&lt;&gt;0,IFERROR((AV$11*(AV278-SUM(AV280:AV283)/AV$11)*AV285*3600)/(AV284),""),"")</f>
        <v/>
      </c>
      <c r="AW286" s="284" t="str">
        <f t="shared" ref="AW286:BE286" ca="1" si="1118">IF(IFERROR((AW$11*(AW278-SUM(AW280:AW283)/AW$11)*AW285*3600)/(AW284),"")&lt;&gt;0,IFERROR((AW$11*(AW278-SUM(AW280:AW283)/AW$11)*AW285*3600)/(AW284),""),"")</f>
        <v/>
      </c>
      <c r="AX286" s="283" t="str">
        <f t="shared" ca="1" si="1118"/>
        <v/>
      </c>
      <c r="AY286" s="284" t="str">
        <f t="shared" ca="1" si="1118"/>
        <v/>
      </c>
      <c r="AZ286" s="283" t="str">
        <f t="shared" ca="1" si="1118"/>
        <v/>
      </c>
      <c r="BA286" s="284" t="str">
        <f t="shared" ca="1" si="1118"/>
        <v/>
      </c>
      <c r="BB286" s="283" t="str">
        <f t="shared" ca="1" si="1118"/>
        <v/>
      </c>
      <c r="BC286" s="284" t="str">
        <f t="shared" ca="1" si="1118"/>
        <v/>
      </c>
      <c r="BD286" s="283" t="str">
        <f t="shared" ca="1" si="1118"/>
        <v/>
      </c>
      <c r="BE286" s="285" t="str">
        <f t="shared" ca="1" si="1118"/>
        <v/>
      </c>
      <c r="BF286" s="285" t="e">
        <f t="shared" ref="BF286:BF288" ca="1" si="1119">IF(SUM(AP286,AQ286)&lt;&gt;0,SUM(AP286,AQ286),#N/A)</f>
        <v>#N/A</v>
      </c>
      <c r="BG286" s="285" t="e">
        <f t="shared" ref="BG286:BG288" ca="1" si="1120">IF(SUM(AR286,AS286)&lt;&gt;0,SUM(AR286,AS286),#N/A)</f>
        <v>#N/A</v>
      </c>
      <c r="BH286" s="285" t="e">
        <f t="shared" ref="BH286:BH288" ca="1" si="1121">IF(SUM(AT286,AU286)&lt;&gt;0,SUM(AT286,AU286),#N/A)</f>
        <v>#N/A</v>
      </c>
      <c r="BI286" s="285" t="e">
        <f t="shared" ref="BI286:BI288" ca="1" si="1122">IF(SUM(AV286,AW286)&lt;&gt;0,SUM(AV286,AW286),#N/A)</f>
        <v>#N/A</v>
      </c>
      <c r="BJ286" s="285" t="e">
        <f t="shared" ref="BJ286:BJ288" ca="1" si="1123">IF(SUM(AX286,AY286)&lt;&gt;0,SUM(AX286,AY286),#N/A)</f>
        <v>#N/A</v>
      </c>
      <c r="BK286" s="285" t="e">
        <f t="shared" ref="BK286:BK288" ca="1" si="1124">IF(SUM(AZ286,BA286)&lt;&gt;0,SUM(AZ286,BA286),#N/A)</f>
        <v>#N/A</v>
      </c>
      <c r="BL286" s="285" t="e">
        <f t="shared" ref="BL286:BL288" ca="1" si="1125">IF(SUM(BB286,BC286)&lt;&gt;0,SUM(BB286,BC286),#N/A)</f>
        <v>#N/A</v>
      </c>
      <c r="BM286" s="285" t="e">
        <f t="shared" ref="BM286:BM288" ca="1" si="1126">IF(SUM(BD286,BE286)&lt;&gt;0,SUM(BD286,BE286),#N/A)</f>
        <v>#N/A</v>
      </c>
    </row>
    <row r="287" spans="1:65" s="102" customFormat="1" ht="15" customHeight="1" outlineLevel="1" thickBot="1" x14ac:dyDescent="0.25">
      <c r="A287" s="320" t="s">
        <v>226</v>
      </c>
      <c r="B287" s="348"/>
      <c r="C287" s="351"/>
      <c r="D287" s="345"/>
      <c r="E287" s="104" t="s">
        <v>225</v>
      </c>
      <c r="F287" s="317" t="str">
        <f ca="1">IFERROR(F286+((F277*F279*F285*3600)/(F284)),"")</f>
        <v/>
      </c>
      <c r="G287" s="318" t="str">
        <f t="shared" ref="G287:AO287" ca="1" si="1127">IFERROR(G286+((G277*G279*G285*3600)/(G284)),"")</f>
        <v/>
      </c>
      <c r="H287" s="318" t="str">
        <f t="shared" ca="1" si="1127"/>
        <v/>
      </c>
      <c r="I287" s="318" t="str">
        <f t="shared" ca="1" si="1127"/>
        <v/>
      </c>
      <c r="J287" s="318" t="str">
        <f t="shared" ca="1" si="1127"/>
        <v/>
      </c>
      <c r="K287" s="318" t="str">
        <f t="shared" ca="1" si="1127"/>
        <v/>
      </c>
      <c r="L287" s="318" t="str">
        <f t="shared" ca="1" si="1127"/>
        <v/>
      </c>
      <c r="M287" s="318" t="str">
        <f t="shared" ca="1" si="1127"/>
        <v/>
      </c>
      <c r="N287" s="318" t="str">
        <f t="shared" ca="1" si="1127"/>
        <v/>
      </c>
      <c r="O287" s="318" t="str">
        <f t="shared" ca="1" si="1127"/>
        <v/>
      </c>
      <c r="P287" s="318" t="str">
        <f t="shared" ca="1" si="1127"/>
        <v/>
      </c>
      <c r="Q287" s="318" t="str">
        <f t="shared" ca="1" si="1127"/>
        <v/>
      </c>
      <c r="R287" s="317" t="str">
        <f t="shared" ca="1" si="1127"/>
        <v/>
      </c>
      <c r="S287" s="318" t="str">
        <f t="shared" ca="1" si="1127"/>
        <v/>
      </c>
      <c r="T287" s="318" t="str">
        <f t="shared" ca="1" si="1127"/>
        <v/>
      </c>
      <c r="U287" s="318" t="str">
        <f t="shared" ca="1" si="1127"/>
        <v/>
      </c>
      <c r="V287" s="318" t="str">
        <f t="shared" ca="1" si="1127"/>
        <v/>
      </c>
      <c r="W287" s="318" t="str">
        <f t="shared" ca="1" si="1127"/>
        <v/>
      </c>
      <c r="X287" s="318" t="str">
        <f t="shared" ca="1" si="1127"/>
        <v/>
      </c>
      <c r="Y287" s="318" t="str">
        <f t="shared" ca="1" si="1127"/>
        <v/>
      </c>
      <c r="Z287" s="318" t="str">
        <f t="shared" ca="1" si="1127"/>
        <v/>
      </c>
      <c r="AA287" s="318" t="str">
        <f t="shared" ca="1" si="1127"/>
        <v/>
      </c>
      <c r="AB287" s="318" t="str">
        <f t="shared" ca="1" si="1127"/>
        <v/>
      </c>
      <c r="AC287" s="318" t="str">
        <f t="shared" ca="1" si="1127"/>
        <v/>
      </c>
      <c r="AD287" s="317" t="str">
        <f t="shared" ca="1" si="1127"/>
        <v/>
      </c>
      <c r="AE287" s="318" t="str">
        <f t="shared" ca="1" si="1127"/>
        <v/>
      </c>
      <c r="AF287" s="318" t="str">
        <f t="shared" ca="1" si="1127"/>
        <v/>
      </c>
      <c r="AG287" s="318" t="str">
        <f t="shared" ca="1" si="1127"/>
        <v/>
      </c>
      <c r="AH287" s="318" t="str">
        <f t="shared" ca="1" si="1127"/>
        <v/>
      </c>
      <c r="AI287" s="318" t="str">
        <f t="shared" ca="1" si="1127"/>
        <v/>
      </c>
      <c r="AJ287" s="318" t="str">
        <f t="shared" ca="1" si="1127"/>
        <v/>
      </c>
      <c r="AK287" s="318" t="str">
        <f t="shared" ca="1" si="1127"/>
        <v/>
      </c>
      <c r="AL287" s="318" t="str">
        <f t="shared" ca="1" si="1127"/>
        <v/>
      </c>
      <c r="AM287" s="318" t="str">
        <f t="shared" ca="1" si="1127"/>
        <v/>
      </c>
      <c r="AN287" s="318" t="str">
        <f t="shared" ca="1" si="1127"/>
        <v/>
      </c>
      <c r="AO287" s="318" t="str">
        <f t="shared" ca="1" si="1127"/>
        <v/>
      </c>
      <c r="AP287" s="317" t="e">
        <f t="shared" ca="1" si="1112"/>
        <v>#N/A</v>
      </c>
      <c r="AQ287" s="318" t="e">
        <f t="shared" ca="1" si="1113"/>
        <v>#N/A</v>
      </c>
      <c r="AR287" s="317" t="e">
        <f t="shared" ca="1" si="1114"/>
        <v>#N/A</v>
      </c>
      <c r="AS287" s="318" t="e">
        <f t="shared" ca="1" si="1115"/>
        <v>#N/A</v>
      </c>
      <c r="AT287" s="317" t="e">
        <f t="shared" ca="1" si="1116"/>
        <v>#N/A</v>
      </c>
      <c r="AU287" s="318" t="e">
        <f t="shared" ca="1" si="1117"/>
        <v>#N/A</v>
      </c>
      <c r="AV287" s="317" t="str">
        <f t="shared" ref="AV287:BE287" ca="1" si="1128">IFERROR(AV286+((AV277*AV279*AV285*3600)/(AV284)),"")</f>
        <v/>
      </c>
      <c r="AW287" s="318" t="str">
        <f t="shared" ca="1" si="1128"/>
        <v/>
      </c>
      <c r="AX287" s="317" t="str">
        <f t="shared" ca="1" si="1128"/>
        <v/>
      </c>
      <c r="AY287" s="318" t="str">
        <f t="shared" ca="1" si="1128"/>
        <v/>
      </c>
      <c r="AZ287" s="317" t="str">
        <f t="shared" ca="1" si="1128"/>
        <v/>
      </c>
      <c r="BA287" s="318" t="str">
        <f t="shared" ca="1" si="1128"/>
        <v/>
      </c>
      <c r="BB287" s="317" t="str">
        <f t="shared" ca="1" si="1128"/>
        <v/>
      </c>
      <c r="BC287" s="318" t="str">
        <f t="shared" ca="1" si="1128"/>
        <v/>
      </c>
      <c r="BD287" s="317" t="str">
        <f t="shared" ca="1" si="1128"/>
        <v/>
      </c>
      <c r="BE287" s="291" t="str">
        <f t="shared" ca="1" si="1128"/>
        <v/>
      </c>
      <c r="BF287" s="291" t="e">
        <f t="shared" ca="1" si="1119"/>
        <v>#N/A</v>
      </c>
      <c r="BG287" s="291" t="e">
        <f t="shared" ca="1" si="1120"/>
        <v>#N/A</v>
      </c>
      <c r="BH287" s="291" t="e">
        <f t="shared" ca="1" si="1121"/>
        <v>#N/A</v>
      </c>
      <c r="BI287" s="291" t="e">
        <f t="shared" ca="1" si="1122"/>
        <v>#N/A</v>
      </c>
      <c r="BJ287" s="291" t="e">
        <f t="shared" ca="1" si="1123"/>
        <v>#N/A</v>
      </c>
      <c r="BK287" s="291" t="e">
        <f t="shared" ca="1" si="1124"/>
        <v>#N/A</v>
      </c>
      <c r="BL287" s="291" t="e">
        <f t="shared" ca="1" si="1125"/>
        <v>#N/A</v>
      </c>
      <c r="BM287" s="291" t="e">
        <f t="shared" ca="1" si="1126"/>
        <v>#N/A</v>
      </c>
    </row>
    <row r="288" spans="1:65" s="102" customFormat="1" ht="22.5" outlineLevel="2" x14ac:dyDescent="0.2">
      <c r="A288" s="320" t="s">
        <v>226</v>
      </c>
      <c r="B288" s="346"/>
      <c r="C288" s="349" t="str">
        <f t="shared" ref="C288" si="1129">IF(AND($B288&lt;&gt;0,$C$9&lt;&gt;0),$C$9,"")</f>
        <v/>
      </c>
      <c r="D288" s="343"/>
      <c r="E288" s="277" t="s">
        <v>40</v>
      </c>
      <c r="F288" s="33">
        <f ca="1">IF(F$11-(SUM(F292:F295)/24)=0,"",F$11-(SUM(F292:F295)/24))</f>
        <v>27</v>
      </c>
      <c r="G288" s="34">
        <f t="shared" ref="G288:AO288" ca="1" si="1130">IF(G$11-(SUM(G292:G295)/24)=0,"",G$11-(SUM(G292:G295)/24))</f>
        <v>24</v>
      </c>
      <c r="H288" s="34">
        <f t="shared" ca="1" si="1130"/>
        <v>26</v>
      </c>
      <c r="I288" s="34">
        <f t="shared" ca="1" si="1130"/>
        <v>26</v>
      </c>
      <c r="J288" s="34">
        <f t="shared" ca="1" si="1130"/>
        <v>27</v>
      </c>
      <c r="K288" s="34">
        <f t="shared" ca="1" si="1130"/>
        <v>25</v>
      </c>
      <c r="L288" s="34">
        <f t="shared" ca="1" si="1130"/>
        <v>27</v>
      </c>
      <c r="M288" s="34">
        <f t="shared" ca="1" si="1130"/>
        <v>26</v>
      </c>
      <c r="N288" s="34">
        <f t="shared" ca="1" si="1130"/>
        <v>26</v>
      </c>
      <c r="O288" s="34">
        <f t="shared" ca="1" si="1130"/>
        <v>27</v>
      </c>
      <c r="P288" s="34">
        <f t="shared" ca="1" si="1130"/>
        <v>25</v>
      </c>
      <c r="Q288" s="34">
        <f t="shared" ca="1" si="1130"/>
        <v>27</v>
      </c>
      <c r="R288" s="32">
        <f t="shared" ca="1" si="1130"/>
        <v>27</v>
      </c>
      <c r="S288" s="29">
        <f t="shared" ca="1" si="1130"/>
        <v>24</v>
      </c>
      <c r="T288" s="29">
        <f t="shared" ca="1" si="1130"/>
        <v>26</v>
      </c>
      <c r="U288" s="29">
        <f t="shared" ca="1" si="1130"/>
        <v>26</v>
      </c>
      <c r="V288" s="29">
        <f t="shared" ca="1" si="1130"/>
        <v>26</v>
      </c>
      <c r="W288" s="29">
        <f t="shared" ca="1" si="1130"/>
        <v>26</v>
      </c>
      <c r="X288" s="29">
        <f t="shared" ca="1" si="1130"/>
        <v>27</v>
      </c>
      <c r="Y288" s="29">
        <f t="shared" ca="1" si="1130"/>
        <v>26</v>
      </c>
      <c r="Z288" s="29">
        <f t="shared" ca="1" si="1130"/>
        <v>26</v>
      </c>
      <c r="AA288" s="29">
        <f t="shared" ca="1" si="1130"/>
        <v>27</v>
      </c>
      <c r="AB288" s="29">
        <f t="shared" ca="1" si="1130"/>
        <v>25</v>
      </c>
      <c r="AC288" s="29">
        <f t="shared" ca="1" si="1130"/>
        <v>27</v>
      </c>
      <c r="AD288" s="32">
        <f t="shared" ca="1" si="1130"/>
        <v>26</v>
      </c>
      <c r="AE288" s="29">
        <f t="shared" ca="1" si="1130"/>
        <v>24</v>
      </c>
      <c r="AF288" s="29">
        <f t="shared" ca="1" si="1130"/>
        <v>27</v>
      </c>
      <c r="AG288" s="29">
        <f t="shared" ca="1" si="1130"/>
        <v>26</v>
      </c>
      <c r="AH288" s="29">
        <f t="shared" ca="1" si="1130"/>
        <v>26</v>
      </c>
      <c r="AI288" s="29">
        <f t="shared" ca="1" si="1130"/>
        <v>26</v>
      </c>
      <c r="AJ288" s="29">
        <f t="shared" ca="1" si="1130"/>
        <v>27</v>
      </c>
      <c r="AK288" s="29">
        <f t="shared" ca="1" si="1130"/>
        <v>26</v>
      </c>
      <c r="AL288" s="29">
        <f t="shared" ca="1" si="1130"/>
        <v>26</v>
      </c>
      <c r="AM288" s="29">
        <f t="shared" ca="1" si="1130"/>
        <v>26</v>
      </c>
      <c r="AN288" s="29">
        <f t="shared" ca="1" si="1130"/>
        <v>26</v>
      </c>
      <c r="AO288" s="29">
        <f t="shared" ca="1" si="1130"/>
        <v>27</v>
      </c>
      <c r="AP288" s="32">
        <f ca="1">IF(SUM(F288:K288)&lt;&gt;0,SUM(F288:K288),"")</f>
        <v>155</v>
      </c>
      <c r="AQ288" s="29">
        <f ca="1">IF(SUM(L288:Q288)&lt;&gt;0,SUM(L288:Q288),"")</f>
        <v>158</v>
      </c>
      <c r="AR288" s="32">
        <f ca="1">IF(SUM(R288:W288)&lt;&gt;0,SUM(R288:W288),"")</f>
        <v>155</v>
      </c>
      <c r="AS288" s="29">
        <f ca="1">IF(SUM(X288:AC288)&lt;&gt;0,SUM(X288:AC288),"")</f>
        <v>158</v>
      </c>
      <c r="AT288" s="32">
        <f ca="1">IF(SUM(AD288:AI288)&lt;&gt;0,SUM(AD288:AI288),"")</f>
        <v>155</v>
      </c>
      <c r="AU288" s="296">
        <f ca="1">SUM(AJ288:AO288)</f>
        <v>158</v>
      </c>
      <c r="AV288" s="32">
        <f t="shared" ref="AV288:BE288" ca="1" si="1131">IF(AV$11-(SUM(AV292:AV295)/24)=0,"",AV$11-(SUM(AV292:AV295)/24))</f>
        <v>156</v>
      </c>
      <c r="AW288" s="29">
        <f t="shared" ca="1" si="1131"/>
        <v>157</v>
      </c>
      <c r="AX288" s="32">
        <f t="shared" ca="1" si="1131"/>
        <v>156</v>
      </c>
      <c r="AY288" s="29">
        <f t="shared" ca="1" si="1131"/>
        <v>158</v>
      </c>
      <c r="AZ288" s="32">
        <f t="shared" ca="1" si="1131"/>
        <v>155</v>
      </c>
      <c r="BA288" s="29">
        <f t="shared" ca="1" si="1131"/>
        <v>158</v>
      </c>
      <c r="BB288" s="32">
        <f t="shared" ca="1" si="1131"/>
        <v>155</v>
      </c>
      <c r="BC288" s="29">
        <f t="shared" ca="1" si="1131"/>
        <v>158</v>
      </c>
      <c r="BD288" s="32">
        <f t="shared" ca="1" si="1131"/>
        <v>156</v>
      </c>
      <c r="BE288" s="262">
        <f t="shared" ca="1" si="1131"/>
        <v>158</v>
      </c>
      <c r="BF288" s="286">
        <f t="shared" ca="1" si="1119"/>
        <v>313</v>
      </c>
      <c r="BG288" s="286">
        <f t="shared" ca="1" si="1120"/>
        <v>313</v>
      </c>
      <c r="BH288" s="286">
        <f t="shared" ca="1" si="1121"/>
        <v>313</v>
      </c>
      <c r="BI288" s="286">
        <f t="shared" ca="1" si="1122"/>
        <v>313</v>
      </c>
      <c r="BJ288" s="286">
        <f t="shared" ca="1" si="1123"/>
        <v>314</v>
      </c>
      <c r="BK288" s="286">
        <f t="shared" ca="1" si="1124"/>
        <v>313</v>
      </c>
      <c r="BL288" s="286">
        <f t="shared" ca="1" si="1125"/>
        <v>313</v>
      </c>
      <c r="BM288" s="286">
        <f t="shared" ca="1" si="1126"/>
        <v>314</v>
      </c>
    </row>
    <row r="289" spans="1:65" s="102" customFormat="1" ht="15" customHeight="1" outlineLevel="2" thickBot="1" x14ac:dyDescent="0.25">
      <c r="A289" s="320" t="s">
        <v>226</v>
      </c>
      <c r="B289" s="347"/>
      <c r="C289" s="350"/>
      <c r="D289" s="344"/>
      <c r="E289" s="278" t="s">
        <v>29</v>
      </c>
      <c r="F289" s="47"/>
      <c r="G289" s="48"/>
      <c r="H289" s="48"/>
      <c r="I289" s="48"/>
      <c r="J289" s="48"/>
      <c r="K289" s="48"/>
      <c r="L289" s="48"/>
      <c r="M289" s="48"/>
      <c r="N289" s="48"/>
      <c r="O289" s="48"/>
      <c r="P289" s="48"/>
      <c r="Q289" s="51"/>
      <c r="R289" s="47"/>
      <c r="S289" s="48"/>
      <c r="T289" s="48"/>
      <c r="U289" s="48"/>
      <c r="V289" s="48"/>
      <c r="W289" s="48"/>
      <c r="X289" s="48"/>
      <c r="Y289" s="48"/>
      <c r="Z289" s="48"/>
      <c r="AA289" s="48"/>
      <c r="AB289" s="48"/>
      <c r="AC289" s="51"/>
      <c r="AD289" s="47"/>
      <c r="AE289" s="48"/>
      <c r="AF289" s="48"/>
      <c r="AG289" s="48"/>
      <c r="AH289" s="48"/>
      <c r="AI289" s="48"/>
      <c r="AJ289" s="48"/>
      <c r="AK289" s="48"/>
      <c r="AL289" s="48"/>
      <c r="AM289" s="48"/>
      <c r="AN289" s="48"/>
      <c r="AO289" s="51"/>
      <c r="AP289" s="294" t="str">
        <f>IFERROR(IF(SUM(F289:K289)&lt;&gt;0,SUM(F289:K289),""),"")</f>
        <v/>
      </c>
      <c r="AQ289" s="295" t="str">
        <f>IFERROR(IF(SUM(L289:Q289)&lt;&gt;0,SUM(L289:Q289),""),"")</f>
        <v/>
      </c>
      <c r="AR289" s="294" t="str">
        <f>IFERROR(IF(SUM(R289:W289)&lt;&gt;0,SUM(R289:W289),""),"")</f>
        <v/>
      </c>
      <c r="AS289" s="295" t="str">
        <f>IFERROR(IF(SUM(X289:AC289)&lt;&gt;0,SUM(X289:AC289),""),"")</f>
        <v/>
      </c>
      <c r="AT289" s="294" t="str">
        <f>IFERROR(IF(SUM(AD289:AI289)&lt;&gt;0,SUM(AD289:AI289),""),"")</f>
        <v/>
      </c>
      <c r="AU289" s="295" t="str">
        <f>IFERROR(IF(SUM(AJ289:AO289)&lt;&gt;0,SUM(AJ289:AO289),""),"")</f>
        <v/>
      </c>
      <c r="AV289" s="47"/>
      <c r="AW289" s="51"/>
      <c r="AX289" s="47"/>
      <c r="AY289" s="51"/>
      <c r="AZ289" s="47"/>
      <c r="BA289" s="51"/>
      <c r="BB289" s="47"/>
      <c r="BC289" s="51"/>
      <c r="BD289" s="47"/>
      <c r="BE289" s="263"/>
      <c r="BF289" s="271" t="str">
        <f>IFERROR(IF(AVERAGE(AP289:AQ289)&lt;&gt;0,AVERAGE(AP289:AQ289),""),"")</f>
        <v/>
      </c>
      <c r="BG289" s="271" t="str">
        <f>IFERROR(IF(AVERAGE(AR289:AS289)&lt;&gt;0,AVERAGE(AR289:AS289),""),"")</f>
        <v/>
      </c>
      <c r="BH289" s="271" t="str">
        <f>IFERROR(IF(AVERAGE(AT289:AU289)&lt;&gt;0,AVERAGE(AT289:AU289),""),"")</f>
        <v/>
      </c>
      <c r="BI289" s="271" t="str">
        <f>IFERROR(IF(AVERAGE(AV289:AW289)&lt;&gt;0,AVERAGE(AV289:AW289),""),"")</f>
        <v/>
      </c>
      <c r="BJ289" s="271" t="str">
        <f>IFERROR(IF(AVERAGE(AX289:AY289)&lt;&gt;0,AVERAGE(AX289:AY289),""),"")</f>
        <v/>
      </c>
      <c r="BK289" s="271" t="str">
        <f>IFERROR(IF(AVERAGE(AZ289:BA289)&lt;&gt;0,AVERAGE(AZ289:BA289),""),"")</f>
        <v/>
      </c>
      <c r="BL289" s="271" t="str">
        <f>IFERROR(IF(AVERAGE(BB289:BC289)&lt;&gt;0,AVERAGE(BB289:BC289),""),"")</f>
        <v/>
      </c>
      <c r="BM289" s="271" t="str">
        <f>IFERROR(IF(AVERAGE(BD289:BE289)&lt;&gt;0,AVERAGE(BD289:BE289),""),"")</f>
        <v/>
      </c>
    </row>
    <row r="290" spans="1:65" s="102" customFormat="1" ht="14.25" customHeight="1" outlineLevel="2" x14ac:dyDescent="0.2">
      <c r="A290" s="320" t="s">
        <v>226</v>
      </c>
      <c r="B290" s="347"/>
      <c r="C290" s="350"/>
      <c r="D290" s="344"/>
      <c r="E290" s="279" t="s">
        <v>28</v>
      </c>
      <c r="F290" s="52"/>
      <c r="G290" s="53"/>
      <c r="H290" s="53"/>
      <c r="I290" s="53"/>
      <c r="J290" s="53"/>
      <c r="K290" s="53"/>
      <c r="L290" s="53"/>
      <c r="M290" s="53"/>
      <c r="N290" s="53"/>
      <c r="O290" s="53"/>
      <c r="P290" s="53"/>
      <c r="Q290" s="54"/>
      <c r="R290" s="52"/>
      <c r="S290" s="53"/>
      <c r="T290" s="53"/>
      <c r="U290" s="53"/>
      <c r="V290" s="53"/>
      <c r="W290" s="53"/>
      <c r="X290" s="53"/>
      <c r="Y290" s="53"/>
      <c r="Z290" s="53"/>
      <c r="AA290" s="53"/>
      <c r="AB290" s="53"/>
      <c r="AC290" s="54"/>
      <c r="AD290" s="52"/>
      <c r="AE290" s="53"/>
      <c r="AF290" s="53"/>
      <c r="AG290" s="53"/>
      <c r="AH290" s="53"/>
      <c r="AI290" s="53"/>
      <c r="AJ290" s="53"/>
      <c r="AK290" s="53"/>
      <c r="AL290" s="53"/>
      <c r="AM290" s="53"/>
      <c r="AN290" s="53"/>
      <c r="AO290" s="54"/>
      <c r="AP290" s="225" t="str">
        <f>IFERROR(IF(AVERAGE(F290:K290)&lt;&gt;0,AVERAGE(F290:K290),""),"")</f>
        <v/>
      </c>
      <c r="AQ290" s="226" t="str">
        <f>IFERROR(IF(AVERAGE(L290:Q290)&lt;&gt;0,AVERAGE(L290:Q290),""),"")</f>
        <v/>
      </c>
      <c r="AR290" s="225" t="str">
        <f>IFERROR(IF(AVERAGE(R290:W290)&lt;&gt;0,AVERAGE(R290:W290),""),"")</f>
        <v/>
      </c>
      <c r="AS290" s="226" t="str">
        <f>IFERROR(IF(AVERAGE(X290:AC290)&lt;&gt;0,AVERAGE(X290:AC290),""),"")</f>
        <v/>
      </c>
      <c r="AT290" s="225" t="str">
        <f>IFERROR(IF(AVERAGE(AD290:AI290)&lt;&gt;0,AVERAGE(AD290:AI290),""),"")</f>
        <v/>
      </c>
      <c r="AU290" s="226" t="str">
        <f>IFERROR(IF(AVERAGE(AJ290:AO290)&lt;&gt;0,AVERAGE(AJ290:AO290),""),"")</f>
        <v/>
      </c>
      <c r="AV290" s="70"/>
      <c r="AW290" s="53"/>
      <c r="AX290" s="70"/>
      <c r="AY290" s="53"/>
      <c r="AZ290" s="70"/>
      <c r="BA290" s="53"/>
      <c r="BB290" s="70"/>
      <c r="BC290" s="53"/>
      <c r="BD290" s="70"/>
      <c r="BE290" s="264"/>
      <c r="BF290" s="272" t="str">
        <f>IFERROR(IF(AVERAGE(AP290:AQ290)&lt;&gt;0,AVERAGE(AP290:AQ290),""),"")</f>
        <v/>
      </c>
      <c r="BG290" s="272" t="str">
        <f>IFERROR(IF(AVERAGE(AR290:AS290)&lt;&gt;0,AVERAGE(AR290:AS290),""),"")</f>
        <v/>
      </c>
      <c r="BH290" s="272" t="str">
        <f>IFERROR(IF(AVERAGE(AT290:AU290)&lt;&gt;0,AVERAGE(AT290:AU290),""),"")</f>
        <v/>
      </c>
      <c r="BI290" s="272" t="str">
        <f>IFERROR(IF(AVERAGE(AV290:AW290)&lt;&gt;0,AVERAGE(AV290:AW290),""),"")</f>
        <v/>
      </c>
      <c r="BJ290" s="272" t="str">
        <f>IFERROR(IF(AVERAGE(AX290:AY290)&lt;&gt;0,AVERAGE(AX290:AY290),""),"")</f>
        <v/>
      </c>
      <c r="BK290" s="272" t="str">
        <f>IFERROR(IF(AVERAGE(AZ290:BA290)&lt;&gt;0,AVERAGE(AZ290:BA290),""),"")</f>
        <v/>
      </c>
      <c r="BL290" s="272" t="str">
        <f>IFERROR(IF(AVERAGE(BB290:BC290)&lt;&gt;0,AVERAGE(BB290:BC290),""),"")</f>
        <v/>
      </c>
      <c r="BM290" s="272" t="str">
        <f>IFERROR(IF(AVERAGE(BD290:BE290)&lt;&gt;0,AVERAGE(BD290:BE290),""),"")</f>
        <v/>
      </c>
    </row>
    <row r="291" spans="1:65" s="102" customFormat="1" ht="15" customHeight="1" outlineLevel="2" thickBot="1" x14ac:dyDescent="0.25">
      <c r="A291" s="320" t="s">
        <v>226</v>
      </c>
      <c r="B291" s="347"/>
      <c r="C291" s="350"/>
      <c r="D291" s="344"/>
      <c r="E291" s="278" t="s">
        <v>30</v>
      </c>
      <c r="F291" s="55"/>
      <c r="G291" s="56"/>
      <c r="H291" s="56"/>
      <c r="I291" s="56"/>
      <c r="J291" s="56"/>
      <c r="K291" s="56"/>
      <c r="L291" s="56"/>
      <c r="M291" s="56"/>
      <c r="N291" s="56"/>
      <c r="O291" s="56"/>
      <c r="P291" s="56"/>
      <c r="Q291" s="57"/>
      <c r="R291" s="55"/>
      <c r="S291" s="56"/>
      <c r="T291" s="56"/>
      <c r="U291" s="56"/>
      <c r="V291" s="56"/>
      <c r="W291" s="56"/>
      <c r="X291" s="56"/>
      <c r="Y291" s="56"/>
      <c r="Z291" s="56"/>
      <c r="AA291" s="56"/>
      <c r="AB291" s="56"/>
      <c r="AC291" s="57"/>
      <c r="AD291" s="55"/>
      <c r="AE291" s="56"/>
      <c r="AF291" s="56"/>
      <c r="AG291" s="56"/>
      <c r="AH291" s="56"/>
      <c r="AI291" s="56"/>
      <c r="AJ291" s="56"/>
      <c r="AK291" s="56"/>
      <c r="AL291" s="56"/>
      <c r="AM291" s="56"/>
      <c r="AN291" s="56"/>
      <c r="AO291" s="57"/>
      <c r="AP291" s="227" t="str">
        <f>IFERROR(IF(AVERAGE(F291:K291)&lt;&gt;0,AVERAGE(F291:K291),""),"")</f>
        <v/>
      </c>
      <c r="AQ291" s="228" t="str">
        <f>IFERROR(IF(AVERAGE(L291:Q291)&lt;&gt;0,AVERAGE(L291:Q291),""),"")</f>
        <v/>
      </c>
      <c r="AR291" s="227" t="str">
        <f>IFERROR(IF(AVERAGE(R291:W291)&lt;&gt;0,AVERAGE(R291:W291),""),"")</f>
        <v/>
      </c>
      <c r="AS291" s="228" t="str">
        <f>IFERROR(IF(AVERAGE(X291:AC291)&lt;&gt;0,AVERAGE(X291:AC291),""),"")</f>
        <v/>
      </c>
      <c r="AT291" s="227" t="str">
        <f>IFERROR(IF(AVERAGE(AD291:AI291)&lt;&gt;0,AVERAGE(AD291:AI291),""),"")</f>
        <v/>
      </c>
      <c r="AU291" s="228" t="str">
        <f>IFERROR(IF(AVERAGE(AJ291:AO291)&lt;&gt;0,AVERAGE(AJ291:AO291),""),"")</f>
        <v/>
      </c>
      <c r="AV291" s="71"/>
      <c r="AW291" s="56"/>
      <c r="AX291" s="71"/>
      <c r="AY291" s="56"/>
      <c r="AZ291" s="71"/>
      <c r="BA291" s="56"/>
      <c r="BB291" s="71"/>
      <c r="BC291" s="56"/>
      <c r="BD291" s="71"/>
      <c r="BE291" s="265"/>
      <c r="BF291" s="273" t="str">
        <f>IFERROR(IF(AVERAGE(AP291:AQ291)&lt;&gt;0,AVERAGE(AP291:AQ291),""),"")</f>
        <v/>
      </c>
      <c r="BG291" s="273" t="str">
        <f>IFERROR(IF(AVERAGE(AR291:AS291)&lt;&gt;0,AVERAGE(AR291:AS291),""),"")</f>
        <v/>
      </c>
      <c r="BH291" s="273" t="str">
        <f>IFERROR(IF(AVERAGE(AT291:AU291)&lt;&gt;0,AVERAGE(AT291:AU291),""),"")</f>
        <v/>
      </c>
      <c r="BI291" s="273" t="str">
        <f>IFERROR(IF(AVERAGE(AV291:AW291)&lt;&gt;0,AVERAGE(AV291:AW291),""),"")</f>
        <v/>
      </c>
      <c r="BJ291" s="273" t="str">
        <f>IFERROR(IF(AVERAGE(AX291:AY291)&lt;&gt;0,AVERAGE(AX291:AY291),""),"")</f>
        <v/>
      </c>
      <c r="BK291" s="273" t="str">
        <f>IFERROR(IF(AVERAGE(AZ291:BA291)&lt;&gt;0,AVERAGE(AZ291:BA291),""),"")</f>
        <v/>
      </c>
      <c r="BL291" s="273" t="str">
        <f>IFERROR(IF(AVERAGE(BB291:BC291)&lt;&gt;0,AVERAGE(BB291:BC291),""),"")</f>
        <v/>
      </c>
      <c r="BM291" s="273" t="str">
        <f>IFERROR(IF(AVERAGE(BD291:BE291)&lt;&gt;0,AVERAGE(BD291:BE291),""),"")</f>
        <v/>
      </c>
    </row>
    <row r="292" spans="1:65" s="102" customFormat="1" ht="14.25" customHeight="1" outlineLevel="2" x14ac:dyDescent="0.2">
      <c r="A292" s="320" t="s">
        <v>226</v>
      </c>
      <c r="B292" s="347"/>
      <c r="C292" s="350"/>
      <c r="D292" s="344"/>
      <c r="E292" s="279" t="s">
        <v>25</v>
      </c>
      <c r="F292" s="58"/>
      <c r="G292" s="50"/>
      <c r="H292" s="50"/>
      <c r="I292" s="50"/>
      <c r="J292" s="50"/>
      <c r="K292" s="50"/>
      <c r="L292" s="50"/>
      <c r="M292" s="50"/>
      <c r="N292" s="50"/>
      <c r="O292" s="50"/>
      <c r="P292" s="50"/>
      <c r="Q292" s="59"/>
      <c r="R292" s="58"/>
      <c r="S292" s="50"/>
      <c r="T292" s="50"/>
      <c r="U292" s="50"/>
      <c r="V292" s="50"/>
      <c r="W292" s="50"/>
      <c r="X292" s="50"/>
      <c r="Y292" s="50"/>
      <c r="Z292" s="50"/>
      <c r="AA292" s="50"/>
      <c r="AB292" s="50"/>
      <c r="AC292" s="59"/>
      <c r="AD292" s="58"/>
      <c r="AE292" s="50"/>
      <c r="AF292" s="50"/>
      <c r="AG292" s="50"/>
      <c r="AH292" s="50"/>
      <c r="AI292" s="50"/>
      <c r="AJ292" s="50"/>
      <c r="AK292" s="50"/>
      <c r="AL292" s="50"/>
      <c r="AM292" s="50"/>
      <c r="AN292" s="50"/>
      <c r="AO292" s="59"/>
      <c r="AP292" s="229" t="str">
        <f>IFERROR(IF(SUM(F292:K292)&lt;&gt;0,SUM(F292:K292),""),"")</f>
        <v/>
      </c>
      <c r="AQ292" s="230" t="str">
        <f>IFERROR(IF(SUM(L292:Q292)&lt;&gt;0,SUM(L292:Q292),""),"")</f>
        <v/>
      </c>
      <c r="AR292" s="229" t="str">
        <f>IFERROR(IF(SUM(R292:W292)&lt;&gt;0,SUM(R292:W292),""),"")</f>
        <v/>
      </c>
      <c r="AS292" s="230" t="str">
        <f>IFERROR(IF(SUM(X292:AC292)&lt;&gt;0,SUM(X292:AC292),""),"")</f>
        <v/>
      </c>
      <c r="AT292" s="229" t="str">
        <f>IFERROR(IF(SUM(AD292:AI292)&lt;&gt;0,SUM(AD292:AI292),""),"")</f>
        <v/>
      </c>
      <c r="AU292" s="230" t="str">
        <f>IFERROR(IF(SUM(AJ292:AO292)&lt;&gt;0,SUM(AJ292:AO292),""),"")</f>
        <v/>
      </c>
      <c r="AV292" s="72"/>
      <c r="AW292" s="73"/>
      <c r="AX292" s="72"/>
      <c r="AY292" s="73"/>
      <c r="AZ292" s="72"/>
      <c r="BA292" s="73"/>
      <c r="BB292" s="72"/>
      <c r="BC292" s="73"/>
      <c r="BD292" s="72"/>
      <c r="BE292" s="266"/>
      <c r="BF292" s="286" t="e">
        <f t="shared" ref="BF292:BF295" si="1132">IF(SUM(AP292,AQ292)&lt;&gt;0,SUM(AP292,AQ292),#N/A)</f>
        <v>#N/A</v>
      </c>
      <c r="BG292" s="286" t="e">
        <f t="shared" ref="BG292:BG295" si="1133">IF(SUM(AR292,AS292)&lt;&gt;0,SUM(AR292,AS292),#N/A)</f>
        <v>#N/A</v>
      </c>
      <c r="BH292" s="286" t="e">
        <f t="shared" ref="BH292:BH295" si="1134">IF(SUM(AT292,AU292)&lt;&gt;0,SUM(AT292,AU292),#N/A)</f>
        <v>#N/A</v>
      </c>
      <c r="BI292" s="286" t="e">
        <f t="shared" ref="BI292:BI295" si="1135">IF(SUM(AV292,AW292)&lt;&gt;0,SUM(AV292,AW292),#N/A)</f>
        <v>#N/A</v>
      </c>
      <c r="BJ292" s="286" t="e">
        <f t="shared" ref="BJ292:BJ295" si="1136">IF(SUM(AX292,AY292)&lt;&gt;0,SUM(AX292,AY292),#N/A)</f>
        <v>#N/A</v>
      </c>
      <c r="BK292" s="286" t="e">
        <f t="shared" ref="BK292:BK295" si="1137">IF(SUM(AZ292,BA292)&lt;&gt;0,SUM(AZ292,BA292),#N/A)</f>
        <v>#N/A</v>
      </c>
      <c r="BL292" s="286" t="e">
        <f t="shared" ref="BL292:BL295" si="1138">IF(SUM(BB292,BC292)&lt;&gt;0,SUM(BB292,BC292),#N/A)</f>
        <v>#N/A</v>
      </c>
      <c r="BM292" s="286" t="e">
        <f t="shared" ref="BM292:BM295" si="1139">IF(SUM(BD292,BE292)&lt;&gt;0,SUM(BD292,BE292),#N/A)</f>
        <v>#N/A</v>
      </c>
    </row>
    <row r="293" spans="1:65" s="102" customFormat="1" ht="14.25" customHeight="1" outlineLevel="2" x14ac:dyDescent="0.2">
      <c r="A293" s="320" t="s">
        <v>226</v>
      </c>
      <c r="B293" s="347"/>
      <c r="C293" s="350"/>
      <c r="D293" s="344"/>
      <c r="E293" s="280" t="s">
        <v>26</v>
      </c>
      <c r="F293" s="60"/>
      <c r="G293" s="61"/>
      <c r="H293" s="61"/>
      <c r="I293" s="61"/>
      <c r="J293" s="61"/>
      <c r="K293" s="61"/>
      <c r="L293" s="61"/>
      <c r="M293" s="61"/>
      <c r="N293" s="61"/>
      <c r="O293" s="61"/>
      <c r="P293" s="61"/>
      <c r="Q293" s="62"/>
      <c r="R293" s="60"/>
      <c r="S293" s="61"/>
      <c r="T293" s="61"/>
      <c r="U293" s="61"/>
      <c r="V293" s="61"/>
      <c r="W293" s="61"/>
      <c r="X293" s="61"/>
      <c r="Y293" s="61"/>
      <c r="Z293" s="61"/>
      <c r="AA293" s="61"/>
      <c r="AB293" s="61"/>
      <c r="AC293" s="62"/>
      <c r="AD293" s="60"/>
      <c r="AE293" s="61"/>
      <c r="AF293" s="61"/>
      <c r="AG293" s="61"/>
      <c r="AH293" s="61"/>
      <c r="AI293" s="61"/>
      <c r="AJ293" s="61"/>
      <c r="AK293" s="61"/>
      <c r="AL293" s="61"/>
      <c r="AM293" s="61"/>
      <c r="AN293" s="61"/>
      <c r="AO293" s="62"/>
      <c r="AP293" s="231" t="str">
        <f>IFERROR(IF(SUM(F293:K293)&lt;&gt;0,SUM(F293:K293),""),"")</f>
        <v/>
      </c>
      <c r="AQ293" s="232" t="str">
        <f>IFERROR(IF(SUM(L293:Q293)&lt;&gt;0,SUM(L293:Q293),""),"")</f>
        <v/>
      </c>
      <c r="AR293" s="231" t="str">
        <f>IFERROR(IF(SUM(R293:W293)&lt;&gt;0,SUM(R293:W293),""),"")</f>
        <v/>
      </c>
      <c r="AS293" s="232" t="str">
        <f>IFERROR(IF(SUM(X293:AC293)&lt;&gt;0,SUM(X293:AC293),""),"")</f>
        <v/>
      </c>
      <c r="AT293" s="231" t="str">
        <f>IFERROR(IF(SUM(AD293:AI293)&lt;&gt;0,SUM(AD293:AI293),""),"")</f>
        <v/>
      </c>
      <c r="AU293" s="232" t="str">
        <f>IFERROR(IF(SUM(AJ293:AO293)&lt;&gt;0,SUM(AJ293:AO293),""),"")</f>
        <v/>
      </c>
      <c r="AV293" s="74"/>
      <c r="AW293" s="61"/>
      <c r="AX293" s="74"/>
      <c r="AY293" s="61"/>
      <c r="AZ293" s="74"/>
      <c r="BA293" s="61"/>
      <c r="BB293" s="74"/>
      <c r="BC293" s="61"/>
      <c r="BD293" s="74"/>
      <c r="BE293" s="267"/>
      <c r="BF293" s="287" t="e">
        <f t="shared" si="1132"/>
        <v>#N/A</v>
      </c>
      <c r="BG293" s="287" t="e">
        <f t="shared" si="1133"/>
        <v>#N/A</v>
      </c>
      <c r="BH293" s="287" t="e">
        <f t="shared" si="1134"/>
        <v>#N/A</v>
      </c>
      <c r="BI293" s="287" t="e">
        <f t="shared" si="1135"/>
        <v>#N/A</v>
      </c>
      <c r="BJ293" s="287" t="e">
        <f t="shared" si="1136"/>
        <v>#N/A</v>
      </c>
      <c r="BK293" s="287" t="e">
        <f t="shared" si="1137"/>
        <v>#N/A</v>
      </c>
      <c r="BL293" s="287" t="e">
        <f t="shared" si="1138"/>
        <v>#N/A</v>
      </c>
      <c r="BM293" s="287" t="e">
        <f t="shared" si="1139"/>
        <v>#N/A</v>
      </c>
    </row>
    <row r="294" spans="1:65" s="102" customFormat="1" ht="14.25" customHeight="1" outlineLevel="2" x14ac:dyDescent="0.2">
      <c r="A294" s="320" t="s">
        <v>226</v>
      </c>
      <c r="B294" s="347"/>
      <c r="C294" s="350"/>
      <c r="D294" s="344"/>
      <c r="E294" s="280" t="s">
        <v>27</v>
      </c>
      <c r="F294" s="60"/>
      <c r="G294" s="61"/>
      <c r="H294" s="61"/>
      <c r="I294" s="61"/>
      <c r="J294" s="61"/>
      <c r="K294" s="61"/>
      <c r="L294" s="61"/>
      <c r="M294" s="61"/>
      <c r="N294" s="61"/>
      <c r="O294" s="61"/>
      <c r="P294" s="61"/>
      <c r="Q294" s="62"/>
      <c r="R294" s="60"/>
      <c r="S294" s="61"/>
      <c r="T294" s="61"/>
      <c r="U294" s="61"/>
      <c r="V294" s="61"/>
      <c r="W294" s="61"/>
      <c r="X294" s="61"/>
      <c r="Y294" s="61"/>
      <c r="Z294" s="61"/>
      <c r="AA294" s="61"/>
      <c r="AB294" s="61"/>
      <c r="AC294" s="62"/>
      <c r="AD294" s="60"/>
      <c r="AE294" s="61"/>
      <c r="AF294" s="61"/>
      <c r="AG294" s="61"/>
      <c r="AH294" s="61"/>
      <c r="AI294" s="61"/>
      <c r="AJ294" s="61"/>
      <c r="AK294" s="61"/>
      <c r="AL294" s="61"/>
      <c r="AM294" s="61"/>
      <c r="AN294" s="61"/>
      <c r="AO294" s="62"/>
      <c r="AP294" s="231" t="str">
        <f>IFERROR(IF(SUM(F294:K294)&lt;&gt;0,SUM(F294:K294),""),"")</f>
        <v/>
      </c>
      <c r="AQ294" s="232" t="str">
        <f>IFERROR(IF(SUM(L294:Q294)&lt;&gt;0,SUM(L294:Q294),""),"")</f>
        <v/>
      </c>
      <c r="AR294" s="231" t="str">
        <f>IFERROR(IF(SUM(R294:W294)&lt;&gt;0,SUM(R294:W294),""),"")</f>
        <v/>
      </c>
      <c r="AS294" s="232" t="str">
        <f>IFERROR(IF(SUM(X294:AC294)&lt;&gt;0,SUM(X294:AC294),""),"")</f>
        <v/>
      </c>
      <c r="AT294" s="231" t="str">
        <f>IFERROR(IF(SUM(AD294:AI294)&lt;&gt;0,SUM(AD294:AI294),""),"")</f>
        <v/>
      </c>
      <c r="AU294" s="232" t="str">
        <f>IFERROR(IF(SUM(AJ294:AO294)&lt;&gt;0,SUM(AJ294:AO294),""),"")</f>
        <v/>
      </c>
      <c r="AV294" s="74"/>
      <c r="AW294" s="61"/>
      <c r="AX294" s="74"/>
      <c r="AY294" s="61"/>
      <c r="AZ294" s="74"/>
      <c r="BA294" s="61"/>
      <c r="BB294" s="74"/>
      <c r="BC294" s="61"/>
      <c r="BD294" s="74"/>
      <c r="BE294" s="267"/>
      <c r="BF294" s="287" t="e">
        <f t="shared" si="1132"/>
        <v>#N/A</v>
      </c>
      <c r="BG294" s="287" t="e">
        <f t="shared" si="1133"/>
        <v>#N/A</v>
      </c>
      <c r="BH294" s="287" t="e">
        <f t="shared" si="1134"/>
        <v>#N/A</v>
      </c>
      <c r="BI294" s="287" t="e">
        <f t="shared" si="1135"/>
        <v>#N/A</v>
      </c>
      <c r="BJ294" s="287" t="e">
        <f t="shared" si="1136"/>
        <v>#N/A</v>
      </c>
      <c r="BK294" s="287" t="e">
        <f t="shared" si="1137"/>
        <v>#N/A</v>
      </c>
      <c r="BL294" s="287" t="e">
        <f t="shared" si="1138"/>
        <v>#N/A</v>
      </c>
      <c r="BM294" s="287" t="e">
        <f t="shared" si="1139"/>
        <v>#N/A</v>
      </c>
    </row>
    <row r="295" spans="1:65" s="102" customFormat="1" ht="15" customHeight="1" outlineLevel="2" thickBot="1" x14ac:dyDescent="0.25">
      <c r="A295" s="320" t="s">
        <v>226</v>
      </c>
      <c r="B295" s="347"/>
      <c r="C295" s="350"/>
      <c r="D295" s="344"/>
      <c r="E295" s="281" t="s">
        <v>88</v>
      </c>
      <c r="F295" s="63"/>
      <c r="G295" s="48"/>
      <c r="H295" s="48"/>
      <c r="I295" s="48"/>
      <c r="J295" s="48"/>
      <c r="K295" s="48"/>
      <c r="L295" s="48"/>
      <c r="M295" s="48"/>
      <c r="N295" s="48"/>
      <c r="O295" s="48"/>
      <c r="P295" s="48"/>
      <c r="Q295" s="51"/>
      <c r="R295" s="63"/>
      <c r="S295" s="48"/>
      <c r="T295" s="48"/>
      <c r="U295" s="48"/>
      <c r="V295" s="48"/>
      <c r="W295" s="48"/>
      <c r="X295" s="48"/>
      <c r="Y295" s="48"/>
      <c r="Z295" s="48"/>
      <c r="AA295" s="48"/>
      <c r="AB295" s="48"/>
      <c r="AC295" s="51"/>
      <c r="AD295" s="63"/>
      <c r="AE295" s="48"/>
      <c r="AF295" s="48"/>
      <c r="AG295" s="48"/>
      <c r="AH295" s="48"/>
      <c r="AI295" s="48"/>
      <c r="AJ295" s="48"/>
      <c r="AK295" s="48"/>
      <c r="AL295" s="48"/>
      <c r="AM295" s="48"/>
      <c r="AN295" s="48"/>
      <c r="AO295" s="51"/>
      <c r="AP295" s="233" t="str">
        <f>IFERROR(IF(SUM(F295:K295)&lt;&gt;0,SUM(F295:K295),""),"")</f>
        <v/>
      </c>
      <c r="AQ295" s="234" t="str">
        <f>IFERROR(IF(SUM(L295:Q295)&lt;&gt;0,SUM(L295:Q295),""),"")</f>
        <v/>
      </c>
      <c r="AR295" s="233" t="str">
        <f>IFERROR(IF(SUM(R295:W295)&lt;&gt;0,SUM(R295:W295),""),"")</f>
        <v/>
      </c>
      <c r="AS295" s="234" t="str">
        <f>IFERROR(IF(SUM(X295:AC295)&lt;&gt;0,SUM(X295:AC295),""),"")</f>
        <v/>
      </c>
      <c r="AT295" s="233" t="str">
        <f>IFERROR(IF(SUM(AD295:AI295)&lt;&gt;0,SUM(AD295:AI295),""),"")</f>
        <v/>
      </c>
      <c r="AU295" s="234" t="str">
        <f>IFERROR(IF(SUM(AJ295:AO295)&lt;&gt;0,SUM(AJ295:AO295),""),"")</f>
        <v/>
      </c>
      <c r="AV295" s="75"/>
      <c r="AW295" s="76"/>
      <c r="AX295" s="75"/>
      <c r="AY295" s="76"/>
      <c r="AZ295" s="75"/>
      <c r="BA295" s="76"/>
      <c r="BB295" s="75"/>
      <c r="BC295" s="76"/>
      <c r="BD295" s="75"/>
      <c r="BE295" s="268"/>
      <c r="BF295" s="271" t="e">
        <f t="shared" si="1132"/>
        <v>#N/A</v>
      </c>
      <c r="BG295" s="271" t="e">
        <f t="shared" si="1133"/>
        <v>#N/A</v>
      </c>
      <c r="BH295" s="271" t="e">
        <f t="shared" si="1134"/>
        <v>#N/A</v>
      </c>
      <c r="BI295" s="271" t="e">
        <f t="shared" si="1135"/>
        <v>#N/A</v>
      </c>
      <c r="BJ295" s="271" t="e">
        <f t="shared" si="1136"/>
        <v>#N/A</v>
      </c>
      <c r="BK295" s="271" t="e">
        <f t="shared" si="1137"/>
        <v>#N/A</v>
      </c>
      <c r="BL295" s="271" t="e">
        <f t="shared" si="1138"/>
        <v>#N/A</v>
      </c>
      <c r="BM295" s="271" t="e">
        <f t="shared" si="1139"/>
        <v>#N/A</v>
      </c>
    </row>
    <row r="296" spans="1:65" s="102" customFormat="1" ht="14.25" customHeight="1" outlineLevel="2" x14ac:dyDescent="0.2">
      <c r="A296" s="320" t="s">
        <v>226</v>
      </c>
      <c r="B296" s="347"/>
      <c r="C296" s="350"/>
      <c r="D296" s="344"/>
      <c r="E296" s="279" t="s">
        <v>32</v>
      </c>
      <c r="F296" s="64"/>
      <c r="G296" s="65"/>
      <c r="H296" s="65"/>
      <c r="I296" s="65"/>
      <c r="J296" s="65"/>
      <c r="K296" s="65"/>
      <c r="L296" s="65"/>
      <c r="M296" s="65"/>
      <c r="N296" s="65"/>
      <c r="O296" s="65"/>
      <c r="P296" s="65"/>
      <c r="Q296" s="66"/>
      <c r="R296" s="64"/>
      <c r="S296" s="65"/>
      <c r="T296" s="65"/>
      <c r="U296" s="65"/>
      <c r="V296" s="65"/>
      <c r="W296" s="65"/>
      <c r="X296" s="65"/>
      <c r="Y296" s="65"/>
      <c r="Z296" s="65"/>
      <c r="AA296" s="65"/>
      <c r="AB296" s="65"/>
      <c r="AC296" s="66"/>
      <c r="AD296" s="64"/>
      <c r="AE296" s="65"/>
      <c r="AF296" s="65"/>
      <c r="AG296" s="65"/>
      <c r="AH296" s="65"/>
      <c r="AI296" s="65"/>
      <c r="AJ296" s="65"/>
      <c r="AK296" s="65"/>
      <c r="AL296" s="65"/>
      <c r="AM296" s="65"/>
      <c r="AN296" s="65"/>
      <c r="AO296" s="66"/>
      <c r="AP296" s="32" t="str">
        <f>IFERROR(IF(AVERAGE(F296:K296)&lt;&gt;0,AVERAGE(F296:K296),""),"")</f>
        <v/>
      </c>
      <c r="AQ296" s="235" t="str">
        <f>IFERROR(IF(AVERAGE(L296:Q296)&lt;&gt;0,AVERAGE(L296:Q296),""),"")</f>
        <v/>
      </c>
      <c r="AR296" s="32" t="str">
        <f>IFERROR(IF(AVERAGE(R296:W296)&lt;&gt;0,AVERAGE(R296:W296),""),"")</f>
        <v/>
      </c>
      <c r="AS296" s="235" t="str">
        <f>IFERROR(IF(AVERAGE(X296:AC296)&lt;&gt;0,AVERAGE(X296:AC296),""),"")</f>
        <v/>
      </c>
      <c r="AT296" s="32" t="str">
        <f>IFERROR(IF(AVERAGE(AD296:AI296)&lt;&gt;0,AVERAGE(AD296:AI296),""),"")</f>
        <v/>
      </c>
      <c r="AU296" s="235" t="str">
        <f>IFERROR(IF(AVERAGE(AJ296:AO296)&lt;&gt;0,AVERAGE(AJ296:AO296),""),"")</f>
        <v/>
      </c>
      <c r="AV296" s="77"/>
      <c r="AW296" s="65"/>
      <c r="AX296" s="77"/>
      <c r="AY296" s="65"/>
      <c r="AZ296" s="77"/>
      <c r="BA296" s="65"/>
      <c r="BB296" s="77"/>
      <c r="BC296" s="65"/>
      <c r="BD296" s="77"/>
      <c r="BE296" s="269"/>
      <c r="BF296" s="272" t="str">
        <f>IFERROR(IF(AVERAGE(AP296:AQ296)&lt;&gt;0,AVERAGE(AP296:AQ296),""),"")</f>
        <v/>
      </c>
      <c r="BG296" s="272" t="str">
        <f>IFERROR(IF(AVERAGE(AR296:AS296)&lt;&gt;0,AVERAGE(AR296:AS296),""),"")</f>
        <v/>
      </c>
      <c r="BH296" s="272" t="str">
        <f>IFERROR(IF(AVERAGE(AT296:AU296)&lt;&gt;0,AVERAGE(AT296:AU296),""),"")</f>
        <v/>
      </c>
      <c r="BI296" s="272" t="str">
        <f>IFERROR(IF(AVERAGE(AV296:AW296)&lt;&gt;0,AVERAGE(AV296:AW296),""),"")</f>
        <v/>
      </c>
      <c r="BJ296" s="272" t="str">
        <f>IFERROR(IF(AVERAGE(AX296:AY296)&lt;&gt;0,AVERAGE(AX296:AY296),""),"")</f>
        <v/>
      </c>
      <c r="BK296" s="272" t="str">
        <f>IFERROR(IF(AVERAGE(AZ296:BA296)&lt;&gt;0,AVERAGE(AZ296:BA296),""),"")</f>
        <v/>
      </c>
      <c r="BL296" s="272" t="str">
        <f>IFERROR(IF(AVERAGE(BB296:BC296)&lt;&gt;0,AVERAGE(BB296:BC296),""),"")</f>
        <v/>
      </c>
      <c r="BM296" s="272" t="str">
        <f>IFERROR(IF(AVERAGE(BD296:BE296)&lt;&gt;0,AVERAGE(BD296:BE296),""),"")</f>
        <v/>
      </c>
    </row>
    <row r="297" spans="1:65" s="102" customFormat="1" ht="15" customHeight="1" outlineLevel="2" thickBot="1" x14ac:dyDescent="0.25">
      <c r="A297" s="320" t="s">
        <v>226</v>
      </c>
      <c r="B297" s="347"/>
      <c r="C297" s="350"/>
      <c r="D297" s="344"/>
      <c r="E297" s="281" t="s">
        <v>2</v>
      </c>
      <c r="F297" s="67"/>
      <c r="G297" s="68"/>
      <c r="H297" s="68"/>
      <c r="I297" s="68"/>
      <c r="J297" s="68"/>
      <c r="K297" s="68"/>
      <c r="L297" s="68"/>
      <c r="M297" s="68"/>
      <c r="N297" s="68"/>
      <c r="O297" s="68"/>
      <c r="P297" s="68"/>
      <c r="Q297" s="69"/>
      <c r="R297" s="67"/>
      <c r="S297" s="68"/>
      <c r="T297" s="68"/>
      <c r="U297" s="68"/>
      <c r="V297" s="68"/>
      <c r="W297" s="68"/>
      <c r="X297" s="68"/>
      <c r="Y297" s="68"/>
      <c r="Z297" s="68"/>
      <c r="AA297" s="68"/>
      <c r="AB297" s="68"/>
      <c r="AC297" s="69"/>
      <c r="AD297" s="67"/>
      <c r="AE297" s="68"/>
      <c r="AF297" s="68"/>
      <c r="AG297" s="68"/>
      <c r="AH297" s="68"/>
      <c r="AI297" s="68"/>
      <c r="AJ297" s="68"/>
      <c r="AK297" s="68"/>
      <c r="AL297" s="68"/>
      <c r="AM297" s="68"/>
      <c r="AN297" s="68"/>
      <c r="AO297" s="69"/>
      <c r="AP297" s="236" t="str">
        <f>IFERROR(IF(AVERAGE(F297:K297)&lt;&gt;0,AVERAGE(F297:K297),""),"")</f>
        <v/>
      </c>
      <c r="AQ297" s="237" t="str">
        <f>IFERROR(IF(AVERAGE(L297:Q297)&lt;&gt;0,AVERAGE(L297:Q297),""),"")</f>
        <v/>
      </c>
      <c r="AR297" s="236" t="str">
        <f>IFERROR(IF(AVERAGE(R297:W297)&lt;&gt;0,AVERAGE(R297:W297),""),"")</f>
        <v/>
      </c>
      <c r="AS297" s="237" t="str">
        <f>IFERROR(IF(AVERAGE(X297:AC297)&lt;&gt;0,AVERAGE(X297:AC297),""),"")</f>
        <v/>
      </c>
      <c r="AT297" s="236" t="str">
        <f>IFERROR(IF(AVERAGE(AD297:AI297)&lt;&gt;0,AVERAGE(AD297:AI297),""),"")</f>
        <v/>
      </c>
      <c r="AU297" s="237" t="str">
        <f>IFERROR(IF(AVERAGE(AJ297:AO297)&lt;&gt;0,AVERAGE(AJ297:AO297),""),"")</f>
        <v/>
      </c>
      <c r="AV297" s="78"/>
      <c r="AW297" s="68"/>
      <c r="AX297" s="78"/>
      <c r="AY297" s="68"/>
      <c r="AZ297" s="78"/>
      <c r="BA297" s="68"/>
      <c r="BB297" s="78"/>
      <c r="BC297" s="68"/>
      <c r="BD297" s="78"/>
      <c r="BE297" s="270"/>
      <c r="BF297" s="288" t="str">
        <f>IFERROR(IF(AVERAGE(AP297:AQ297)&lt;&gt;0,AVERAGE(AP297:AQ297),""),"")</f>
        <v/>
      </c>
      <c r="BG297" s="288" t="str">
        <f>IFERROR(IF(AVERAGE(AR297:AS297)&lt;&gt;0,AVERAGE(AR297:AS297),""),"")</f>
        <v/>
      </c>
      <c r="BH297" s="288" t="str">
        <f>IFERROR(IF(AVERAGE(AT297:AU297)&lt;&gt;0,AVERAGE(AT297:AU297),""),"")</f>
        <v/>
      </c>
      <c r="BI297" s="288" t="str">
        <f>IFERROR(IF(AVERAGE(AV297:AW297)&lt;&gt;0,AVERAGE(AV297:AW297),""),"")</f>
        <v/>
      </c>
      <c r="BJ297" s="288" t="str">
        <f>IFERROR(IF(AVERAGE(AX297:AY297)&lt;&gt;0,AVERAGE(AX297:AY297),""),"")</f>
        <v/>
      </c>
      <c r="BK297" s="288" t="str">
        <f>IFERROR(IF(AVERAGE(AZ297:BA297)&lt;&gt;0,AVERAGE(AZ297:BA297),""),"")</f>
        <v/>
      </c>
      <c r="BL297" s="288" t="str">
        <f>IFERROR(IF(AVERAGE(BB297:BC297)&lt;&gt;0,AVERAGE(BB297:BC297),""),"")</f>
        <v/>
      </c>
      <c r="BM297" s="288" t="str">
        <f>IFERROR(IF(AVERAGE(BD297:BE297)&lt;&gt;0,AVERAGE(BD297:BE297),""),"")</f>
        <v/>
      </c>
    </row>
    <row r="298" spans="1:65" s="102" customFormat="1" ht="14.25" customHeight="1" outlineLevel="1" x14ac:dyDescent="0.2">
      <c r="A298" s="320" t="s">
        <v>226</v>
      </c>
      <c r="B298" s="347"/>
      <c r="C298" s="350"/>
      <c r="D298" s="344"/>
      <c r="E298" s="282" t="s">
        <v>228</v>
      </c>
      <c r="F298" s="283" t="str">
        <f ca="1">IF(IFERROR((F$11*(F290-SUM(F292:F295)/F$11)*F297*3600)/(F296),"")&gt;0,IFERROR((F$11*(F290-SUM(F292:F295)/F$11)*F297*3600)/(F296),""),"")</f>
        <v/>
      </c>
      <c r="G298" s="284" t="str">
        <f t="shared" ref="G298:AO298" ca="1" si="1140">IF(IFERROR((G$11*(G290-SUM(G292:G295)/G$11)*G297*3600)/(G296),"")&gt;0,IFERROR((G$11*(G290-SUM(G292:G295)/G$11)*G297*3600)/(G296),""),"")</f>
        <v/>
      </c>
      <c r="H298" s="284" t="str">
        <f t="shared" ca="1" si="1140"/>
        <v/>
      </c>
      <c r="I298" s="284" t="str">
        <f t="shared" ca="1" si="1140"/>
        <v/>
      </c>
      <c r="J298" s="284" t="str">
        <f t="shared" ca="1" si="1140"/>
        <v/>
      </c>
      <c r="K298" s="284" t="str">
        <f t="shared" ca="1" si="1140"/>
        <v/>
      </c>
      <c r="L298" s="284" t="str">
        <f t="shared" ca="1" si="1140"/>
        <v/>
      </c>
      <c r="M298" s="284" t="str">
        <f t="shared" ca="1" si="1140"/>
        <v/>
      </c>
      <c r="N298" s="284" t="str">
        <f t="shared" ca="1" si="1140"/>
        <v/>
      </c>
      <c r="O298" s="284" t="str">
        <f t="shared" ca="1" si="1140"/>
        <v/>
      </c>
      <c r="P298" s="284" t="str">
        <f t="shared" ca="1" si="1140"/>
        <v/>
      </c>
      <c r="Q298" s="284" t="str">
        <f t="shared" ca="1" si="1140"/>
        <v/>
      </c>
      <c r="R298" s="283" t="str">
        <f t="shared" ca="1" si="1140"/>
        <v/>
      </c>
      <c r="S298" s="284" t="str">
        <f t="shared" ca="1" si="1140"/>
        <v/>
      </c>
      <c r="T298" s="284" t="str">
        <f t="shared" ca="1" si="1140"/>
        <v/>
      </c>
      <c r="U298" s="284" t="str">
        <f t="shared" ca="1" si="1140"/>
        <v/>
      </c>
      <c r="V298" s="284" t="str">
        <f t="shared" ca="1" si="1140"/>
        <v/>
      </c>
      <c r="W298" s="284" t="str">
        <f t="shared" ca="1" si="1140"/>
        <v/>
      </c>
      <c r="X298" s="284" t="str">
        <f t="shared" ca="1" si="1140"/>
        <v/>
      </c>
      <c r="Y298" s="284" t="str">
        <f t="shared" ca="1" si="1140"/>
        <v/>
      </c>
      <c r="Z298" s="284" t="str">
        <f t="shared" ca="1" si="1140"/>
        <v/>
      </c>
      <c r="AA298" s="284" t="str">
        <f t="shared" ca="1" si="1140"/>
        <v/>
      </c>
      <c r="AB298" s="284" t="str">
        <f t="shared" ca="1" si="1140"/>
        <v/>
      </c>
      <c r="AC298" s="284" t="str">
        <f t="shared" ca="1" si="1140"/>
        <v/>
      </c>
      <c r="AD298" s="283" t="str">
        <f t="shared" ca="1" si="1140"/>
        <v/>
      </c>
      <c r="AE298" s="284" t="str">
        <f t="shared" ca="1" si="1140"/>
        <v/>
      </c>
      <c r="AF298" s="284" t="str">
        <f t="shared" ca="1" si="1140"/>
        <v/>
      </c>
      <c r="AG298" s="284" t="str">
        <f t="shared" ca="1" si="1140"/>
        <v/>
      </c>
      <c r="AH298" s="284" t="str">
        <f t="shared" ca="1" si="1140"/>
        <v/>
      </c>
      <c r="AI298" s="284" t="str">
        <f t="shared" ca="1" si="1140"/>
        <v/>
      </c>
      <c r="AJ298" s="284" t="str">
        <f t="shared" ca="1" si="1140"/>
        <v/>
      </c>
      <c r="AK298" s="284" t="str">
        <f t="shared" ca="1" si="1140"/>
        <v/>
      </c>
      <c r="AL298" s="284" t="str">
        <f t="shared" ca="1" si="1140"/>
        <v/>
      </c>
      <c r="AM298" s="284" t="str">
        <f t="shared" ca="1" si="1140"/>
        <v/>
      </c>
      <c r="AN298" s="284" t="str">
        <f t="shared" ca="1" si="1140"/>
        <v/>
      </c>
      <c r="AO298" s="284" t="str">
        <f t="shared" ca="1" si="1140"/>
        <v/>
      </c>
      <c r="AP298" s="283" t="e">
        <f t="shared" ref="AP298:AP299" ca="1" si="1141">IF(SUM(F298:K298)&lt;&gt;0,SUM(F298:K298),#N/A)</f>
        <v>#N/A</v>
      </c>
      <c r="AQ298" s="284" t="e">
        <f t="shared" ref="AQ298:AQ299" ca="1" si="1142">IF(SUM(L298:Q298)&lt;&gt;0,SUM(L298:Q298),#N/A)</f>
        <v>#N/A</v>
      </c>
      <c r="AR298" s="283" t="e">
        <f t="shared" ref="AR298:AR299" ca="1" si="1143">IF(SUM(R298:W298)&lt;&gt;0,SUM(R298:W298),#N/A)</f>
        <v>#N/A</v>
      </c>
      <c r="AS298" s="284" t="e">
        <f t="shared" ref="AS298:AS299" ca="1" si="1144">IF(SUM(X298:AC298)&lt;&gt;0,SUM(X298:AC298),#N/A)</f>
        <v>#N/A</v>
      </c>
      <c r="AT298" s="283" t="e">
        <f t="shared" ref="AT298:AT299" ca="1" si="1145">IF(SUM(AD298:AI298)&lt;&gt;0,SUM(AD298:AI298),#N/A)</f>
        <v>#N/A</v>
      </c>
      <c r="AU298" s="284" t="e">
        <f t="shared" ref="AU298:AU299" ca="1" si="1146">IF(SUM(AJ298:AO298)&lt;&gt;0,SUM(AJ298:AO298),#N/A)</f>
        <v>#N/A</v>
      </c>
      <c r="AV298" s="283" t="str">
        <f ca="1">IF(IFERROR((AV$11*(AV290-SUM(AV292:AV295)/AV$11)*AV297*3600)/(AV296),"")&lt;&gt;0,IFERROR((AV$11*(AV290-SUM(AV292:AV295)/AV$11)*AV297*3600)/(AV296),""),"")</f>
        <v/>
      </c>
      <c r="AW298" s="284" t="str">
        <f t="shared" ref="AW298:BE298" ca="1" si="1147">IF(IFERROR((AW$11*(AW290-SUM(AW292:AW295)/AW$11)*AW297*3600)/(AW296),"")&lt;&gt;0,IFERROR((AW$11*(AW290-SUM(AW292:AW295)/AW$11)*AW297*3600)/(AW296),""),"")</f>
        <v/>
      </c>
      <c r="AX298" s="283" t="str">
        <f t="shared" ca="1" si="1147"/>
        <v/>
      </c>
      <c r="AY298" s="284" t="str">
        <f t="shared" ca="1" si="1147"/>
        <v/>
      </c>
      <c r="AZ298" s="283" t="str">
        <f t="shared" ca="1" si="1147"/>
        <v/>
      </c>
      <c r="BA298" s="284" t="str">
        <f t="shared" ca="1" si="1147"/>
        <v/>
      </c>
      <c r="BB298" s="283" t="str">
        <f t="shared" ca="1" si="1147"/>
        <v/>
      </c>
      <c r="BC298" s="284" t="str">
        <f t="shared" ca="1" si="1147"/>
        <v/>
      </c>
      <c r="BD298" s="283" t="str">
        <f t="shared" ca="1" si="1147"/>
        <v/>
      </c>
      <c r="BE298" s="285" t="str">
        <f t="shared" ca="1" si="1147"/>
        <v/>
      </c>
      <c r="BF298" s="285" t="e">
        <f t="shared" ref="BF298:BF300" ca="1" si="1148">IF(SUM(AP298,AQ298)&lt;&gt;0,SUM(AP298,AQ298),#N/A)</f>
        <v>#N/A</v>
      </c>
      <c r="BG298" s="285" t="e">
        <f t="shared" ref="BG298:BG300" ca="1" si="1149">IF(SUM(AR298,AS298)&lt;&gt;0,SUM(AR298,AS298),#N/A)</f>
        <v>#N/A</v>
      </c>
      <c r="BH298" s="285" t="e">
        <f t="shared" ref="BH298:BH300" ca="1" si="1150">IF(SUM(AT298,AU298)&lt;&gt;0,SUM(AT298,AU298),#N/A)</f>
        <v>#N/A</v>
      </c>
      <c r="BI298" s="285" t="e">
        <f t="shared" ref="BI298:BI300" ca="1" si="1151">IF(SUM(AV298,AW298)&lt;&gt;0,SUM(AV298,AW298),#N/A)</f>
        <v>#N/A</v>
      </c>
      <c r="BJ298" s="285" t="e">
        <f t="shared" ref="BJ298:BJ300" ca="1" si="1152">IF(SUM(AX298,AY298)&lt;&gt;0,SUM(AX298,AY298),#N/A)</f>
        <v>#N/A</v>
      </c>
      <c r="BK298" s="285" t="e">
        <f t="shared" ref="BK298:BK300" ca="1" si="1153">IF(SUM(AZ298,BA298)&lt;&gt;0,SUM(AZ298,BA298),#N/A)</f>
        <v>#N/A</v>
      </c>
      <c r="BL298" s="285" t="e">
        <f t="shared" ref="BL298:BL300" ca="1" si="1154">IF(SUM(BB298,BC298)&lt;&gt;0,SUM(BB298,BC298),#N/A)</f>
        <v>#N/A</v>
      </c>
      <c r="BM298" s="285" t="e">
        <f t="shared" ref="BM298:BM300" ca="1" si="1155">IF(SUM(BD298,BE298)&lt;&gt;0,SUM(BD298,BE298),#N/A)</f>
        <v>#N/A</v>
      </c>
    </row>
    <row r="299" spans="1:65" s="102" customFormat="1" ht="15" customHeight="1" outlineLevel="1" thickBot="1" x14ac:dyDescent="0.25">
      <c r="A299" s="320" t="s">
        <v>226</v>
      </c>
      <c r="B299" s="348"/>
      <c r="C299" s="351"/>
      <c r="D299" s="345"/>
      <c r="E299" s="104" t="s">
        <v>225</v>
      </c>
      <c r="F299" s="36" t="str">
        <f ca="1">IFERROR(F298+((F289*F291*F297*3600)/(F296)),"")</f>
        <v/>
      </c>
      <c r="G299" s="37" t="str">
        <f t="shared" ref="G299:AO299" ca="1" si="1156">IFERROR(G298+((G289*G291*G297*3600)/(G296)),"")</f>
        <v/>
      </c>
      <c r="H299" s="37" t="str">
        <f t="shared" ca="1" si="1156"/>
        <v/>
      </c>
      <c r="I299" s="37" t="str">
        <f t="shared" ca="1" si="1156"/>
        <v/>
      </c>
      <c r="J299" s="37" t="str">
        <f t="shared" ca="1" si="1156"/>
        <v/>
      </c>
      <c r="K299" s="37" t="str">
        <f t="shared" ca="1" si="1156"/>
        <v/>
      </c>
      <c r="L299" s="37" t="str">
        <f t="shared" ca="1" si="1156"/>
        <v/>
      </c>
      <c r="M299" s="37" t="str">
        <f t="shared" ca="1" si="1156"/>
        <v/>
      </c>
      <c r="N299" s="37" t="str">
        <f t="shared" ca="1" si="1156"/>
        <v/>
      </c>
      <c r="O299" s="37" t="str">
        <f t="shared" ca="1" si="1156"/>
        <v/>
      </c>
      <c r="P299" s="37" t="str">
        <f t="shared" ca="1" si="1156"/>
        <v/>
      </c>
      <c r="Q299" s="37" t="str">
        <f t="shared" ca="1" si="1156"/>
        <v/>
      </c>
      <c r="R299" s="36" t="str">
        <f t="shared" ca="1" si="1156"/>
        <v/>
      </c>
      <c r="S299" s="37" t="str">
        <f t="shared" ca="1" si="1156"/>
        <v/>
      </c>
      <c r="T299" s="37" t="str">
        <f t="shared" ca="1" si="1156"/>
        <v/>
      </c>
      <c r="U299" s="37" t="str">
        <f t="shared" ca="1" si="1156"/>
        <v/>
      </c>
      <c r="V299" s="37" t="str">
        <f t="shared" ca="1" si="1156"/>
        <v/>
      </c>
      <c r="W299" s="37" t="str">
        <f t="shared" ca="1" si="1156"/>
        <v/>
      </c>
      <c r="X299" s="37" t="str">
        <f t="shared" ca="1" si="1156"/>
        <v/>
      </c>
      <c r="Y299" s="37" t="str">
        <f t="shared" ca="1" si="1156"/>
        <v/>
      </c>
      <c r="Z299" s="37" t="str">
        <f t="shared" ca="1" si="1156"/>
        <v/>
      </c>
      <c r="AA299" s="37" t="str">
        <f t="shared" ca="1" si="1156"/>
        <v/>
      </c>
      <c r="AB299" s="37" t="str">
        <f t="shared" ca="1" si="1156"/>
        <v/>
      </c>
      <c r="AC299" s="37" t="str">
        <f t="shared" ca="1" si="1156"/>
        <v/>
      </c>
      <c r="AD299" s="36" t="str">
        <f t="shared" ca="1" si="1156"/>
        <v/>
      </c>
      <c r="AE299" s="37" t="str">
        <f t="shared" ca="1" si="1156"/>
        <v/>
      </c>
      <c r="AF299" s="37" t="str">
        <f t="shared" ca="1" si="1156"/>
        <v/>
      </c>
      <c r="AG299" s="37" t="str">
        <f t="shared" ca="1" si="1156"/>
        <v/>
      </c>
      <c r="AH299" s="37" t="str">
        <f t="shared" ca="1" si="1156"/>
        <v/>
      </c>
      <c r="AI299" s="37" t="str">
        <f t="shared" ca="1" si="1156"/>
        <v/>
      </c>
      <c r="AJ299" s="37" t="str">
        <f t="shared" ca="1" si="1156"/>
        <v/>
      </c>
      <c r="AK299" s="37" t="str">
        <f t="shared" ca="1" si="1156"/>
        <v/>
      </c>
      <c r="AL299" s="37" t="str">
        <f t="shared" ca="1" si="1156"/>
        <v/>
      </c>
      <c r="AM299" s="37" t="str">
        <f t="shared" ca="1" si="1156"/>
        <v/>
      </c>
      <c r="AN299" s="37" t="str">
        <f t="shared" ca="1" si="1156"/>
        <v/>
      </c>
      <c r="AO299" s="37" t="str">
        <f t="shared" ca="1" si="1156"/>
        <v/>
      </c>
      <c r="AP299" s="36" t="e">
        <f t="shared" ca="1" si="1141"/>
        <v>#N/A</v>
      </c>
      <c r="AQ299" s="37" t="e">
        <f t="shared" ca="1" si="1142"/>
        <v>#N/A</v>
      </c>
      <c r="AR299" s="36" t="e">
        <f t="shared" ca="1" si="1143"/>
        <v>#N/A</v>
      </c>
      <c r="AS299" s="37" t="e">
        <f t="shared" ca="1" si="1144"/>
        <v>#N/A</v>
      </c>
      <c r="AT299" s="36" t="e">
        <f t="shared" ca="1" si="1145"/>
        <v>#N/A</v>
      </c>
      <c r="AU299" s="37" t="e">
        <f t="shared" ca="1" si="1146"/>
        <v>#N/A</v>
      </c>
      <c r="AV299" s="36" t="str">
        <f t="shared" ref="AV299:BE299" ca="1" si="1157">IFERROR(AV298+((AV289*AV291*AV297*3600)/(AV296)),"")</f>
        <v/>
      </c>
      <c r="AW299" s="37" t="str">
        <f t="shared" ca="1" si="1157"/>
        <v/>
      </c>
      <c r="AX299" s="36" t="str">
        <f t="shared" ca="1" si="1157"/>
        <v/>
      </c>
      <c r="AY299" s="37" t="str">
        <f t="shared" ca="1" si="1157"/>
        <v/>
      </c>
      <c r="AZ299" s="36" t="str">
        <f t="shared" ca="1" si="1157"/>
        <v/>
      </c>
      <c r="BA299" s="37" t="str">
        <f t="shared" ca="1" si="1157"/>
        <v/>
      </c>
      <c r="BB299" s="36" t="str">
        <f t="shared" ca="1" si="1157"/>
        <v/>
      </c>
      <c r="BC299" s="37" t="str">
        <f t="shared" ca="1" si="1157"/>
        <v/>
      </c>
      <c r="BD299" s="36" t="str">
        <f t="shared" ca="1" si="1157"/>
        <v/>
      </c>
      <c r="BE299" s="43" t="str">
        <f t="shared" ca="1" si="1157"/>
        <v/>
      </c>
      <c r="BF299" s="43" t="e">
        <f t="shared" ca="1" si="1148"/>
        <v>#N/A</v>
      </c>
      <c r="BG299" s="43" t="e">
        <f t="shared" ca="1" si="1149"/>
        <v>#N/A</v>
      </c>
      <c r="BH299" s="43" t="e">
        <f t="shared" ca="1" si="1150"/>
        <v>#N/A</v>
      </c>
      <c r="BI299" s="43" t="e">
        <f t="shared" ca="1" si="1151"/>
        <v>#N/A</v>
      </c>
      <c r="BJ299" s="43" t="e">
        <f t="shared" ca="1" si="1152"/>
        <v>#N/A</v>
      </c>
      <c r="BK299" s="43" t="e">
        <f t="shared" ca="1" si="1153"/>
        <v>#N/A</v>
      </c>
      <c r="BL299" s="43" t="e">
        <f t="shared" ca="1" si="1154"/>
        <v>#N/A</v>
      </c>
      <c r="BM299" s="43" t="e">
        <f t="shared" ca="1" si="1155"/>
        <v>#N/A</v>
      </c>
    </row>
    <row r="300" spans="1:65" s="102" customFormat="1" ht="22.5" outlineLevel="2" x14ac:dyDescent="0.2">
      <c r="A300" s="320" t="s">
        <v>226</v>
      </c>
      <c r="B300" s="346"/>
      <c r="C300" s="349" t="str">
        <f t="shared" ref="C300" si="1158">IF(AND($B300&lt;&gt;0,$C$9&lt;&gt;0),$C$9,"")</f>
        <v/>
      </c>
      <c r="D300" s="343"/>
      <c r="E300" s="277" t="s">
        <v>40</v>
      </c>
      <c r="F300" s="33">
        <f ca="1">IF(F$11-(SUM(F304:F307)/24)=0,"",F$11-(SUM(F304:F307)/24))</f>
        <v>27</v>
      </c>
      <c r="G300" s="34">
        <f t="shared" ref="G300:AO300" ca="1" si="1159">IF(G$11-(SUM(G304:G307)/24)=0,"",G$11-(SUM(G304:G307)/24))</f>
        <v>24</v>
      </c>
      <c r="H300" s="34">
        <f t="shared" ca="1" si="1159"/>
        <v>26</v>
      </c>
      <c r="I300" s="34">
        <f t="shared" ca="1" si="1159"/>
        <v>26</v>
      </c>
      <c r="J300" s="34">
        <f t="shared" ca="1" si="1159"/>
        <v>27</v>
      </c>
      <c r="K300" s="34">
        <f t="shared" ca="1" si="1159"/>
        <v>25</v>
      </c>
      <c r="L300" s="34">
        <f t="shared" ca="1" si="1159"/>
        <v>27</v>
      </c>
      <c r="M300" s="34">
        <f t="shared" ca="1" si="1159"/>
        <v>26</v>
      </c>
      <c r="N300" s="34">
        <f t="shared" ca="1" si="1159"/>
        <v>26</v>
      </c>
      <c r="O300" s="34">
        <f t="shared" ca="1" si="1159"/>
        <v>27</v>
      </c>
      <c r="P300" s="34">
        <f t="shared" ca="1" si="1159"/>
        <v>25</v>
      </c>
      <c r="Q300" s="34">
        <f t="shared" ca="1" si="1159"/>
        <v>27</v>
      </c>
      <c r="R300" s="32">
        <f t="shared" ca="1" si="1159"/>
        <v>27</v>
      </c>
      <c r="S300" s="29">
        <f t="shared" ca="1" si="1159"/>
        <v>24</v>
      </c>
      <c r="T300" s="29">
        <f t="shared" ca="1" si="1159"/>
        <v>26</v>
      </c>
      <c r="U300" s="29">
        <f t="shared" ca="1" si="1159"/>
        <v>26</v>
      </c>
      <c r="V300" s="29">
        <f t="shared" ca="1" si="1159"/>
        <v>26</v>
      </c>
      <c r="W300" s="29">
        <f t="shared" ca="1" si="1159"/>
        <v>26</v>
      </c>
      <c r="X300" s="29">
        <f t="shared" ca="1" si="1159"/>
        <v>27</v>
      </c>
      <c r="Y300" s="29">
        <f t="shared" ca="1" si="1159"/>
        <v>26</v>
      </c>
      <c r="Z300" s="29">
        <f t="shared" ca="1" si="1159"/>
        <v>26</v>
      </c>
      <c r="AA300" s="29">
        <f t="shared" ca="1" si="1159"/>
        <v>27</v>
      </c>
      <c r="AB300" s="29">
        <f t="shared" ca="1" si="1159"/>
        <v>25</v>
      </c>
      <c r="AC300" s="29">
        <f t="shared" ca="1" si="1159"/>
        <v>27</v>
      </c>
      <c r="AD300" s="32">
        <f t="shared" ca="1" si="1159"/>
        <v>26</v>
      </c>
      <c r="AE300" s="29">
        <f t="shared" ca="1" si="1159"/>
        <v>24</v>
      </c>
      <c r="AF300" s="29">
        <f t="shared" ca="1" si="1159"/>
        <v>27</v>
      </c>
      <c r="AG300" s="29">
        <f t="shared" ca="1" si="1159"/>
        <v>26</v>
      </c>
      <c r="AH300" s="29">
        <f t="shared" ca="1" si="1159"/>
        <v>26</v>
      </c>
      <c r="AI300" s="29">
        <f t="shared" ca="1" si="1159"/>
        <v>26</v>
      </c>
      <c r="AJ300" s="29">
        <f t="shared" ca="1" si="1159"/>
        <v>27</v>
      </c>
      <c r="AK300" s="29">
        <f t="shared" ca="1" si="1159"/>
        <v>26</v>
      </c>
      <c r="AL300" s="29">
        <f t="shared" ca="1" si="1159"/>
        <v>26</v>
      </c>
      <c r="AM300" s="29">
        <f t="shared" ca="1" si="1159"/>
        <v>26</v>
      </c>
      <c r="AN300" s="29">
        <f t="shared" ca="1" si="1159"/>
        <v>26</v>
      </c>
      <c r="AO300" s="29">
        <f t="shared" ca="1" si="1159"/>
        <v>27</v>
      </c>
      <c r="AP300" s="32">
        <f ca="1">IF(SUM(F300:K300)&lt;&gt;0,SUM(F300:K300),"")</f>
        <v>155</v>
      </c>
      <c r="AQ300" s="29">
        <f ca="1">IF(SUM(L300:Q300)&lt;&gt;0,SUM(L300:Q300),"")</f>
        <v>158</v>
      </c>
      <c r="AR300" s="32">
        <f ca="1">IF(SUM(R300:W300)&lt;&gt;0,SUM(R300:W300),"")</f>
        <v>155</v>
      </c>
      <c r="AS300" s="29">
        <f ca="1">IF(SUM(X300:AC300)&lt;&gt;0,SUM(X300:AC300),"")</f>
        <v>158</v>
      </c>
      <c r="AT300" s="32">
        <f ca="1">IF(SUM(AD300:AI300)&lt;&gt;0,SUM(AD300:AI300),"")</f>
        <v>155</v>
      </c>
      <c r="AU300" s="296">
        <f ca="1">SUM(AJ300:AO300)</f>
        <v>158</v>
      </c>
      <c r="AV300" s="32">
        <f t="shared" ref="AV300:BE300" ca="1" si="1160">IF(AV$11-(SUM(AV304:AV307)/24)=0,"",AV$11-(SUM(AV304:AV307)/24))</f>
        <v>156</v>
      </c>
      <c r="AW300" s="29">
        <f t="shared" ca="1" si="1160"/>
        <v>157</v>
      </c>
      <c r="AX300" s="32">
        <f t="shared" ca="1" si="1160"/>
        <v>156</v>
      </c>
      <c r="AY300" s="29">
        <f t="shared" ca="1" si="1160"/>
        <v>158</v>
      </c>
      <c r="AZ300" s="32">
        <f t="shared" ca="1" si="1160"/>
        <v>155</v>
      </c>
      <c r="BA300" s="29">
        <f t="shared" ca="1" si="1160"/>
        <v>158</v>
      </c>
      <c r="BB300" s="32">
        <f t="shared" ca="1" si="1160"/>
        <v>155</v>
      </c>
      <c r="BC300" s="29">
        <f t="shared" ca="1" si="1160"/>
        <v>158</v>
      </c>
      <c r="BD300" s="32">
        <f t="shared" ca="1" si="1160"/>
        <v>156</v>
      </c>
      <c r="BE300" s="262">
        <f t="shared" ca="1" si="1160"/>
        <v>158</v>
      </c>
      <c r="BF300" s="286">
        <f t="shared" ca="1" si="1148"/>
        <v>313</v>
      </c>
      <c r="BG300" s="286">
        <f t="shared" ca="1" si="1149"/>
        <v>313</v>
      </c>
      <c r="BH300" s="286">
        <f t="shared" ca="1" si="1150"/>
        <v>313</v>
      </c>
      <c r="BI300" s="286">
        <f t="shared" ca="1" si="1151"/>
        <v>313</v>
      </c>
      <c r="BJ300" s="286">
        <f t="shared" ca="1" si="1152"/>
        <v>314</v>
      </c>
      <c r="BK300" s="286">
        <f t="shared" ca="1" si="1153"/>
        <v>313</v>
      </c>
      <c r="BL300" s="286">
        <f t="shared" ca="1" si="1154"/>
        <v>313</v>
      </c>
      <c r="BM300" s="286">
        <f t="shared" ca="1" si="1155"/>
        <v>314</v>
      </c>
    </row>
    <row r="301" spans="1:65" s="102" customFormat="1" ht="15" customHeight="1" outlineLevel="2" thickBot="1" x14ac:dyDescent="0.25">
      <c r="A301" s="320" t="s">
        <v>226</v>
      </c>
      <c r="B301" s="347"/>
      <c r="C301" s="350"/>
      <c r="D301" s="344"/>
      <c r="E301" s="278" t="s">
        <v>29</v>
      </c>
      <c r="F301" s="47"/>
      <c r="G301" s="48"/>
      <c r="H301" s="48"/>
      <c r="I301" s="48"/>
      <c r="J301" s="48"/>
      <c r="K301" s="48"/>
      <c r="L301" s="48"/>
      <c r="M301" s="48"/>
      <c r="N301" s="48"/>
      <c r="O301" s="48"/>
      <c r="P301" s="48"/>
      <c r="Q301" s="51"/>
      <c r="R301" s="47"/>
      <c r="S301" s="48"/>
      <c r="T301" s="48"/>
      <c r="U301" s="48"/>
      <c r="V301" s="48"/>
      <c r="W301" s="48"/>
      <c r="X301" s="48"/>
      <c r="Y301" s="48"/>
      <c r="Z301" s="48"/>
      <c r="AA301" s="48"/>
      <c r="AB301" s="48"/>
      <c r="AC301" s="51"/>
      <c r="AD301" s="47"/>
      <c r="AE301" s="48"/>
      <c r="AF301" s="48"/>
      <c r="AG301" s="48"/>
      <c r="AH301" s="48"/>
      <c r="AI301" s="48"/>
      <c r="AJ301" s="48"/>
      <c r="AK301" s="48"/>
      <c r="AL301" s="48"/>
      <c r="AM301" s="48"/>
      <c r="AN301" s="48"/>
      <c r="AO301" s="51"/>
      <c r="AP301" s="294" t="str">
        <f>IFERROR(IF(SUM(F301:K301)&lt;&gt;0,SUM(F301:K301),""),"")</f>
        <v/>
      </c>
      <c r="AQ301" s="295" t="str">
        <f>IFERROR(IF(SUM(L301:Q301)&lt;&gt;0,SUM(L301:Q301),""),"")</f>
        <v/>
      </c>
      <c r="AR301" s="294" t="str">
        <f>IFERROR(IF(SUM(R301:W301)&lt;&gt;0,SUM(R301:W301),""),"")</f>
        <v/>
      </c>
      <c r="AS301" s="295" t="str">
        <f>IFERROR(IF(SUM(X301:AC301)&lt;&gt;0,SUM(X301:AC301),""),"")</f>
        <v/>
      </c>
      <c r="AT301" s="294" t="str">
        <f>IFERROR(IF(SUM(AD301:AI301)&lt;&gt;0,SUM(AD301:AI301),""),"")</f>
        <v/>
      </c>
      <c r="AU301" s="295" t="str">
        <f>IFERROR(IF(SUM(AJ301:AO301)&lt;&gt;0,SUM(AJ301:AO301),""),"")</f>
        <v/>
      </c>
      <c r="AV301" s="47"/>
      <c r="AW301" s="51"/>
      <c r="AX301" s="47"/>
      <c r="AY301" s="51"/>
      <c r="AZ301" s="47"/>
      <c r="BA301" s="51"/>
      <c r="BB301" s="47"/>
      <c r="BC301" s="51"/>
      <c r="BD301" s="47"/>
      <c r="BE301" s="263"/>
      <c r="BF301" s="271" t="str">
        <f>IFERROR(IF(AVERAGE(AP301:AQ301)&lt;&gt;0,AVERAGE(AP301:AQ301),""),"")</f>
        <v/>
      </c>
      <c r="BG301" s="271" t="str">
        <f>IFERROR(IF(AVERAGE(AR301:AS301)&lt;&gt;0,AVERAGE(AR301:AS301),""),"")</f>
        <v/>
      </c>
      <c r="BH301" s="271" t="str">
        <f>IFERROR(IF(AVERAGE(AT301:AU301)&lt;&gt;0,AVERAGE(AT301:AU301),""),"")</f>
        <v/>
      </c>
      <c r="BI301" s="271" t="str">
        <f>IFERROR(IF(AVERAGE(AV301:AW301)&lt;&gt;0,AVERAGE(AV301:AW301),""),"")</f>
        <v/>
      </c>
      <c r="BJ301" s="271" t="str">
        <f>IFERROR(IF(AVERAGE(AX301:AY301)&lt;&gt;0,AVERAGE(AX301:AY301),""),"")</f>
        <v/>
      </c>
      <c r="BK301" s="271" t="str">
        <f>IFERROR(IF(AVERAGE(AZ301:BA301)&lt;&gt;0,AVERAGE(AZ301:BA301),""),"")</f>
        <v/>
      </c>
      <c r="BL301" s="271" t="str">
        <f>IFERROR(IF(AVERAGE(BB301:BC301)&lt;&gt;0,AVERAGE(BB301:BC301),""),"")</f>
        <v/>
      </c>
      <c r="BM301" s="271" t="str">
        <f>IFERROR(IF(AVERAGE(BD301:BE301)&lt;&gt;0,AVERAGE(BD301:BE301),""),"")</f>
        <v/>
      </c>
    </row>
    <row r="302" spans="1:65" s="102" customFormat="1" ht="14.25" customHeight="1" outlineLevel="2" x14ac:dyDescent="0.2">
      <c r="A302" s="320" t="s">
        <v>226</v>
      </c>
      <c r="B302" s="347"/>
      <c r="C302" s="350"/>
      <c r="D302" s="344"/>
      <c r="E302" s="279" t="s">
        <v>28</v>
      </c>
      <c r="F302" s="52"/>
      <c r="G302" s="53"/>
      <c r="H302" s="53"/>
      <c r="I302" s="53"/>
      <c r="J302" s="53"/>
      <c r="K302" s="53"/>
      <c r="L302" s="53"/>
      <c r="M302" s="53"/>
      <c r="N302" s="53"/>
      <c r="O302" s="53"/>
      <c r="P302" s="53"/>
      <c r="Q302" s="54"/>
      <c r="R302" s="52"/>
      <c r="S302" s="53"/>
      <c r="T302" s="53"/>
      <c r="U302" s="53"/>
      <c r="V302" s="53"/>
      <c r="W302" s="53"/>
      <c r="X302" s="53"/>
      <c r="Y302" s="53"/>
      <c r="Z302" s="53"/>
      <c r="AA302" s="53"/>
      <c r="AB302" s="53"/>
      <c r="AC302" s="54"/>
      <c r="AD302" s="52"/>
      <c r="AE302" s="53"/>
      <c r="AF302" s="53"/>
      <c r="AG302" s="53"/>
      <c r="AH302" s="53"/>
      <c r="AI302" s="53"/>
      <c r="AJ302" s="53"/>
      <c r="AK302" s="53"/>
      <c r="AL302" s="53"/>
      <c r="AM302" s="53"/>
      <c r="AN302" s="53"/>
      <c r="AO302" s="54"/>
      <c r="AP302" s="225" t="str">
        <f>IFERROR(IF(AVERAGE(F302:K302)&lt;&gt;0,AVERAGE(F302:K302),""),"")</f>
        <v/>
      </c>
      <c r="AQ302" s="226" t="str">
        <f>IFERROR(IF(AVERAGE(L302:Q302)&lt;&gt;0,AVERAGE(L302:Q302),""),"")</f>
        <v/>
      </c>
      <c r="AR302" s="225" t="str">
        <f>IFERROR(IF(AVERAGE(R302:W302)&lt;&gt;0,AVERAGE(R302:W302),""),"")</f>
        <v/>
      </c>
      <c r="AS302" s="226" t="str">
        <f>IFERROR(IF(AVERAGE(X302:AC302)&lt;&gt;0,AVERAGE(X302:AC302),""),"")</f>
        <v/>
      </c>
      <c r="AT302" s="225" t="str">
        <f>IFERROR(IF(AVERAGE(AD302:AI302)&lt;&gt;0,AVERAGE(AD302:AI302),""),"")</f>
        <v/>
      </c>
      <c r="AU302" s="226" t="str">
        <f>IFERROR(IF(AVERAGE(AJ302:AO302)&lt;&gt;0,AVERAGE(AJ302:AO302),""),"")</f>
        <v/>
      </c>
      <c r="AV302" s="70"/>
      <c r="AW302" s="53"/>
      <c r="AX302" s="70"/>
      <c r="AY302" s="53"/>
      <c r="AZ302" s="70"/>
      <c r="BA302" s="53"/>
      <c r="BB302" s="70"/>
      <c r="BC302" s="53"/>
      <c r="BD302" s="70"/>
      <c r="BE302" s="264"/>
      <c r="BF302" s="272" t="str">
        <f>IFERROR(IF(AVERAGE(AP302:AQ302)&lt;&gt;0,AVERAGE(AP302:AQ302),""),"")</f>
        <v/>
      </c>
      <c r="BG302" s="272" t="str">
        <f>IFERROR(IF(AVERAGE(AR302:AS302)&lt;&gt;0,AVERAGE(AR302:AS302),""),"")</f>
        <v/>
      </c>
      <c r="BH302" s="272" t="str">
        <f>IFERROR(IF(AVERAGE(AT302:AU302)&lt;&gt;0,AVERAGE(AT302:AU302),""),"")</f>
        <v/>
      </c>
      <c r="BI302" s="272" t="str">
        <f>IFERROR(IF(AVERAGE(AV302:AW302)&lt;&gt;0,AVERAGE(AV302:AW302),""),"")</f>
        <v/>
      </c>
      <c r="BJ302" s="272" t="str">
        <f>IFERROR(IF(AVERAGE(AX302:AY302)&lt;&gt;0,AVERAGE(AX302:AY302),""),"")</f>
        <v/>
      </c>
      <c r="BK302" s="272" t="str">
        <f>IFERROR(IF(AVERAGE(AZ302:BA302)&lt;&gt;0,AVERAGE(AZ302:BA302),""),"")</f>
        <v/>
      </c>
      <c r="BL302" s="272" t="str">
        <f>IFERROR(IF(AVERAGE(BB302:BC302)&lt;&gt;0,AVERAGE(BB302:BC302),""),"")</f>
        <v/>
      </c>
      <c r="BM302" s="272" t="str">
        <f>IFERROR(IF(AVERAGE(BD302:BE302)&lt;&gt;0,AVERAGE(BD302:BE302),""),"")</f>
        <v/>
      </c>
    </row>
    <row r="303" spans="1:65" s="102" customFormat="1" ht="15" customHeight="1" outlineLevel="2" thickBot="1" x14ac:dyDescent="0.25">
      <c r="A303" s="320" t="s">
        <v>226</v>
      </c>
      <c r="B303" s="347"/>
      <c r="C303" s="350"/>
      <c r="D303" s="344"/>
      <c r="E303" s="278" t="s">
        <v>30</v>
      </c>
      <c r="F303" s="55"/>
      <c r="G303" s="56"/>
      <c r="H303" s="56"/>
      <c r="I303" s="56"/>
      <c r="J303" s="56"/>
      <c r="K303" s="56"/>
      <c r="L303" s="56"/>
      <c r="M303" s="56"/>
      <c r="N303" s="56"/>
      <c r="O303" s="56"/>
      <c r="P303" s="56"/>
      <c r="Q303" s="57"/>
      <c r="R303" s="55"/>
      <c r="S303" s="56"/>
      <c r="T303" s="56"/>
      <c r="U303" s="56"/>
      <c r="V303" s="56"/>
      <c r="W303" s="56"/>
      <c r="X303" s="56"/>
      <c r="Y303" s="56"/>
      <c r="Z303" s="56"/>
      <c r="AA303" s="56"/>
      <c r="AB303" s="56"/>
      <c r="AC303" s="57"/>
      <c r="AD303" s="55"/>
      <c r="AE303" s="56"/>
      <c r="AF303" s="56"/>
      <c r="AG303" s="56"/>
      <c r="AH303" s="56"/>
      <c r="AI303" s="56"/>
      <c r="AJ303" s="56"/>
      <c r="AK303" s="56"/>
      <c r="AL303" s="56"/>
      <c r="AM303" s="56"/>
      <c r="AN303" s="56"/>
      <c r="AO303" s="57"/>
      <c r="AP303" s="227" t="str">
        <f>IFERROR(IF(AVERAGE(F303:K303)&lt;&gt;0,AVERAGE(F303:K303),""),"")</f>
        <v/>
      </c>
      <c r="AQ303" s="228" t="str">
        <f>IFERROR(IF(AVERAGE(L303:Q303)&lt;&gt;0,AVERAGE(L303:Q303),""),"")</f>
        <v/>
      </c>
      <c r="AR303" s="227" t="str">
        <f>IFERROR(IF(AVERAGE(R303:W303)&lt;&gt;0,AVERAGE(R303:W303),""),"")</f>
        <v/>
      </c>
      <c r="AS303" s="228" t="str">
        <f>IFERROR(IF(AVERAGE(X303:AC303)&lt;&gt;0,AVERAGE(X303:AC303),""),"")</f>
        <v/>
      </c>
      <c r="AT303" s="227" t="str">
        <f>IFERROR(IF(AVERAGE(AD303:AI303)&lt;&gt;0,AVERAGE(AD303:AI303),""),"")</f>
        <v/>
      </c>
      <c r="AU303" s="228" t="str">
        <f>IFERROR(IF(AVERAGE(AJ303:AO303)&lt;&gt;0,AVERAGE(AJ303:AO303),""),"")</f>
        <v/>
      </c>
      <c r="AV303" s="71"/>
      <c r="AW303" s="56"/>
      <c r="AX303" s="71"/>
      <c r="AY303" s="56"/>
      <c r="AZ303" s="71"/>
      <c r="BA303" s="56"/>
      <c r="BB303" s="71"/>
      <c r="BC303" s="56"/>
      <c r="BD303" s="71"/>
      <c r="BE303" s="265"/>
      <c r="BF303" s="273" t="str">
        <f>IFERROR(IF(AVERAGE(AP303:AQ303)&lt;&gt;0,AVERAGE(AP303:AQ303),""),"")</f>
        <v/>
      </c>
      <c r="BG303" s="273" t="str">
        <f>IFERROR(IF(AVERAGE(AR303:AS303)&lt;&gt;0,AVERAGE(AR303:AS303),""),"")</f>
        <v/>
      </c>
      <c r="BH303" s="273" t="str">
        <f>IFERROR(IF(AVERAGE(AT303:AU303)&lt;&gt;0,AVERAGE(AT303:AU303),""),"")</f>
        <v/>
      </c>
      <c r="BI303" s="273" t="str">
        <f>IFERROR(IF(AVERAGE(AV303:AW303)&lt;&gt;0,AVERAGE(AV303:AW303),""),"")</f>
        <v/>
      </c>
      <c r="BJ303" s="273" t="str">
        <f>IFERROR(IF(AVERAGE(AX303:AY303)&lt;&gt;0,AVERAGE(AX303:AY303),""),"")</f>
        <v/>
      </c>
      <c r="BK303" s="273" t="str">
        <f>IFERROR(IF(AVERAGE(AZ303:BA303)&lt;&gt;0,AVERAGE(AZ303:BA303),""),"")</f>
        <v/>
      </c>
      <c r="BL303" s="273" t="str">
        <f>IFERROR(IF(AVERAGE(BB303:BC303)&lt;&gt;0,AVERAGE(BB303:BC303),""),"")</f>
        <v/>
      </c>
      <c r="BM303" s="273" t="str">
        <f>IFERROR(IF(AVERAGE(BD303:BE303)&lt;&gt;0,AVERAGE(BD303:BE303),""),"")</f>
        <v/>
      </c>
    </row>
    <row r="304" spans="1:65" s="102" customFormat="1" ht="14.25" customHeight="1" outlineLevel="2" x14ac:dyDescent="0.2">
      <c r="A304" s="320" t="s">
        <v>226</v>
      </c>
      <c r="B304" s="347"/>
      <c r="C304" s="350"/>
      <c r="D304" s="344"/>
      <c r="E304" s="279" t="s">
        <v>25</v>
      </c>
      <c r="F304" s="58"/>
      <c r="G304" s="50"/>
      <c r="H304" s="50"/>
      <c r="I304" s="50"/>
      <c r="J304" s="50"/>
      <c r="K304" s="50"/>
      <c r="L304" s="50"/>
      <c r="M304" s="50"/>
      <c r="N304" s="50"/>
      <c r="O304" s="50"/>
      <c r="P304" s="50"/>
      <c r="Q304" s="59"/>
      <c r="R304" s="58"/>
      <c r="S304" s="50"/>
      <c r="T304" s="50"/>
      <c r="U304" s="50"/>
      <c r="V304" s="50"/>
      <c r="W304" s="50"/>
      <c r="X304" s="50"/>
      <c r="Y304" s="50"/>
      <c r="Z304" s="50"/>
      <c r="AA304" s="50"/>
      <c r="AB304" s="50"/>
      <c r="AC304" s="59"/>
      <c r="AD304" s="58"/>
      <c r="AE304" s="50"/>
      <c r="AF304" s="50"/>
      <c r="AG304" s="50"/>
      <c r="AH304" s="50"/>
      <c r="AI304" s="50"/>
      <c r="AJ304" s="50"/>
      <c r="AK304" s="50"/>
      <c r="AL304" s="50"/>
      <c r="AM304" s="50"/>
      <c r="AN304" s="50"/>
      <c r="AO304" s="59"/>
      <c r="AP304" s="229" t="str">
        <f>IFERROR(IF(SUM(F304:K304)&lt;&gt;0,SUM(F304:K304),""),"")</f>
        <v/>
      </c>
      <c r="AQ304" s="230" t="str">
        <f>IFERROR(IF(SUM(L304:Q304)&lt;&gt;0,SUM(L304:Q304),""),"")</f>
        <v/>
      </c>
      <c r="AR304" s="229" t="str">
        <f>IFERROR(IF(SUM(R304:W304)&lt;&gt;0,SUM(R304:W304),""),"")</f>
        <v/>
      </c>
      <c r="AS304" s="230" t="str">
        <f>IFERROR(IF(SUM(X304:AC304)&lt;&gt;0,SUM(X304:AC304),""),"")</f>
        <v/>
      </c>
      <c r="AT304" s="229" t="str">
        <f>IFERROR(IF(SUM(AD304:AI304)&lt;&gt;0,SUM(AD304:AI304),""),"")</f>
        <v/>
      </c>
      <c r="AU304" s="230" t="str">
        <f>IFERROR(IF(SUM(AJ304:AO304)&lt;&gt;0,SUM(AJ304:AO304),""),"")</f>
        <v/>
      </c>
      <c r="AV304" s="72"/>
      <c r="AW304" s="73"/>
      <c r="AX304" s="72"/>
      <c r="AY304" s="73"/>
      <c r="AZ304" s="72"/>
      <c r="BA304" s="73"/>
      <c r="BB304" s="72"/>
      <c r="BC304" s="73"/>
      <c r="BD304" s="72"/>
      <c r="BE304" s="266"/>
      <c r="BF304" s="286" t="e">
        <f t="shared" ref="BF304:BF307" si="1161">IF(SUM(AP304,AQ304)&lt;&gt;0,SUM(AP304,AQ304),#N/A)</f>
        <v>#N/A</v>
      </c>
      <c r="BG304" s="286" t="e">
        <f t="shared" ref="BG304:BG307" si="1162">IF(SUM(AR304,AS304)&lt;&gt;0,SUM(AR304,AS304),#N/A)</f>
        <v>#N/A</v>
      </c>
      <c r="BH304" s="286" t="e">
        <f t="shared" ref="BH304:BH307" si="1163">IF(SUM(AT304,AU304)&lt;&gt;0,SUM(AT304,AU304),#N/A)</f>
        <v>#N/A</v>
      </c>
      <c r="BI304" s="286" t="e">
        <f t="shared" ref="BI304:BI307" si="1164">IF(SUM(AV304,AW304)&lt;&gt;0,SUM(AV304,AW304),#N/A)</f>
        <v>#N/A</v>
      </c>
      <c r="BJ304" s="286" t="e">
        <f t="shared" ref="BJ304:BJ307" si="1165">IF(SUM(AX304,AY304)&lt;&gt;0,SUM(AX304,AY304),#N/A)</f>
        <v>#N/A</v>
      </c>
      <c r="BK304" s="286" t="e">
        <f t="shared" ref="BK304:BK307" si="1166">IF(SUM(AZ304,BA304)&lt;&gt;0,SUM(AZ304,BA304),#N/A)</f>
        <v>#N/A</v>
      </c>
      <c r="BL304" s="286" t="e">
        <f t="shared" ref="BL304:BL307" si="1167">IF(SUM(BB304,BC304)&lt;&gt;0,SUM(BB304,BC304),#N/A)</f>
        <v>#N/A</v>
      </c>
      <c r="BM304" s="286" t="e">
        <f t="shared" ref="BM304:BM307" si="1168">IF(SUM(BD304,BE304)&lt;&gt;0,SUM(BD304,BE304),#N/A)</f>
        <v>#N/A</v>
      </c>
    </row>
    <row r="305" spans="1:65" s="102" customFormat="1" ht="14.25" customHeight="1" outlineLevel="2" x14ac:dyDescent="0.2">
      <c r="A305" s="320" t="s">
        <v>226</v>
      </c>
      <c r="B305" s="347"/>
      <c r="C305" s="350"/>
      <c r="D305" s="344"/>
      <c r="E305" s="280" t="s">
        <v>26</v>
      </c>
      <c r="F305" s="60"/>
      <c r="G305" s="61"/>
      <c r="H305" s="61"/>
      <c r="I305" s="61"/>
      <c r="J305" s="61"/>
      <c r="K305" s="61"/>
      <c r="L305" s="61"/>
      <c r="M305" s="61"/>
      <c r="N305" s="61"/>
      <c r="O305" s="61"/>
      <c r="P305" s="61"/>
      <c r="Q305" s="62"/>
      <c r="R305" s="60"/>
      <c r="S305" s="61"/>
      <c r="T305" s="61"/>
      <c r="U305" s="61"/>
      <c r="V305" s="61"/>
      <c r="W305" s="61"/>
      <c r="X305" s="61"/>
      <c r="Y305" s="61"/>
      <c r="Z305" s="61"/>
      <c r="AA305" s="61"/>
      <c r="AB305" s="61"/>
      <c r="AC305" s="62"/>
      <c r="AD305" s="60"/>
      <c r="AE305" s="61"/>
      <c r="AF305" s="61"/>
      <c r="AG305" s="61"/>
      <c r="AH305" s="61"/>
      <c r="AI305" s="61"/>
      <c r="AJ305" s="61"/>
      <c r="AK305" s="61"/>
      <c r="AL305" s="61"/>
      <c r="AM305" s="61"/>
      <c r="AN305" s="61"/>
      <c r="AO305" s="62"/>
      <c r="AP305" s="231" t="str">
        <f>IFERROR(IF(SUM(F305:K305)&lt;&gt;0,SUM(F305:K305),""),"")</f>
        <v/>
      </c>
      <c r="AQ305" s="232" t="str">
        <f>IFERROR(IF(SUM(L305:Q305)&lt;&gt;0,SUM(L305:Q305),""),"")</f>
        <v/>
      </c>
      <c r="AR305" s="231" t="str">
        <f>IFERROR(IF(SUM(R305:W305)&lt;&gt;0,SUM(R305:W305),""),"")</f>
        <v/>
      </c>
      <c r="AS305" s="232" t="str">
        <f>IFERROR(IF(SUM(X305:AC305)&lt;&gt;0,SUM(X305:AC305),""),"")</f>
        <v/>
      </c>
      <c r="AT305" s="231" t="str">
        <f>IFERROR(IF(SUM(AD305:AI305)&lt;&gt;0,SUM(AD305:AI305),""),"")</f>
        <v/>
      </c>
      <c r="AU305" s="232" t="str">
        <f>IFERROR(IF(SUM(AJ305:AO305)&lt;&gt;0,SUM(AJ305:AO305),""),"")</f>
        <v/>
      </c>
      <c r="AV305" s="74"/>
      <c r="AW305" s="61"/>
      <c r="AX305" s="74"/>
      <c r="AY305" s="61"/>
      <c r="AZ305" s="74"/>
      <c r="BA305" s="61"/>
      <c r="BB305" s="74"/>
      <c r="BC305" s="61"/>
      <c r="BD305" s="74"/>
      <c r="BE305" s="267"/>
      <c r="BF305" s="287" t="e">
        <f t="shared" si="1161"/>
        <v>#N/A</v>
      </c>
      <c r="BG305" s="287" t="e">
        <f t="shared" si="1162"/>
        <v>#N/A</v>
      </c>
      <c r="BH305" s="287" t="e">
        <f t="shared" si="1163"/>
        <v>#N/A</v>
      </c>
      <c r="BI305" s="287" t="e">
        <f t="shared" si="1164"/>
        <v>#N/A</v>
      </c>
      <c r="BJ305" s="287" t="e">
        <f t="shared" si="1165"/>
        <v>#N/A</v>
      </c>
      <c r="BK305" s="287" t="e">
        <f t="shared" si="1166"/>
        <v>#N/A</v>
      </c>
      <c r="BL305" s="287" t="e">
        <f t="shared" si="1167"/>
        <v>#N/A</v>
      </c>
      <c r="BM305" s="287" t="e">
        <f t="shared" si="1168"/>
        <v>#N/A</v>
      </c>
    </row>
    <row r="306" spans="1:65" s="102" customFormat="1" ht="14.25" customHeight="1" outlineLevel="2" x14ac:dyDescent="0.2">
      <c r="A306" s="320" t="s">
        <v>226</v>
      </c>
      <c r="B306" s="347"/>
      <c r="C306" s="350"/>
      <c r="D306" s="344"/>
      <c r="E306" s="280" t="s">
        <v>27</v>
      </c>
      <c r="F306" s="60"/>
      <c r="G306" s="61"/>
      <c r="H306" s="61"/>
      <c r="I306" s="61"/>
      <c r="J306" s="61"/>
      <c r="K306" s="61"/>
      <c r="L306" s="61"/>
      <c r="M306" s="61"/>
      <c r="N306" s="61"/>
      <c r="O306" s="61"/>
      <c r="P306" s="61"/>
      <c r="Q306" s="62"/>
      <c r="R306" s="60"/>
      <c r="S306" s="61"/>
      <c r="T306" s="61"/>
      <c r="U306" s="61"/>
      <c r="V306" s="61"/>
      <c r="W306" s="61"/>
      <c r="X306" s="61"/>
      <c r="Y306" s="61"/>
      <c r="Z306" s="61"/>
      <c r="AA306" s="61"/>
      <c r="AB306" s="61"/>
      <c r="AC306" s="62"/>
      <c r="AD306" s="60"/>
      <c r="AE306" s="61"/>
      <c r="AF306" s="61"/>
      <c r="AG306" s="61"/>
      <c r="AH306" s="61"/>
      <c r="AI306" s="61"/>
      <c r="AJ306" s="61"/>
      <c r="AK306" s="61"/>
      <c r="AL306" s="61"/>
      <c r="AM306" s="61"/>
      <c r="AN306" s="61"/>
      <c r="AO306" s="62"/>
      <c r="AP306" s="231" t="str">
        <f>IFERROR(IF(SUM(F306:K306)&lt;&gt;0,SUM(F306:K306),""),"")</f>
        <v/>
      </c>
      <c r="AQ306" s="232" t="str">
        <f>IFERROR(IF(SUM(L306:Q306)&lt;&gt;0,SUM(L306:Q306),""),"")</f>
        <v/>
      </c>
      <c r="AR306" s="231" t="str">
        <f>IFERROR(IF(SUM(R306:W306)&lt;&gt;0,SUM(R306:W306),""),"")</f>
        <v/>
      </c>
      <c r="AS306" s="232" t="str">
        <f>IFERROR(IF(SUM(X306:AC306)&lt;&gt;0,SUM(X306:AC306),""),"")</f>
        <v/>
      </c>
      <c r="AT306" s="231" t="str">
        <f>IFERROR(IF(SUM(AD306:AI306)&lt;&gt;0,SUM(AD306:AI306),""),"")</f>
        <v/>
      </c>
      <c r="AU306" s="232" t="str">
        <f>IFERROR(IF(SUM(AJ306:AO306)&lt;&gt;0,SUM(AJ306:AO306),""),"")</f>
        <v/>
      </c>
      <c r="AV306" s="74"/>
      <c r="AW306" s="61"/>
      <c r="AX306" s="74"/>
      <c r="AY306" s="61"/>
      <c r="AZ306" s="74"/>
      <c r="BA306" s="61"/>
      <c r="BB306" s="74"/>
      <c r="BC306" s="61"/>
      <c r="BD306" s="74"/>
      <c r="BE306" s="267"/>
      <c r="BF306" s="287" t="e">
        <f t="shared" si="1161"/>
        <v>#N/A</v>
      </c>
      <c r="BG306" s="287" t="e">
        <f t="shared" si="1162"/>
        <v>#N/A</v>
      </c>
      <c r="BH306" s="287" t="e">
        <f t="shared" si="1163"/>
        <v>#N/A</v>
      </c>
      <c r="BI306" s="287" t="e">
        <f t="shared" si="1164"/>
        <v>#N/A</v>
      </c>
      <c r="BJ306" s="287" t="e">
        <f t="shared" si="1165"/>
        <v>#N/A</v>
      </c>
      <c r="BK306" s="287" t="e">
        <f t="shared" si="1166"/>
        <v>#N/A</v>
      </c>
      <c r="BL306" s="287" t="e">
        <f t="shared" si="1167"/>
        <v>#N/A</v>
      </c>
      <c r="BM306" s="287" t="e">
        <f t="shared" si="1168"/>
        <v>#N/A</v>
      </c>
    </row>
    <row r="307" spans="1:65" s="102" customFormat="1" ht="15" customHeight="1" outlineLevel="2" thickBot="1" x14ac:dyDescent="0.25">
      <c r="A307" s="320" t="s">
        <v>226</v>
      </c>
      <c r="B307" s="347"/>
      <c r="C307" s="350"/>
      <c r="D307" s="344"/>
      <c r="E307" s="281" t="s">
        <v>88</v>
      </c>
      <c r="F307" s="63"/>
      <c r="G307" s="48"/>
      <c r="H307" s="48"/>
      <c r="I307" s="48"/>
      <c r="J307" s="48"/>
      <c r="K307" s="48"/>
      <c r="L307" s="48"/>
      <c r="M307" s="48"/>
      <c r="N307" s="48"/>
      <c r="O307" s="48"/>
      <c r="P307" s="48"/>
      <c r="Q307" s="51"/>
      <c r="R307" s="63"/>
      <c r="S307" s="48"/>
      <c r="T307" s="48"/>
      <c r="U307" s="48"/>
      <c r="V307" s="48"/>
      <c r="W307" s="48"/>
      <c r="X307" s="48"/>
      <c r="Y307" s="48"/>
      <c r="Z307" s="48"/>
      <c r="AA307" s="48"/>
      <c r="AB307" s="48"/>
      <c r="AC307" s="51"/>
      <c r="AD307" s="63"/>
      <c r="AE307" s="48"/>
      <c r="AF307" s="48"/>
      <c r="AG307" s="48"/>
      <c r="AH307" s="48"/>
      <c r="AI307" s="48"/>
      <c r="AJ307" s="48"/>
      <c r="AK307" s="48"/>
      <c r="AL307" s="48"/>
      <c r="AM307" s="48"/>
      <c r="AN307" s="48"/>
      <c r="AO307" s="51"/>
      <c r="AP307" s="233" t="str">
        <f>IFERROR(IF(SUM(F307:K307)&lt;&gt;0,SUM(F307:K307),""),"")</f>
        <v/>
      </c>
      <c r="AQ307" s="234" t="str">
        <f>IFERROR(IF(SUM(L307:Q307)&lt;&gt;0,SUM(L307:Q307),""),"")</f>
        <v/>
      </c>
      <c r="AR307" s="233" t="str">
        <f>IFERROR(IF(SUM(R307:W307)&lt;&gt;0,SUM(R307:W307),""),"")</f>
        <v/>
      </c>
      <c r="AS307" s="234" t="str">
        <f>IFERROR(IF(SUM(X307:AC307)&lt;&gt;0,SUM(X307:AC307),""),"")</f>
        <v/>
      </c>
      <c r="AT307" s="233" t="str">
        <f>IFERROR(IF(SUM(AD307:AI307)&lt;&gt;0,SUM(AD307:AI307),""),"")</f>
        <v/>
      </c>
      <c r="AU307" s="234" t="str">
        <f>IFERROR(IF(SUM(AJ307:AO307)&lt;&gt;0,SUM(AJ307:AO307),""),"")</f>
        <v/>
      </c>
      <c r="AV307" s="75"/>
      <c r="AW307" s="76"/>
      <c r="AX307" s="75"/>
      <c r="AY307" s="76"/>
      <c r="AZ307" s="75"/>
      <c r="BA307" s="76"/>
      <c r="BB307" s="75"/>
      <c r="BC307" s="76"/>
      <c r="BD307" s="75"/>
      <c r="BE307" s="268"/>
      <c r="BF307" s="271" t="e">
        <f t="shared" si="1161"/>
        <v>#N/A</v>
      </c>
      <c r="BG307" s="271" t="e">
        <f t="shared" si="1162"/>
        <v>#N/A</v>
      </c>
      <c r="BH307" s="271" t="e">
        <f t="shared" si="1163"/>
        <v>#N/A</v>
      </c>
      <c r="BI307" s="271" t="e">
        <f t="shared" si="1164"/>
        <v>#N/A</v>
      </c>
      <c r="BJ307" s="271" t="e">
        <f t="shared" si="1165"/>
        <v>#N/A</v>
      </c>
      <c r="BK307" s="271" t="e">
        <f t="shared" si="1166"/>
        <v>#N/A</v>
      </c>
      <c r="BL307" s="271" t="e">
        <f t="shared" si="1167"/>
        <v>#N/A</v>
      </c>
      <c r="BM307" s="271" t="e">
        <f t="shared" si="1168"/>
        <v>#N/A</v>
      </c>
    </row>
    <row r="308" spans="1:65" s="102" customFormat="1" ht="14.25" customHeight="1" outlineLevel="2" x14ac:dyDescent="0.2">
      <c r="A308" s="320" t="s">
        <v>226</v>
      </c>
      <c r="B308" s="347"/>
      <c r="C308" s="350"/>
      <c r="D308" s="344"/>
      <c r="E308" s="279" t="s">
        <v>32</v>
      </c>
      <c r="F308" s="64"/>
      <c r="G308" s="65"/>
      <c r="H308" s="65"/>
      <c r="I308" s="65"/>
      <c r="J308" s="65"/>
      <c r="K308" s="65"/>
      <c r="L308" s="65"/>
      <c r="M308" s="65"/>
      <c r="N308" s="65"/>
      <c r="O308" s="65"/>
      <c r="P308" s="65"/>
      <c r="Q308" s="66"/>
      <c r="R308" s="64"/>
      <c r="S308" s="65"/>
      <c r="T308" s="65"/>
      <c r="U308" s="65"/>
      <c r="V308" s="65"/>
      <c r="W308" s="65"/>
      <c r="X308" s="65"/>
      <c r="Y308" s="65"/>
      <c r="Z308" s="65"/>
      <c r="AA308" s="65"/>
      <c r="AB308" s="65"/>
      <c r="AC308" s="66"/>
      <c r="AD308" s="64"/>
      <c r="AE308" s="65"/>
      <c r="AF308" s="65"/>
      <c r="AG308" s="65"/>
      <c r="AH308" s="65"/>
      <c r="AI308" s="65"/>
      <c r="AJ308" s="65"/>
      <c r="AK308" s="65"/>
      <c r="AL308" s="65"/>
      <c r="AM308" s="65"/>
      <c r="AN308" s="65"/>
      <c r="AO308" s="66"/>
      <c r="AP308" s="32" t="str">
        <f>IFERROR(IF(AVERAGE(F308:K308)&lt;&gt;0,AVERAGE(F308:K308),""),"")</f>
        <v/>
      </c>
      <c r="AQ308" s="235" t="str">
        <f>IFERROR(IF(AVERAGE(L308:Q308)&lt;&gt;0,AVERAGE(L308:Q308),""),"")</f>
        <v/>
      </c>
      <c r="AR308" s="32" t="str">
        <f>IFERROR(IF(AVERAGE(R308:W308)&lt;&gt;0,AVERAGE(R308:W308),""),"")</f>
        <v/>
      </c>
      <c r="AS308" s="235" t="str">
        <f>IFERROR(IF(AVERAGE(X308:AC308)&lt;&gt;0,AVERAGE(X308:AC308),""),"")</f>
        <v/>
      </c>
      <c r="AT308" s="32" t="str">
        <f>IFERROR(IF(AVERAGE(AD308:AI308)&lt;&gt;0,AVERAGE(AD308:AI308),""),"")</f>
        <v/>
      </c>
      <c r="AU308" s="235" t="str">
        <f>IFERROR(IF(AVERAGE(AJ308:AO308)&lt;&gt;0,AVERAGE(AJ308:AO308),""),"")</f>
        <v/>
      </c>
      <c r="AV308" s="77"/>
      <c r="AW308" s="65"/>
      <c r="AX308" s="77"/>
      <c r="AY308" s="65"/>
      <c r="AZ308" s="77"/>
      <c r="BA308" s="65"/>
      <c r="BB308" s="77"/>
      <c r="BC308" s="65"/>
      <c r="BD308" s="77"/>
      <c r="BE308" s="269"/>
      <c r="BF308" s="272" t="str">
        <f>IFERROR(IF(AVERAGE(AP308:AQ308)&lt;&gt;0,AVERAGE(AP308:AQ308),""),"")</f>
        <v/>
      </c>
      <c r="BG308" s="272" t="str">
        <f>IFERROR(IF(AVERAGE(AR308:AS308)&lt;&gt;0,AVERAGE(AR308:AS308),""),"")</f>
        <v/>
      </c>
      <c r="BH308" s="272" t="str">
        <f>IFERROR(IF(AVERAGE(AT308:AU308)&lt;&gt;0,AVERAGE(AT308:AU308),""),"")</f>
        <v/>
      </c>
      <c r="BI308" s="272" t="str">
        <f>IFERROR(IF(AVERAGE(AV308:AW308)&lt;&gt;0,AVERAGE(AV308:AW308),""),"")</f>
        <v/>
      </c>
      <c r="BJ308" s="272" t="str">
        <f>IFERROR(IF(AVERAGE(AX308:AY308)&lt;&gt;0,AVERAGE(AX308:AY308),""),"")</f>
        <v/>
      </c>
      <c r="BK308" s="272" t="str">
        <f>IFERROR(IF(AVERAGE(AZ308:BA308)&lt;&gt;0,AVERAGE(AZ308:BA308),""),"")</f>
        <v/>
      </c>
      <c r="BL308" s="272" t="str">
        <f>IFERROR(IF(AVERAGE(BB308:BC308)&lt;&gt;0,AVERAGE(BB308:BC308),""),"")</f>
        <v/>
      </c>
      <c r="BM308" s="272" t="str">
        <f>IFERROR(IF(AVERAGE(BD308:BE308)&lt;&gt;0,AVERAGE(BD308:BE308),""),"")</f>
        <v/>
      </c>
    </row>
    <row r="309" spans="1:65" s="102" customFormat="1" ht="15" customHeight="1" outlineLevel="2" thickBot="1" x14ac:dyDescent="0.25">
      <c r="A309" s="320" t="s">
        <v>226</v>
      </c>
      <c r="B309" s="347"/>
      <c r="C309" s="350"/>
      <c r="D309" s="344"/>
      <c r="E309" s="281" t="s">
        <v>2</v>
      </c>
      <c r="F309" s="67"/>
      <c r="G309" s="68"/>
      <c r="H309" s="68"/>
      <c r="I309" s="68"/>
      <c r="J309" s="68"/>
      <c r="K309" s="68"/>
      <c r="L309" s="68"/>
      <c r="M309" s="68"/>
      <c r="N309" s="68"/>
      <c r="O309" s="68"/>
      <c r="P309" s="68"/>
      <c r="Q309" s="69"/>
      <c r="R309" s="67"/>
      <c r="S309" s="68"/>
      <c r="T309" s="68"/>
      <c r="U309" s="68"/>
      <c r="V309" s="68"/>
      <c r="W309" s="68"/>
      <c r="X309" s="68"/>
      <c r="Y309" s="68"/>
      <c r="Z309" s="68"/>
      <c r="AA309" s="68"/>
      <c r="AB309" s="68"/>
      <c r="AC309" s="69"/>
      <c r="AD309" s="67"/>
      <c r="AE309" s="68"/>
      <c r="AF309" s="68"/>
      <c r="AG309" s="68"/>
      <c r="AH309" s="68"/>
      <c r="AI309" s="68"/>
      <c r="AJ309" s="68"/>
      <c r="AK309" s="68"/>
      <c r="AL309" s="68"/>
      <c r="AM309" s="68"/>
      <c r="AN309" s="68"/>
      <c r="AO309" s="69"/>
      <c r="AP309" s="236" t="str">
        <f>IFERROR(IF(AVERAGE(F309:K309)&lt;&gt;0,AVERAGE(F309:K309),""),"")</f>
        <v/>
      </c>
      <c r="AQ309" s="237" t="str">
        <f>IFERROR(IF(AVERAGE(L309:Q309)&lt;&gt;0,AVERAGE(L309:Q309),""),"")</f>
        <v/>
      </c>
      <c r="AR309" s="236" t="str">
        <f>IFERROR(IF(AVERAGE(R309:W309)&lt;&gt;0,AVERAGE(R309:W309),""),"")</f>
        <v/>
      </c>
      <c r="AS309" s="237" t="str">
        <f>IFERROR(IF(AVERAGE(X309:AC309)&lt;&gt;0,AVERAGE(X309:AC309),""),"")</f>
        <v/>
      </c>
      <c r="AT309" s="236" t="str">
        <f>IFERROR(IF(AVERAGE(AD309:AI309)&lt;&gt;0,AVERAGE(AD309:AI309),""),"")</f>
        <v/>
      </c>
      <c r="AU309" s="237" t="str">
        <f>IFERROR(IF(AVERAGE(AJ309:AO309)&lt;&gt;0,AVERAGE(AJ309:AO309),""),"")</f>
        <v/>
      </c>
      <c r="AV309" s="78"/>
      <c r="AW309" s="68"/>
      <c r="AX309" s="78"/>
      <c r="AY309" s="68"/>
      <c r="AZ309" s="78"/>
      <c r="BA309" s="68"/>
      <c r="BB309" s="78"/>
      <c r="BC309" s="68"/>
      <c r="BD309" s="78"/>
      <c r="BE309" s="270"/>
      <c r="BF309" s="288" t="str">
        <f>IFERROR(IF(AVERAGE(AP309:AQ309)&lt;&gt;0,AVERAGE(AP309:AQ309),""),"")</f>
        <v/>
      </c>
      <c r="BG309" s="288" t="str">
        <f>IFERROR(IF(AVERAGE(AR309:AS309)&lt;&gt;0,AVERAGE(AR309:AS309),""),"")</f>
        <v/>
      </c>
      <c r="BH309" s="288" t="str">
        <f>IFERROR(IF(AVERAGE(AT309:AU309)&lt;&gt;0,AVERAGE(AT309:AU309),""),"")</f>
        <v/>
      </c>
      <c r="BI309" s="288" t="str">
        <f>IFERROR(IF(AVERAGE(AV309:AW309)&lt;&gt;0,AVERAGE(AV309:AW309),""),"")</f>
        <v/>
      </c>
      <c r="BJ309" s="288" t="str">
        <f>IFERROR(IF(AVERAGE(AX309:AY309)&lt;&gt;0,AVERAGE(AX309:AY309),""),"")</f>
        <v/>
      </c>
      <c r="BK309" s="288" t="str">
        <f>IFERROR(IF(AVERAGE(AZ309:BA309)&lt;&gt;0,AVERAGE(AZ309:BA309),""),"")</f>
        <v/>
      </c>
      <c r="BL309" s="288" t="str">
        <f>IFERROR(IF(AVERAGE(BB309:BC309)&lt;&gt;0,AVERAGE(BB309:BC309),""),"")</f>
        <v/>
      </c>
      <c r="BM309" s="288" t="str">
        <f>IFERROR(IF(AVERAGE(BD309:BE309)&lt;&gt;0,AVERAGE(BD309:BE309),""),"")</f>
        <v/>
      </c>
    </row>
    <row r="310" spans="1:65" s="102" customFormat="1" ht="14.25" customHeight="1" outlineLevel="1" x14ac:dyDescent="0.2">
      <c r="A310" s="320" t="s">
        <v>226</v>
      </c>
      <c r="B310" s="347"/>
      <c r="C310" s="350"/>
      <c r="D310" s="344"/>
      <c r="E310" s="282" t="s">
        <v>228</v>
      </c>
      <c r="F310" s="283" t="str">
        <f ca="1">IF(IFERROR((F$11*(F302-SUM(F304:F307)/F$11)*F309*3600)/(F308),"")&gt;0,IFERROR((F$11*(F302-SUM(F304:F307)/F$11)*F309*3600)/(F308),""),"")</f>
        <v/>
      </c>
      <c r="G310" s="284" t="str">
        <f t="shared" ref="G310:AO310" ca="1" si="1169">IF(IFERROR((G$11*(G302-SUM(G304:G307)/G$11)*G309*3600)/(G308),"")&gt;0,IFERROR((G$11*(G302-SUM(G304:G307)/G$11)*G309*3600)/(G308),""),"")</f>
        <v/>
      </c>
      <c r="H310" s="284" t="str">
        <f t="shared" ca="1" si="1169"/>
        <v/>
      </c>
      <c r="I310" s="284" t="str">
        <f t="shared" ca="1" si="1169"/>
        <v/>
      </c>
      <c r="J310" s="284" t="str">
        <f t="shared" ca="1" si="1169"/>
        <v/>
      </c>
      <c r="K310" s="284" t="str">
        <f t="shared" ca="1" si="1169"/>
        <v/>
      </c>
      <c r="L310" s="284" t="str">
        <f t="shared" ca="1" si="1169"/>
        <v/>
      </c>
      <c r="M310" s="284" t="str">
        <f t="shared" ca="1" si="1169"/>
        <v/>
      </c>
      <c r="N310" s="284" t="str">
        <f t="shared" ca="1" si="1169"/>
        <v/>
      </c>
      <c r="O310" s="284" t="str">
        <f t="shared" ca="1" si="1169"/>
        <v/>
      </c>
      <c r="P310" s="284" t="str">
        <f t="shared" ca="1" si="1169"/>
        <v/>
      </c>
      <c r="Q310" s="284" t="str">
        <f t="shared" ca="1" si="1169"/>
        <v/>
      </c>
      <c r="R310" s="283" t="str">
        <f t="shared" ca="1" si="1169"/>
        <v/>
      </c>
      <c r="S310" s="284" t="str">
        <f t="shared" ca="1" si="1169"/>
        <v/>
      </c>
      <c r="T310" s="284" t="str">
        <f t="shared" ca="1" si="1169"/>
        <v/>
      </c>
      <c r="U310" s="284" t="str">
        <f t="shared" ca="1" si="1169"/>
        <v/>
      </c>
      <c r="V310" s="284" t="str">
        <f t="shared" ca="1" si="1169"/>
        <v/>
      </c>
      <c r="W310" s="284" t="str">
        <f t="shared" ca="1" si="1169"/>
        <v/>
      </c>
      <c r="X310" s="284" t="str">
        <f t="shared" ca="1" si="1169"/>
        <v/>
      </c>
      <c r="Y310" s="284" t="str">
        <f t="shared" ca="1" si="1169"/>
        <v/>
      </c>
      <c r="Z310" s="284" t="str">
        <f t="shared" ca="1" si="1169"/>
        <v/>
      </c>
      <c r="AA310" s="284" t="str">
        <f t="shared" ca="1" si="1169"/>
        <v/>
      </c>
      <c r="AB310" s="284" t="str">
        <f t="shared" ca="1" si="1169"/>
        <v/>
      </c>
      <c r="AC310" s="284" t="str">
        <f t="shared" ca="1" si="1169"/>
        <v/>
      </c>
      <c r="AD310" s="283" t="str">
        <f t="shared" ca="1" si="1169"/>
        <v/>
      </c>
      <c r="AE310" s="284" t="str">
        <f t="shared" ca="1" si="1169"/>
        <v/>
      </c>
      <c r="AF310" s="284" t="str">
        <f t="shared" ca="1" si="1169"/>
        <v/>
      </c>
      <c r="AG310" s="284" t="str">
        <f t="shared" ca="1" si="1169"/>
        <v/>
      </c>
      <c r="AH310" s="284" t="str">
        <f t="shared" ca="1" si="1169"/>
        <v/>
      </c>
      <c r="AI310" s="284" t="str">
        <f t="shared" ca="1" si="1169"/>
        <v/>
      </c>
      <c r="AJ310" s="284" t="str">
        <f t="shared" ca="1" si="1169"/>
        <v/>
      </c>
      <c r="AK310" s="284" t="str">
        <f t="shared" ca="1" si="1169"/>
        <v/>
      </c>
      <c r="AL310" s="284" t="str">
        <f t="shared" ca="1" si="1169"/>
        <v/>
      </c>
      <c r="AM310" s="284" t="str">
        <f t="shared" ca="1" si="1169"/>
        <v/>
      </c>
      <c r="AN310" s="284" t="str">
        <f t="shared" ca="1" si="1169"/>
        <v/>
      </c>
      <c r="AO310" s="284" t="str">
        <f t="shared" ca="1" si="1169"/>
        <v/>
      </c>
      <c r="AP310" s="283" t="e">
        <f t="shared" ref="AP310:AP311" ca="1" si="1170">IF(SUM(F310:K310)&lt;&gt;0,SUM(F310:K310),#N/A)</f>
        <v>#N/A</v>
      </c>
      <c r="AQ310" s="284" t="e">
        <f t="shared" ref="AQ310:AQ311" ca="1" si="1171">IF(SUM(L310:Q310)&lt;&gt;0,SUM(L310:Q310),#N/A)</f>
        <v>#N/A</v>
      </c>
      <c r="AR310" s="283" t="e">
        <f t="shared" ref="AR310:AR311" ca="1" si="1172">IF(SUM(R310:W310)&lt;&gt;0,SUM(R310:W310),#N/A)</f>
        <v>#N/A</v>
      </c>
      <c r="AS310" s="284" t="e">
        <f t="shared" ref="AS310:AS311" ca="1" si="1173">IF(SUM(X310:AC310)&lt;&gt;0,SUM(X310:AC310),#N/A)</f>
        <v>#N/A</v>
      </c>
      <c r="AT310" s="283" t="e">
        <f t="shared" ref="AT310:AT311" ca="1" si="1174">IF(SUM(AD310:AI310)&lt;&gt;0,SUM(AD310:AI310),#N/A)</f>
        <v>#N/A</v>
      </c>
      <c r="AU310" s="284" t="e">
        <f t="shared" ref="AU310:AU311" ca="1" si="1175">IF(SUM(AJ310:AO310)&lt;&gt;0,SUM(AJ310:AO310),#N/A)</f>
        <v>#N/A</v>
      </c>
      <c r="AV310" s="283" t="str">
        <f ca="1">IF(IFERROR((AV$11*(AV302-SUM(AV304:AV307)/AV$11)*AV309*3600)/(AV308),"")&lt;&gt;0,IFERROR((AV$11*(AV302-SUM(AV304:AV307)/AV$11)*AV309*3600)/(AV308),""),"")</f>
        <v/>
      </c>
      <c r="AW310" s="284" t="str">
        <f t="shared" ref="AW310:BE310" ca="1" si="1176">IF(IFERROR((AW$11*(AW302-SUM(AW304:AW307)/AW$11)*AW309*3600)/(AW308),"")&lt;&gt;0,IFERROR((AW$11*(AW302-SUM(AW304:AW307)/AW$11)*AW309*3600)/(AW308),""),"")</f>
        <v/>
      </c>
      <c r="AX310" s="283" t="str">
        <f t="shared" ca="1" si="1176"/>
        <v/>
      </c>
      <c r="AY310" s="284" t="str">
        <f t="shared" ca="1" si="1176"/>
        <v/>
      </c>
      <c r="AZ310" s="283" t="str">
        <f t="shared" ca="1" si="1176"/>
        <v/>
      </c>
      <c r="BA310" s="284" t="str">
        <f t="shared" ca="1" si="1176"/>
        <v/>
      </c>
      <c r="BB310" s="283" t="str">
        <f t="shared" ca="1" si="1176"/>
        <v/>
      </c>
      <c r="BC310" s="284" t="str">
        <f t="shared" ca="1" si="1176"/>
        <v/>
      </c>
      <c r="BD310" s="283" t="str">
        <f t="shared" ca="1" si="1176"/>
        <v/>
      </c>
      <c r="BE310" s="285" t="str">
        <f t="shared" ca="1" si="1176"/>
        <v/>
      </c>
      <c r="BF310" s="285" t="e">
        <f t="shared" ref="BF310:BF312" ca="1" si="1177">IF(SUM(AP310,AQ310)&lt;&gt;0,SUM(AP310,AQ310),#N/A)</f>
        <v>#N/A</v>
      </c>
      <c r="BG310" s="285" t="e">
        <f t="shared" ref="BG310:BG312" ca="1" si="1178">IF(SUM(AR310,AS310)&lt;&gt;0,SUM(AR310,AS310),#N/A)</f>
        <v>#N/A</v>
      </c>
      <c r="BH310" s="285" t="e">
        <f t="shared" ref="BH310:BH312" ca="1" si="1179">IF(SUM(AT310,AU310)&lt;&gt;0,SUM(AT310,AU310),#N/A)</f>
        <v>#N/A</v>
      </c>
      <c r="BI310" s="285" t="e">
        <f t="shared" ref="BI310:BI312" ca="1" si="1180">IF(SUM(AV310,AW310)&lt;&gt;0,SUM(AV310,AW310),#N/A)</f>
        <v>#N/A</v>
      </c>
      <c r="BJ310" s="285" t="e">
        <f t="shared" ref="BJ310:BJ312" ca="1" si="1181">IF(SUM(AX310,AY310)&lt;&gt;0,SUM(AX310,AY310),#N/A)</f>
        <v>#N/A</v>
      </c>
      <c r="BK310" s="285" t="e">
        <f t="shared" ref="BK310:BK312" ca="1" si="1182">IF(SUM(AZ310,BA310)&lt;&gt;0,SUM(AZ310,BA310),#N/A)</f>
        <v>#N/A</v>
      </c>
      <c r="BL310" s="285" t="e">
        <f t="shared" ref="BL310:BL312" ca="1" si="1183">IF(SUM(BB310,BC310)&lt;&gt;0,SUM(BB310,BC310),#N/A)</f>
        <v>#N/A</v>
      </c>
      <c r="BM310" s="285" t="e">
        <f t="shared" ref="BM310:BM312" ca="1" si="1184">IF(SUM(BD310,BE310)&lt;&gt;0,SUM(BD310,BE310),#N/A)</f>
        <v>#N/A</v>
      </c>
    </row>
    <row r="311" spans="1:65" s="102" customFormat="1" ht="15" customHeight="1" outlineLevel="1" thickBot="1" x14ac:dyDescent="0.25">
      <c r="A311" s="320" t="s">
        <v>226</v>
      </c>
      <c r="B311" s="348"/>
      <c r="C311" s="351"/>
      <c r="D311" s="345"/>
      <c r="E311" s="104" t="s">
        <v>225</v>
      </c>
      <c r="F311" s="36" t="str">
        <f ca="1">IFERROR(F310+((F301*F303*F309*3600)/(F308)),"")</f>
        <v/>
      </c>
      <c r="G311" s="37" t="str">
        <f t="shared" ref="G311:AO311" ca="1" si="1185">IFERROR(G310+((G301*G303*G309*3600)/(G308)),"")</f>
        <v/>
      </c>
      <c r="H311" s="37" t="str">
        <f t="shared" ca="1" si="1185"/>
        <v/>
      </c>
      <c r="I311" s="37" t="str">
        <f t="shared" ca="1" si="1185"/>
        <v/>
      </c>
      <c r="J311" s="37" t="str">
        <f t="shared" ca="1" si="1185"/>
        <v/>
      </c>
      <c r="K311" s="37" t="str">
        <f t="shared" ca="1" si="1185"/>
        <v/>
      </c>
      <c r="L311" s="37" t="str">
        <f t="shared" ca="1" si="1185"/>
        <v/>
      </c>
      <c r="M311" s="37" t="str">
        <f t="shared" ca="1" si="1185"/>
        <v/>
      </c>
      <c r="N311" s="37" t="str">
        <f t="shared" ca="1" si="1185"/>
        <v/>
      </c>
      <c r="O311" s="37" t="str">
        <f t="shared" ca="1" si="1185"/>
        <v/>
      </c>
      <c r="P311" s="37" t="str">
        <f t="shared" ca="1" si="1185"/>
        <v/>
      </c>
      <c r="Q311" s="37" t="str">
        <f t="shared" ca="1" si="1185"/>
        <v/>
      </c>
      <c r="R311" s="36" t="str">
        <f t="shared" ca="1" si="1185"/>
        <v/>
      </c>
      <c r="S311" s="37" t="str">
        <f t="shared" ca="1" si="1185"/>
        <v/>
      </c>
      <c r="T311" s="37" t="str">
        <f t="shared" ca="1" si="1185"/>
        <v/>
      </c>
      <c r="U311" s="37" t="str">
        <f t="shared" ca="1" si="1185"/>
        <v/>
      </c>
      <c r="V311" s="37" t="str">
        <f t="shared" ca="1" si="1185"/>
        <v/>
      </c>
      <c r="W311" s="37" t="str">
        <f t="shared" ca="1" si="1185"/>
        <v/>
      </c>
      <c r="X311" s="37" t="str">
        <f t="shared" ca="1" si="1185"/>
        <v/>
      </c>
      <c r="Y311" s="37" t="str">
        <f t="shared" ca="1" si="1185"/>
        <v/>
      </c>
      <c r="Z311" s="37" t="str">
        <f t="shared" ca="1" si="1185"/>
        <v/>
      </c>
      <c r="AA311" s="37" t="str">
        <f t="shared" ca="1" si="1185"/>
        <v/>
      </c>
      <c r="AB311" s="37" t="str">
        <f t="shared" ca="1" si="1185"/>
        <v/>
      </c>
      <c r="AC311" s="37" t="str">
        <f t="shared" ca="1" si="1185"/>
        <v/>
      </c>
      <c r="AD311" s="36" t="str">
        <f t="shared" ca="1" si="1185"/>
        <v/>
      </c>
      <c r="AE311" s="37" t="str">
        <f t="shared" ca="1" si="1185"/>
        <v/>
      </c>
      <c r="AF311" s="37" t="str">
        <f t="shared" ca="1" si="1185"/>
        <v/>
      </c>
      <c r="AG311" s="37" t="str">
        <f t="shared" ca="1" si="1185"/>
        <v/>
      </c>
      <c r="AH311" s="37" t="str">
        <f t="shared" ca="1" si="1185"/>
        <v/>
      </c>
      <c r="AI311" s="37" t="str">
        <f t="shared" ca="1" si="1185"/>
        <v/>
      </c>
      <c r="AJ311" s="37" t="str">
        <f t="shared" ca="1" si="1185"/>
        <v/>
      </c>
      <c r="AK311" s="37" t="str">
        <f t="shared" ca="1" si="1185"/>
        <v/>
      </c>
      <c r="AL311" s="37" t="str">
        <f t="shared" ca="1" si="1185"/>
        <v/>
      </c>
      <c r="AM311" s="37" t="str">
        <f t="shared" ca="1" si="1185"/>
        <v/>
      </c>
      <c r="AN311" s="37" t="str">
        <f t="shared" ca="1" si="1185"/>
        <v/>
      </c>
      <c r="AO311" s="37" t="str">
        <f t="shared" ca="1" si="1185"/>
        <v/>
      </c>
      <c r="AP311" s="36" t="e">
        <f t="shared" ca="1" si="1170"/>
        <v>#N/A</v>
      </c>
      <c r="AQ311" s="37" t="e">
        <f t="shared" ca="1" si="1171"/>
        <v>#N/A</v>
      </c>
      <c r="AR311" s="36" t="e">
        <f t="shared" ca="1" si="1172"/>
        <v>#N/A</v>
      </c>
      <c r="AS311" s="37" t="e">
        <f t="shared" ca="1" si="1173"/>
        <v>#N/A</v>
      </c>
      <c r="AT311" s="36" t="e">
        <f t="shared" ca="1" si="1174"/>
        <v>#N/A</v>
      </c>
      <c r="AU311" s="37" t="e">
        <f t="shared" ca="1" si="1175"/>
        <v>#N/A</v>
      </c>
      <c r="AV311" s="36" t="str">
        <f t="shared" ref="AV311:BE311" ca="1" si="1186">IFERROR(AV310+((AV301*AV303*AV309*3600)/(AV308)),"")</f>
        <v/>
      </c>
      <c r="AW311" s="37" t="str">
        <f t="shared" ca="1" si="1186"/>
        <v/>
      </c>
      <c r="AX311" s="36" t="str">
        <f t="shared" ca="1" si="1186"/>
        <v/>
      </c>
      <c r="AY311" s="37" t="str">
        <f t="shared" ca="1" si="1186"/>
        <v/>
      </c>
      <c r="AZ311" s="36" t="str">
        <f t="shared" ca="1" si="1186"/>
        <v/>
      </c>
      <c r="BA311" s="37" t="str">
        <f t="shared" ca="1" si="1186"/>
        <v/>
      </c>
      <c r="BB311" s="36" t="str">
        <f t="shared" ca="1" si="1186"/>
        <v/>
      </c>
      <c r="BC311" s="37" t="str">
        <f t="shared" ca="1" si="1186"/>
        <v/>
      </c>
      <c r="BD311" s="36" t="str">
        <f t="shared" ca="1" si="1186"/>
        <v/>
      </c>
      <c r="BE311" s="43" t="str">
        <f t="shared" ca="1" si="1186"/>
        <v/>
      </c>
      <c r="BF311" s="43" t="e">
        <f t="shared" ca="1" si="1177"/>
        <v>#N/A</v>
      </c>
      <c r="BG311" s="43" t="e">
        <f t="shared" ca="1" si="1178"/>
        <v>#N/A</v>
      </c>
      <c r="BH311" s="43" t="e">
        <f t="shared" ca="1" si="1179"/>
        <v>#N/A</v>
      </c>
      <c r="BI311" s="43" t="e">
        <f t="shared" ca="1" si="1180"/>
        <v>#N/A</v>
      </c>
      <c r="BJ311" s="43" t="e">
        <f t="shared" ca="1" si="1181"/>
        <v>#N/A</v>
      </c>
      <c r="BK311" s="43" t="e">
        <f t="shared" ca="1" si="1182"/>
        <v>#N/A</v>
      </c>
      <c r="BL311" s="43" t="e">
        <f t="shared" ca="1" si="1183"/>
        <v>#N/A</v>
      </c>
      <c r="BM311" s="43" t="e">
        <f t="shared" ca="1" si="1184"/>
        <v>#N/A</v>
      </c>
    </row>
    <row r="312" spans="1:65" s="102" customFormat="1" ht="22.5" outlineLevel="2" x14ac:dyDescent="0.2">
      <c r="A312" s="320" t="s">
        <v>226</v>
      </c>
      <c r="B312" s="346"/>
      <c r="C312" s="349" t="str">
        <f t="shared" ref="C312" si="1187">IF(AND($B312&lt;&gt;0,$C$9&lt;&gt;0),$C$9,"")</f>
        <v/>
      </c>
      <c r="D312" s="343"/>
      <c r="E312" s="277" t="s">
        <v>40</v>
      </c>
      <c r="F312" s="33">
        <f ca="1">IF(F$11-(SUM(F316:F319)/24)=0,"",F$11-(SUM(F316:F319)/24))</f>
        <v>27</v>
      </c>
      <c r="G312" s="34">
        <f t="shared" ref="G312:AO312" ca="1" si="1188">IF(G$11-(SUM(G316:G319)/24)=0,"",G$11-(SUM(G316:G319)/24))</f>
        <v>24</v>
      </c>
      <c r="H312" s="34">
        <f t="shared" ca="1" si="1188"/>
        <v>26</v>
      </c>
      <c r="I312" s="34">
        <f t="shared" ca="1" si="1188"/>
        <v>26</v>
      </c>
      <c r="J312" s="34">
        <f t="shared" ca="1" si="1188"/>
        <v>27</v>
      </c>
      <c r="K312" s="34">
        <f t="shared" ca="1" si="1188"/>
        <v>25</v>
      </c>
      <c r="L312" s="34">
        <f t="shared" ca="1" si="1188"/>
        <v>27</v>
      </c>
      <c r="M312" s="34">
        <f t="shared" ca="1" si="1188"/>
        <v>26</v>
      </c>
      <c r="N312" s="34">
        <f t="shared" ca="1" si="1188"/>
        <v>26</v>
      </c>
      <c r="O312" s="34">
        <f t="shared" ca="1" si="1188"/>
        <v>27</v>
      </c>
      <c r="P312" s="34">
        <f t="shared" ca="1" si="1188"/>
        <v>25</v>
      </c>
      <c r="Q312" s="34">
        <f t="shared" ca="1" si="1188"/>
        <v>27</v>
      </c>
      <c r="R312" s="32">
        <f t="shared" ca="1" si="1188"/>
        <v>27</v>
      </c>
      <c r="S312" s="29">
        <f t="shared" ca="1" si="1188"/>
        <v>24</v>
      </c>
      <c r="T312" s="29">
        <f t="shared" ca="1" si="1188"/>
        <v>26</v>
      </c>
      <c r="U312" s="29">
        <f t="shared" ca="1" si="1188"/>
        <v>26</v>
      </c>
      <c r="V312" s="29">
        <f t="shared" ca="1" si="1188"/>
        <v>26</v>
      </c>
      <c r="W312" s="29">
        <f t="shared" ca="1" si="1188"/>
        <v>26</v>
      </c>
      <c r="X312" s="29">
        <f t="shared" ca="1" si="1188"/>
        <v>27</v>
      </c>
      <c r="Y312" s="29">
        <f t="shared" ca="1" si="1188"/>
        <v>26</v>
      </c>
      <c r="Z312" s="29">
        <f t="shared" ca="1" si="1188"/>
        <v>26</v>
      </c>
      <c r="AA312" s="29">
        <f t="shared" ca="1" si="1188"/>
        <v>27</v>
      </c>
      <c r="AB312" s="29">
        <f t="shared" ca="1" si="1188"/>
        <v>25</v>
      </c>
      <c r="AC312" s="29">
        <f t="shared" ca="1" si="1188"/>
        <v>27</v>
      </c>
      <c r="AD312" s="32">
        <f t="shared" ca="1" si="1188"/>
        <v>26</v>
      </c>
      <c r="AE312" s="29">
        <f t="shared" ca="1" si="1188"/>
        <v>24</v>
      </c>
      <c r="AF312" s="29">
        <f t="shared" ca="1" si="1188"/>
        <v>27</v>
      </c>
      <c r="AG312" s="29">
        <f t="shared" ca="1" si="1188"/>
        <v>26</v>
      </c>
      <c r="AH312" s="29">
        <f t="shared" ca="1" si="1188"/>
        <v>26</v>
      </c>
      <c r="AI312" s="29">
        <f t="shared" ca="1" si="1188"/>
        <v>26</v>
      </c>
      <c r="AJ312" s="29">
        <f t="shared" ca="1" si="1188"/>
        <v>27</v>
      </c>
      <c r="AK312" s="29">
        <f t="shared" ca="1" si="1188"/>
        <v>26</v>
      </c>
      <c r="AL312" s="29">
        <f t="shared" ca="1" si="1188"/>
        <v>26</v>
      </c>
      <c r="AM312" s="29">
        <f t="shared" ca="1" si="1188"/>
        <v>26</v>
      </c>
      <c r="AN312" s="29">
        <f t="shared" ca="1" si="1188"/>
        <v>26</v>
      </c>
      <c r="AO312" s="29">
        <f t="shared" ca="1" si="1188"/>
        <v>27</v>
      </c>
      <c r="AP312" s="32">
        <f ca="1">IF(SUM(F312:K312)&lt;&gt;0,SUM(F312:K312),"")</f>
        <v>155</v>
      </c>
      <c r="AQ312" s="29">
        <f ca="1">IF(SUM(L312:Q312)&lt;&gt;0,SUM(L312:Q312),"")</f>
        <v>158</v>
      </c>
      <c r="AR312" s="32">
        <f ca="1">IF(SUM(R312:W312)&lt;&gt;0,SUM(R312:W312),"")</f>
        <v>155</v>
      </c>
      <c r="AS312" s="29">
        <f ca="1">IF(SUM(X312:AC312)&lt;&gt;0,SUM(X312:AC312),"")</f>
        <v>158</v>
      </c>
      <c r="AT312" s="32">
        <f ca="1">IF(SUM(AD312:AI312)&lt;&gt;0,SUM(AD312:AI312),"")</f>
        <v>155</v>
      </c>
      <c r="AU312" s="296">
        <f ca="1">SUM(AJ312:AO312)</f>
        <v>158</v>
      </c>
      <c r="AV312" s="32">
        <f t="shared" ref="AV312:BE312" ca="1" si="1189">IF(AV$11-(SUM(AV316:AV319)/24)=0,"",AV$11-(SUM(AV316:AV319)/24))</f>
        <v>156</v>
      </c>
      <c r="AW312" s="29">
        <f t="shared" ca="1" si="1189"/>
        <v>157</v>
      </c>
      <c r="AX312" s="32">
        <f t="shared" ca="1" si="1189"/>
        <v>156</v>
      </c>
      <c r="AY312" s="29">
        <f t="shared" ca="1" si="1189"/>
        <v>158</v>
      </c>
      <c r="AZ312" s="32">
        <f t="shared" ca="1" si="1189"/>
        <v>155</v>
      </c>
      <c r="BA312" s="29">
        <f t="shared" ca="1" si="1189"/>
        <v>158</v>
      </c>
      <c r="BB312" s="32">
        <f t="shared" ca="1" si="1189"/>
        <v>155</v>
      </c>
      <c r="BC312" s="29">
        <f t="shared" ca="1" si="1189"/>
        <v>158</v>
      </c>
      <c r="BD312" s="32">
        <f t="shared" ca="1" si="1189"/>
        <v>156</v>
      </c>
      <c r="BE312" s="262">
        <f t="shared" ca="1" si="1189"/>
        <v>158</v>
      </c>
      <c r="BF312" s="286">
        <f t="shared" ca="1" si="1177"/>
        <v>313</v>
      </c>
      <c r="BG312" s="286">
        <f t="shared" ca="1" si="1178"/>
        <v>313</v>
      </c>
      <c r="BH312" s="286">
        <f t="shared" ca="1" si="1179"/>
        <v>313</v>
      </c>
      <c r="BI312" s="286">
        <f t="shared" ca="1" si="1180"/>
        <v>313</v>
      </c>
      <c r="BJ312" s="286">
        <f t="shared" ca="1" si="1181"/>
        <v>314</v>
      </c>
      <c r="BK312" s="286">
        <f t="shared" ca="1" si="1182"/>
        <v>313</v>
      </c>
      <c r="BL312" s="286">
        <f t="shared" ca="1" si="1183"/>
        <v>313</v>
      </c>
      <c r="BM312" s="286">
        <f t="shared" ca="1" si="1184"/>
        <v>314</v>
      </c>
    </row>
    <row r="313" spans="1:65" s="102" customFormat="1" ht="15" customHeight="1" outlineLevel="2" thickBot="1" x14ac:dyDescent="0.25">
      <c r="A313" s="320" t="s">
        <v>226</v>
      </c>
      <c r="B313" s="347"/>
      <c r="C313" s="350"/>
      <c r="D313" s="344"/>
      <c r="E313" s="278" t="s">
        <v>29</v>
      </c>
      <c r="F313" s="47"/>
      <c r="G313" s="48"/>
      <c r="H313" s="48"/>
      <c r="I313" s="48"/>
      <c r="J313" s="48"/>
      <c r="K313" s="48"/>
      <c r="L313" s="48"/>
      <c r="M313" s="48"/>
      <c r="N313" s="48"/>
      <c r="O313" s="48"/>
      <c r="P313" s="48"/>
      <c r="Q313" s="51"/>
      <c r="R313" s="47"/>
      <c r="S313" s="48"/>
      <c r="T313" s="48"/>
      <c r="U313" s="48"/>
      <c r="V313" s="48"/>
      <c r="W313" s="48"/>
      <c r="X313" s="48"/>
      <c r="Y313" s="48"/>
      <c r="Z313" s="48"/>
      <c r="AA313" s="48"/>
      <c r="AB313" s="48"/>
      <c r="AC313" s="51"/>
      <c r="AD313" s="47"/>
      <c r="AE313" s="48"/>
      <c r="AF313" s="48"/>
      <c r="AG313" s="48"/>
      <c r="AH313" s="48"/>
      <c r="AI313" s="48"/>
      <c r="AJ313" s="48"/>
      <c r="AK313" s="48"/>
      <c r="AL313" s="48"/>
      <c r="AM313" s="48"/>
      <c r="AN313" s="48"/>
      <c r="AO313" s="51"/>
      <c r="AP313" s="294" t="str">
        <f>IFERROR(IF(SUM(F313:K313)&lt;&gt;0,SUM(F313:K313),""),"")</f>
        <v/>
      </c>
      <c r="AQ313" s="295" t="str">
        <f>IFERROR(IF(SUM(L313:Q313)&lt;&gt;0,SUM(L313:Q313),""),"")</f>
        <v/>
      </c>
      <c r="AR313" s="294" t="str">
        <f>IFERROR(IF(SUM(R313:W313)&lt;&gt;0,SUM(R313:W313),""),"")</f>
        <v/>
      </c>
      <c r="AS313" s="295" t="str">
        <f>IFERROR(IF(SUM(X313:AC313)&lt;&gt;0,SUM(X313:AC313),""),"")</f>
        <v/>
      </c>
      <c r="AT313" s="294" t="str">
        <f>IFERROR(IF(SUM(AD313:AI313)&lt;&gt;0,SUM(AD313:AI313),""),"")</f>
        <v/>
      </c>
      <c r="AU313" s="295" t="str">
        <f>IFERROR(IF(SUM(AJ313:AO313)&lt;&gt;0,SUM(AJ313:AO313),""),"")</f>
        <v/>
      </c>
      <c r="AV313" s="47"/>
      <c r="AW313" s="51"/>
      <c r="AX313" s="47"/>
      <c r="AY313" s="51"/>
      <c r="AZ313" s="47"/>
      <c r="BA313" s="51"/>
      <c r="BB313" s="47"/>
      <c r="BC313" s="51"/>
      <c r="BD313" s="47"/>
      <c r="BE313" s="263"/>
      <c r="BF313" s="271" t="str">
        <f>IFERROR(IF(AVERAGE(AP313:AQ313)&lt;&gt;0,AVERAGE(AP313:AQ313),""),"")</f>
        <v/>
      </c>
      <c r="BG313" s="271" t="str">
        <f>IFERROR(IF(AVERAGE(AR313:AS313)&lt;&gt;0,AVERAGE(AR313:AS313),""),"")</f>
        <v/>
      </c>
      <c r="BH313" s="271" t="str">
        <f>IFERROR(IF(AVERAGE(AT313:AU313)&lt;&gt;0,AVERAGE(AT313:AU313),""),"")</f>
        <v/>
      </c>
      <c r="BI313" s="271" t="str">
        <f>IFERROR(IF(AVERAGE(AV313:AW313)&lt;&gt;0,AVERAGE(AV313:AW313),""),"")</f>
        <v/>
      </c>
      <c r="BJ313" s="271" t="str">
        <f>IFERROR(IF(AVERAGE(AX313:AY313)&lt;&gt;0,AVERAGE(AX313:AY313),""),"")</f>
        <v/>
      </c>
      <c r="BK313" s="271" t="str">
        <f>IFERROR(IF(AVERAGE(AZ313:BA313)&lt;&gt;0,AVERAGE(AZ313:BA313),""),"")</f>
        <v/>
      </c>
      <c r="BL313" s="271" t="str">
        <f>IFERROR(IF(AVERAGE(BB313:BC313)&lt;&gt;0,AVERAGE(BB313:BC313),""),"")</f>
        <v/>
      </c>
      <c r="BM313" s="271" t="str">
        <f>IFERROR(IF(AVERAGE(BD313:BE313)&lt;&gt;0,AVERAGE(BD313:BE313),""),"")</f>
        <v/>
      </c>
    </row>
    <row r="314" spans="1:65" s="102" customFormat="1" ht="14.25" customHeight="1" outlineLevel="2" x14ac:dyDescent="0.2">
      <c r="A314" s="320" t="s">
        <v>226</v>
      </c>
      <c r="B314" s="347"/>
      <c r="C314" s="350"/>
      <c r="D314" s="344"/>
      <c r="E314" s="279" t="s">
        <v>28</v>
      </c>
      <c r="F314" s="52"/>
      <c r="G314" s="53"/>
      <c r="H314" s="53"/>
      <c r="I314" s="53"/>
      <c r="J314" s="53"/>
      <c r="K314" s="53"/>
      <c r="L314" s="53"/>
      <c r="M314" s="53"/>
      <c r="N314" s="53"/>
      <c r="O314" s="53"/>
      <c r="P314" s="53"/>
      <c r="Q314" s="54"/>
      <c r="R314" s="52"/>
      <c r="S314" s="53"/>
      <c r="T314" s="53"/>
      <c r="U314" s="53"/>
      <c r="V314" s="53"/>
      <c r="W314" s="53"/>
      <c r="X314" s="53"/>
      <c r="Y314" s="53"/>
      <c r="Z314" s="53"/>
      <c r="AA314" s="53"/>
      <c r="AB314" s="53"/>
      <c r="AC314" s="54"/>
      <c r="AD314" s="52"/>
      <c r="AE314" s="53"/>
      <c r="AF314" s="53"/>
      <c r="AG314" s="53"/>
      <c r="AH314" s="53"/>
      <c r="AI314" s="53"/>
      <c r="AJ314" s="53"/>
      <c r="AK314" s="53"/>
      <c r="AL314" s="53"/>
      <c r="AM314" s="53"/>
      <c r="AN314" s="53"/>
      <c r="AO314" s="54"/>
      <c r="AP314" s="225" t="str">
        <f>IFERROR(IF(AVERAGE(F314:K314)&lt;&gt;0,AVERAGE(F314:K314),""),"")</f>
        <v/>
      </c>
      <c r="AQ314" s="226" t="str">
        <f>IFERROR(IF(AVERAGE(L314:Q314)&lt;&gt;0,AVERAGE(L314:Q314),""),"")</f>
        <v/>
      </c>
      <c r="AR314" s="225" t="str">
        <f>IFERROR(IF(AVERAGE(R314:W314)&lt;&gt;0,AVERAGE(R314:W314),""),"")</f>
        <v/>
      </c>
      <c r="AS314" s="226" t="str">
        <f>IFERROR(IF(AVERAGE(X314:AC314)&lt;&gt;0,AVERAGE(X314:AC314),""),"")</f>
        <v/>
      </c>
      <c r="AT314" s="225" t="str">
        <f>IFERROR(IF(AVERAGE(AD314:AI314)&lt;&gt;0,AVERAGE(AD314:AI314),""),"")</f>
        <v/>
      </c>
      <c r="AU314" s="226" t="str">
        <f>IFERROR(IF(AVERAGE(AJ314:AO314)&lt;&gt;0,AVERAGE(AJ314:AO314),""),"")</f>
        <v/>
      </c>
      <c r="AV314" s="70"/>
      <c r="AW314" s="53"/>
      <c r="AX314" s="70"/>
      <c r="AY314" s="53"/>
      <c r="AZ314" s="70"/>
      <c r="BA314" s="53"/>
      <c r="BB314" s="70"/>
      <c r="BC314" s="53"/>
      <c r="BD314" s="70"/>
      <c r="BE314" s="264"/>
      <c r="BF314" s="272" t="str">
        <f>IFERROR(IF(AVERAGE(AP314:AQ314)&lt;&gt;0,AVERAGE(AP314:AQ314),""),"")</f>
        <v/>
      </c>
      <c r="BG314" s="272" t="str">
        <f>IFERROR(IF(AVERAGE(AR314:AS314)&lt;&gt;0,AVERAGE(AR314:AS314),""),"")</f>
        <v/>
      </c>
      <c r="BH314" s="272" t="str">
        <f>IFERROR(IF(AVERAGE(AT314:AU314)&lt;&gt;0,AVERAGE(AT314:AU314),""),"")</f>
        <v/>
      </c>
      <c r="BI314" s="272" t="str">
        <f>IFERROR(IF(AVERAGE(AV314:AW314)&lt;&gt;0,AVERAGE(AV314:AW314),""),"")</f>
        <v/>
      </c>
      <c r="BJ314" s="272" t="str">
        <f>IFERROR(IF(AVERAGE(AX314:AY314)&lt;&gt;0,AVERAGE(AX314:AY314),""),"")</f>
        <v/>
      </c>
      <c r="BK314" s="272" t="str">
        <f>IFERROR(IF(AVERAGE(AZ314:BA314)&lt;&gt;0,AVERAGE(AZ314:BA314),""),"")</f>
        <v/>
      </c>
      <c r="BL314" s="272" t="str">
        <f>IFERROR(IF(AVERAGE(BB314:BC314)&lt;&gt;0,AVERAGE(BB314:BC314),""),"")</f>
        <v/>
      </c>
      <c r="BM314" s="272" t="str">
        <f>IFERROR(IF(AVERAGE(BD314:BE314)&lt;&gt;0,AVERAGE(BD314:BE314),""),"")</f>
        <v/>
      </c>
    </row>
    <row r="315" spans="1:65" s="102" customFormat="1" ht="15" customHeight="1" outlineLevel="2" thickBot="1" x14ac:dyDescent="0.25">
      <c r="A315" s="320" t="s">
        <v>226</v>
      </c>
      <c r="B315" s="347"/>
      <c r="C315" s="350"/>
      <c r="D315" s="344"/>
      <c r="E315" s="278" t="s">
        <v>30</v>
      </c>
      <c r="F315" s="55"/>
      <c r="G315" s="56"/>
      <c r="H315" s="56"/>
      <c r="I315" s="56"/>
      <c r="J315" s="56"/>
      <c r="K315" s="56"/>
      <c r="L315" s="56"/>
      <c r="M315" s="56"/>
      <c r="N315" s="56"/>
      <c r="O315" s="56"/>
      <c r="P315" s="56"/>
      <c r="Q315" s="57"/>
      <c r="R315" s="55"/>
      <c r="S315" s="56"/>
      <c r="T315" s="56"/>
      <c r="U315" s="56"/>
      <c r="V315" s="56"/>
      <c r="W315" s="56"/>
      <c r="X315" s="56"/>
      <c r="Y315" s="56"/>
      <c r="Z315" s="56"/>
      <c r="AA315" s="56"/>
      <c r="AB315" s="56"/>
      <c r="AC315" s="57"/>
      <c r="AD315" s="55"/>
      <c r="AE315" s="56"/>
      <c r="AF315" s="56"/>
      <c r="AG315" s="56"/>
      <c r="AH315" s="56"/>
      <c r="AI315" s="56"/>
      <c r="AJ315" s="56"/>
      <c r="AK315" s="56"/>
      <c r="AL315" s="56"/>
      <c r="AM315" s="56"/>
      <c r="AN315" s="56"/>
      <c r="AO315" s="57"/>
      <c r="AP315" s="227" t="str">
        <f>IFERROR(IF(AVERAGE(F315:K315)&lt;&gt;0,AVERAGE(F315:K315),""),"")</f>
        <v/>
      </c>
      <c r="AQ315" s="228" t="str">
        <f>IFERROR(IF(AVERAGE(L315:Q315)&lt;&gt;0,AVERAGE(L315:Q315),""),"")</f>
        <v/>
      </c>
      <c r="AR315" s="227" t="str">
        <f>IFERROR(IF(AVERAGE(R315:W315)&lt;&gt;0,AVERAGE(R315:W315),""),"")</f>
        <v/>
      </c>
      <c r="AS315" s="228" t="str">
        <f>IFERROR(IF(AVERAGE(X315:AC315)&lt;&gt;0,AVERAGE(X315:AC315),""),"")</f>
        <v/>
      </c>
      <c r="AT315" s="227" t="str">
        <f>IFERROR(IF(AVERAGE(AD315:AI315)&lt;&gt;0,AVERAGE(AD315:AI315),""),"")</f>
        <v/>
      </c>
      <c r="AU315" s="228" t="str">
        <f>IFERROR(IF(AVERAGE(AJ315:AO315)&lt;&gt;0,AVERAGE(AJ315:AO315),""),"")</f>
        <v/>
      </c>
      <c r="AV315" s="71"/>
      <c r="AW315" s="56"/>
      <c r="AX315" s="71"/>
      <c r="AY315" s="56"/>
      <c r="AZ315" s="71"/>
      <c r="BA315" s="56"/>
      <c r="BB315" s="71"/>
      <c r="BC315" s="56"/>
      <c r="BD315" s="71"/>
      <c r="BE315" s="265"/>
      <c r="BF315" s="273" t="str">
        <f>IFERROR(IF(AVERAGE(AP315:AQ315)&lt;&gt;0,AVERAGE(AP315:AQ315),""),"")</f>
        <v/>
      </c>
      <c r="BG315" s="273" t="str">
        <f>IFERROR(IF(AVERAGE(AR315:AS315)&lt;&gt;0,AVERAGE(AR315:AS315),""),"")</f>
        <v/>
      </c>
      <c r="BH315" s="273" t="str">
        <f>IFERROR(IF(AVERAGE(AT315:AU315)&lt;&gt;0,AVERAGE(AT315:AU315),""),"")</f>
        <v/>
      </c>
      <c r="BI315" s="273" t="str">
        <f>IFERROR(IF(AVERAGE(AV315:AW315)&lt;&gt;0,AVERAGE(AV315:AW315),""),"")</f>
        <v/>
      </c>
      <c r="BJ315" s="273" t="str">
        <f>IFERROR(IF(AVERAGE(AX315:AY315)&lt;&gt;0,AVERAGE(AX315:AY315),""),"")</f>
        <v/>
      </c>
      <c r="BK315" s="273" t="str">
        <f>IFERROR(IF(AVERAGE(AZ315:BA315)&lt;&gt;0,AVERAGE(AZ315:BA315),""),"")</f>
        <v/>
      </c>
      <c r="BL315" s="273" t="str">
        <f>IFERROR(IF(AVERAGE(BB315:BC315)&lt;&gt;0,AVERAGE(BB315:BC315),""),"")</f>
        <v/>
      </c>
      <c r="BM315" s="273" t="str">
        <f>IFERROR(IF(AVERAGE(BD315:BE315)&lt;&gt;0,AVERAGE(BD315:BE315),""),"")</f>
        <v/>
      </c>
    </row>
    <row r="316" spans="1:65" s="102" customFormat="1" ht="14.25" customHeight="1" outlineLevel="2" x14ac:dyDescent="0.2">
      <c r="A316" s="320" t="s">
        <v>226</v>
      </c>
      <c r="B316" s="347"/>
      <c r="C316" s="350"/>
      <c r="D316" s="344"/>
      <c r="E316" s="279" t="s">
        <v>25</v>
      </c>
      <c r="F316" s="58"/>
      <c r="G316" s="50"/>
      <c r="H316" s="50"/>
      <c r="I316" s="50"/>
      <c r="J316" s="50"/>
      <c r="K316" s="50"/>
      <c r="L316" s="50"/>
      <c r="M316" s="50"/>
      <c r="N316" s="50"/>
      <c r="O316" s="50"/>
      <c r="P316" s="50"/>
      <c r="Q316" s="59"/>
      <c r="R316" s="58"/>
      <c r="S316" s="50"/>
      <c r="T316" s="50"/>
      <c r="U316" s="50"/>
      <c r="V316" s="50"/>
      <c r="W316" s="50"/>
      <c r="X316" s="50"/>
      <c r="Y316" s="50"/>
      <c r="Z316" s="50"/>
      <c r="AA316" s="50"/>
      <c r="AB316" s="50"/>
      <c r="AC316" s="59"/>
      <c r="AD316" s="58"/>
      <c r="AE316" s="50"/>
      <c r="AF316" s="50"/>
      <c r="AG316" s="50"/>
      <c r="AH316" s="50"/>
      <c r="AI316" s="50"/>
      <c r="AJ316" s="50"/>
      <c r="AK316" s="50"/>
      <c r="AL316" s="50"/>
      <c r="AM316" s="50"/>
      <c r="AN316" s="50"/>
      <c r="AO316" s="59"/>
      <c r="AP316" s="229" t="str">
        <f>IFERROR(IF(SUM(F316:K316)&lt;&gt;0,SUM(F316:K316),""),"")</f>
        <v/>
      </c>
      <c r="AQ316" s="230" t="str">
        <f>IFERROR(IF(SUM(L316:Q316)&lt;&gt;0,SUM(L316:Q316),""),"")</f>
        <v/>
      </c>
      <c r="AR316" s="229" t="str">
        <f>IFERROR(IF(SUM(R316:W316)&lt;&gt;0,SUM(R316:W316),""),"")</f>
        <v/>
      </c>
      <c r="AS316" s="230" t="str">
        <f>IFERROR(IF(SUM(X316:AC316)&lt;&gt;0,SUM(X316:AC316),""),"")</f>
        <v/>
      </c>
      <c r="AT316" s="229" t="str">
        <f>IFERROR(IF(SUM(AD316:AI316)&lt;&gt;0,SUM(AD316:AI316),""),"")</f>
        <v/>
      </c>
      <c r="AU316" s="230" t="str">
        <f>IFERROR(IF(SUM(AJ316:AO316)&lt;&gt;0,SUM(AJ316:AO316),""),"")</f>
        <v/>
      </c>
      <c r="AV316" s="72"/>
      <c r="AW316" s="73"/>
      <c r="AX316" s="72"/>
      <c r="AY316" s="73"/>
      <c r="AZ316" s="72"/>
      <c r="BA316" s="73"/>
      <c r="BB316" s="72"/>
      <c r="BC316" s="73"/>
      <c r="BD316" s="72"/>
      <c r="BE316" s="266"/>
      <c r="BF316" s="286" t="e">
        <f t="shared" ref="BF316:BF319" si="1190">IF(SUM(AP316,AQ316)&lt;&gt;0,SUM(AP316,AQ316),#N/A)</f>
        <v>#N/A</v>
      </c>
      <c r="BG316" s="286" t="e">
        <f t="shared" ref="BG316:BG319" si="1191">IF(SUM(AR316,AS316)&lt;&gt;0,SUM(AR316,AS316),#N/A)</f>
        <v>#N/A</v>
      </c>
      <c r="BH316" s="286" t="e">
        <f t="shared" ref="BH316:BH319" si="1192">IF(SUM(AT316,AU316)&lt;&gt;0,SUM(AT316,AU316),#N/A)</f>
        <v>#N/A</v>
      </c>
      <c r="BI316" s="286" t="e">
        <f t="shared" ref="BI316:BI319" si="1193">IF(SUM(AV316,AW316)&lt;&gt;0,SUM(AV316,AW316),#N/A)</f>
        <v>#N/A</v>
      </c>
      <c r="BJ316" s="286" t="e">
        <f t="shared" ref="BJ316:BJ319" si="1194">IF(SUM(AX316,AY316)&lt;&gt;0,SUM(AX316,AY316),#N/A)</f>
        <v>#N/A</v>
      </c>
      <c r="BK316" s="286" t="e">
        <f t="shared" ref="BK316:BK319" si="1195">IF(SUM(AZ316,BA316)&lt;&gt;0,SUM(AZ316,BA316),#N/A)</f>
        <v>#N/A</v>
      </c>
      <c r="BL316" s="286" t="e">
        <f t="shared" ref="BL316:BL319" si="1196">IF(SUM(BB316,BC316)&lt;&gt;0,SUM(BB316,BC316),#N/A)</f>
        <v>#N/A</v>
      </c>
      <c r="BM316" s="286" t="e">
        <f t="shared" ref="BM316:BM319" si="1197">IF(SUM(BD316,BE316)&lt;&gt;0,SUM(BD316,BE316),#N/A)</f>
        <v>#N/A</v>
      </c>
    </row>
    <row r="317" spans="1:65" s="102" customFormat="1" ht="14.25" customHeight="1" outlineLevel="2" x14ac:dyDescent="0.2">
      <c r="A317" s="320" t="s">
        <v>226</v>
      </c>
      <c r="B317" s="347"/>
      <c r="C317" s="350"/>
      <c r="D317" s="344"/>
      <c r="E317" s="280" t="s">
        <v>26</v>
      </c>
      <c r="F317" s="60"/>
      <c r="G317" s="61"/>
      <c r="H317" s="61"/>
      <c r="I317" s="61"/>
      <c r="J317" s="61"/>
      <c r="K317" s="61"/>
      <c r="L317" s="61"/>
      <c r="M317" s="61"/>
      <c r="N317" s="61"/>
      <c r="O317" s="61"/>
      <c r="P317" s="61"/>
      <c r="Q317" s="62"/>
      <c r="R317" s="60"/>
      <c r="S317" s="61"/>
      <c r="T317" s="61"/>
      <c r="U317" s="61"/>
      <c r="V317" s="61"/>
      <c r="W317" s="61"/>
      <c r="X317" s="61"/>
      <c r="Y317" s="61"/>
      <c r="Z317" s="61"/>
      <c r="AA317" s="61"/>
      <c r="AB317" s="61"/>
      <c r="AC317" s="62"/>
      <c r="AD317" s="60"/>
      <c r="AE317" s="61"/>
      <c r="AF317" s="61"/>
      <c r="AG317" s="61"/>
      <c r="AH317" s="61"/>
      <c r="AI317" s="61"/>
      <c r="AJ317" s="61"/>
      <c r="AK317" s="61"/>
      <c r="AL317" s="61"/>
      <c r="AM317" s="61"/>
      <c r="AN317" s="61"/>
      <c r="AO317" s="62"/>
      <c r="AP317" s="231" t="str">
        <f>IFERROR(IF(SUM(F317:K317)&lt;&gt;0,SUM(F317:K317),""),"")</f>
        <v/>
      </c>
      <c r="AQ317" s="232" t="str">
        <f>IFERROR(IF(SUM(L317:Q317)&lt;&gt;0,SUM(L317:Q317),""),"")</f>
        <v/>
      </c>
      <c r="AR317" s="231" t="str">
        <f>IFERROR(IF(SUM(R317:W317)&lt;&gt;0,SUM(R317:W317),""),"")</f>
        <v/>
      </c>
      <c r="AS317" s="232" t="str">
        <f>IFERROR(IF(SUM(X317:AC317)&lt;&gt;0,SUM(X317:AC317),""),"")</f>
        <v/>
      </c>
      <c r="AT317" s="231" t="str">
        <f>IFERROR(IF(SUM(AD317:AI317)&lt;&gt;0,SUM(AD317:AI317),""),"")</f>
        <v/>
      </c>
      <c r="AU317" s="232" t="str">
        <f>IFERROR(IF(SUM(AJ317:AO317)&lt;&gt;0,SUM(AJ317:AO317),""),"")</f>
        <v/>
      </c>
      <c r="AV317" s="74"/>
      <c r="AW317" s="61"/>
      <c r="AX317" s="74"/>
      <c r="AY317" s="61"/>
      <c r="AZ317" s="74"/>
      <c r="BA317" s="61"/>
      <c r="BB317" s="74"/>
      <c r="BC317" s="61"/>
      <c r="BD317" s="74"/>
      <c r="BE317" s="267"/>
      <c r="BF317" s="287" t="e">
        <f t="shared" si="1190"/>
        <v>#N/A</v>
      </c>
      <c r="BG317" s="287" t="e">
        <f t="shared" si="1191"/>
        <v>#N/A</v>
      </c>
      <c r="BH317" s="287" t="e">
        <f t="shared" si="1192"/>
        <v>#N/A</v>
      </c>
      <c r="BI317" s="287" t="e">
        <f t="shared" si="1193"/>
        <v>#N/A</v>
      </c>
      <c r="BJ317" s="287" t="e">
        <f t="shared" si="1194"/>
        <v>#N/A</v>
      </c>
      <c r="BK317" s="287" t="e">
        <f t="shared" si="1195"/>
        <v>#N/A</v>
      </c>
      <c r="BL317" s="287" t="e">
        <f t="shared" si="1196"/>
        <v>#N/A</v>
      </c>
      <c r="BM317" s="287" t="e">
        <f t="shared" si="1197"/>
        <v>#N/A</v>
      </c>
    </row>
    <row r="318" spans="1:65" s="102" customFormat="1" ht="14.25" customHeight="1" outlineLevel="2" x14ac:dyDescent="0.2">
      <c r="A318" s="320" t="s">
        <v>226</v>
      </c>
      <c r="B318" s="347"/>
      <c r="C318" s="350"/>
      <c r="D318" s="344"/>
      <c r="E318" s="280" t="s">
        <v>27</v>
      </c>
      <c r="F318" s="60"/>
      <c r="G318" s="61"/>
      <c r="H318" s="61"/>
      <c r="I318" s="61"/>
      <c r="J318" s="61"/>
      <c r="K318" s="61"/>
      <c r="L318" s="61"/>
      <c r="M318" s="61"/>
      <c r="N318" s="61"/>
      <c r="O318" s="61"/>
      <c r="P318" s="61"/>
      <c r="Q318" s="62"/>
      <c r="R318" s="60"/>
      <c r="S318" s="61"/>
      <c r="T318" s="61"/>
      <c r="U318" s="61"/>
      <c r="V318" s="61"/>
      <c r="W318" s="61"/>
      <c r="X318" s="61"/>
      <c r="Y318" s="61"/>
      <c r="Z318" s="61"/>
      <c r="AA318" s="61"/>
      <c r="AB318" s="61"/>
      <c r="AC318" s="62"/>
      <c r="AD318" s="60"/>
      <c r="AE318" s="61"/>
      <c r="AF318" s="61"/>
      <c r="AG318" s="61"/>
      <c r="AH318" s="61"/>
      <c r="AI318" s="61"/>
      <c r="AJ318" s="61"/>
      <c r="AK318" s="61"/>
      <c r="AL318" s="61"/>
      <c r="AM318" s="61"/>
      <c r="AN318" s="61"/>
      <c r="AO318" s="62"/>
      <c r="AP318" s="231" t="str">
        <f>IFERROR(IF(SUM(F318:K318)&lt;&gt;0,SUM(F318:K318),""),"")</f>
        <v/>
      </c>
      <c r="AQ318" s="232" t="str">
        <f>IFERROR(IF(SUM(L318:Q318)&lt;&gt;0,SUM(L318:Q318),""),"")</f>
        <v/>
      </c>
      <c r="AR318" s="231" t="str">
        <f>IFERROR(IF(SUM(R318:W318)&lt;&gt;0,SUM(R318:W318),""),"")</f>
        <v/>
      </c>
      <c r="AS318" s="232" t="str">
        <f>IFERROR(IF(SUM(X318:AC318)&lt;&gt;0,SUM(X318:AC318),""),"")</f>
        <v/>
      </c>
      <c r="AT318" s="231" t="str">
        <f>IFERROR(IF(SUM(AD318:AI318)&lt;&gt;0,SUM(AD318:AI318),""),"")</f>
        <v/>
      </c>
      <c r="AU318" s="232" t="str">
        <f>IFERROR(IF(SUM(AJ318:AO318)&lt;&gt;0,SUM(AJ318:AO318),""),"")</f>
        <v/>
      </c>
      <c r="AV318" s="74"/>
      <c r="AW318" s="61"/>
      <c r="AX318" s="74"/>
      <c r="AY318" s="61"/>
      <c r="AZ318" s="74"/>
      <c r="BA318" s="61"/>
      <c r="BB318" s="74"/>
      <c r="BC318" s="61"/>
      <c r="BD318" s="74"/>
      <c r="BE318" s="267"/>
      <c r="BF318" s="287" t="e">
        <f t="shared" si="1190"/>
        <v>#N/A</v>
      </c>
      <c r="BG318" s="287" t="e">
        <f t="shared" si="1191"/>
        <v>#N/A</v>
      </c>
      <c r="BH318" s="287" t="e">
        <f t="shared" si="1192"/>
        <v>#N/A</v>
      </c>
      <c r="BI318" s="287" t="e">
        <f t="shared" si="1193"/>
        <v>#N/A</v>
      </c>
      <c r="BJ318" s="287" t="e">
        <f t="shared" si="1194"/>
        <v>#N/A</v>
      </c>
      <c r="BK318" s="287" t="e">
        <f t="shared" si="1195"/>
        <v>#N/A</v>
      </c>
      <c r="BL318" s="287" t="e">
        <f t="shared" si="1196"/>
        <v>#N/A</v>
      </c>
      <c r="BM318" s="287" t="e">
        <f t="shared" si="1197"/>
        <v>#N/A</v>
      </c>
    </row>
    <row r="319" spans="1:65" s="102" customFormat="1" ht="15" customHeight="1" outlineLevel="2" thickBot="1" x14ac:dyDescent="0.25">
      <c r="A319" s="320" t="s">
        <v>226</v>
      </c>
      <c r="B319" s="347"/>
      <c r="C319" s="350"/>
      <c r="D319" s="344"/>
      <c r="E319" s="281" t="s">
        <v>88</v>
      </c>
      <c r="F319" s="63"/>
      <c r="G319" s="48"/>
      <c r="H319" s="48"/>
      <c r="I319" s="48"/>
      <c r="J319" s="48"/>
      <c r="K319" s="48"/>
      <c r="L319" s="48"/>
      <c r="M319" s="48"/>
      <c r="N319" s="48"/>
      <c r="O319" s="48"/>
      <c r="P319" s="48"/>
      <c r="Q319" s="51"/>
      <c r="R319" s="63"/>
      <c r="S319" s="48"/>
      <c r="T319" s="48"/>
      <c r="U319" s="48"/>
      <c r="V319" s="48"/>
      <c r="W319" s="48"/>
      <c r="X319" s="48"/>
      <c r="Y319" s="48"/>
      <c r="Z319" s="48"/>
      <c r="AA319" s="48"/>
      <c r="AB319" s="48"/>
      <c r="AC319" s="51"/>
      <c r="AD319" s="63"/>
      <c r="AE319" s="48"/>
      <c r="AF319" s="48"/>
      <c r="AG319" s="48"/>
      <c r="AH319" s="48"/>
      <c r="AI319" s="48"/>
      <c r="AJ319" s="48"/>
      <c r="AK319" s="48"/>
      <c r="AL319" s="48"/>
      <c r="AM319" s="48"/>
      <c r="AN319" s="48"/>
      <c r="AO319" s="51"/>
      <c r="AP319" s="233" t="str">
        <f>IFERROR(IF(SUM(F319:K319)&lt;&gt;0,SUM(F319:K319),""),"")</f>
        <v/>
      </c>
      <c r="AQ319" s="234" t="str">
        <f>IFERROR(IF(SUM(L319:Q319)&lt;&gt;0,SUM(L319:Q319),""),"")</f>
        <v/>
      </c>
      <c r="AR319" s="233" t="str">
        <f>IFERROR(IF(SUM(R319:W319)&lt;&gt;0,SUM(R319:W319),""),"")</f>
        <v/>
      </c>
      <c r="AS319" s="234" t="str">
        <f>IFERROR(IF(SUM(X319:AC319)&lt;&gt;0,SUM(X319:AC319),""),"")</f>
        <v/>
      </c>
      <c r="AT319" s="233" t="str">
        <f>IFERROR(IF(SUM(AD319:AI319)&lt;&gt;0,SUM(AD319:AI319),""),"")</f>
        <v/>
      </c>
      <c r="AU319" s="234" t="str">
        <f>IFERROR(IF(SUM(AJ319:AO319)&lt;&gt;0,SUM(AJ319:AO319),""),"")</f>
        <v/>
      </c>
      <c r="AV319" s="75"/>
      <c r="AW319" s="76"/>
      <c r="AX319" s="75"/>
      <c r="AY319" s="76"/>
      <c r="AZ319" s="75"/>
      <c r="BA319" s="76"/>
      <c r="BB319" s="75"/>
      <c r="BC319" s="76"/>
      <c r="BD319" s="75"/>
      <c r="BE319" s="268"/>
      <c r="BF319" s="271" t="e">
        <f t="shared" si="1190"/>
        <v>#N/A</v>
      </c>
      <c r="BG319" s="271" t="e">
        <f t="shared" si="1191"/>
        <v>#N/A</v>
      </c>
      <c r="BH319" s="271" t="e">
        <f t="shared" si="1192"/>
        <v>#N/A</v>
      </c>
      <c r="BI319" s="271" t="e">
        <f t="shared" si="1193"/>
        <v>#N/A</v>
      </c>
      <c r="BJ319" s="271" t="e">
        <f t="shared" si="1194"/>
        <v>#N/A</v>
      </c>
      <c r="BK319" s="271" t="e">
        <f t="shared" si="1195"/>
        <v>#N/A</v>
      </c>
      <c r="BL319" s="271" t="e">
        <f t="shared" si="1196"/>
        <v>#N/A</v>
      </c>
      <c r="BM319" s="271" t="e">
        <f t="shared" si="1197"/>
        <v>#N/A</v>
      </c>
    </row>
    <row r="320" spans="1:65" s="102" customFormat="1" ht="14.25" customHeight="1" outlineLevel="2" x14ac:dyDescent="0.2">
      <c r="A320" s="320" t="s">
        <v>226</v>
      </c>
      <c r="B320" s="347"/>
      <c r="C320" s="350"/>
      <c r="D320" s="344"/>
      <c r="E320" s="279" t="s">
        <v>32</v>
      </c>
      <c r="F320" s="64"/>
      <c r="G320" s="65"/>
      <c r="H320" s="65"/>
      <c r="I320" s="65"/>
      <c r="J320" s="65"/>
      <c r="K320" s="65"/>
      <c r="L320" s="65"/>
      <c r="M320" s="65"/>
      <c r="N320" s="65"/>
      <c r="O320" s="65"/>
      <c r="P320" s="65"/>
      <c r="Q320" s="66"/>
      <c r="R320" s="64"/>
      <c r="S320" s="65"/>
      <c r="T320" s="65"/>
      <c r="U320" s="65"/>
      <c r="V320" s="65"/>
      <c r="W320" s="65"/>
      <c r="X320" s="65"/>
      <c r="Y320" s="65"/>
      <c r="Z320" s="65"/>
      <c r="AA320" s="65"/>
      <c r="AB320" s="65"/>
      <c r="AC320" s="66"/>
      <c r="AD320" s="64"/>
      <c r="AE320" s="65"/>
      <c r="AF320" s="65"/>
      <c r="AG320" s="65"/>
      <c r="AH320" s="65"/>
      <c r="AI320" s="65"/>
      <c r="AJ320" s="65"/>
      <c r="AK320" s="65"/>
      <c r="AL320" s="65"/>
      <c r="AM320" s="65"/>
      <c r="AN320" s="65"/>
      <c r="AO320" s="66"/>
      <c r="AP320" s="32" t="str">
        <f>IFERROR(IF(AVERAGE(F320:K320)&lt;&gt;0,AVERAGE(F320:K320),""),"")</f>
        <v/>
      </c>
      <c r="AQ320" s="235" t="str">
        <f>IFERROR(IF(AVERAGE(L320:Q320)&lt;&gt;0,AVERAGE(L320:Q320),""),"")</f>
        <v/>
      </c>
      <c r="AR320" s="32" t="str">
        <f>IFERROR(IF(AVERAGE(R320:W320)&lt;&gt;0,AVERAGE(R320:W320),""),"")</f>
        <v/>
      </c>
      <c r="AS320" s="235" t="str">
        <f>IFERROR(IF(AVERAGE(X320:AC320)&lt;&gt;0,AVERAGE(X320:AC320),""),"")</f>
        <v/>
      </c>
      <c r="AT320" s="32" t="str">
        <f>IFERROR(IF(AVERAGE(AD320:AI320)&lt;&gt;0,AVERAGE(AD320:AI320),""),"")</f>
        <v/>
      </c>
      <c r="AU320" s="235" t="str">
        <f>IFERROR(IF(AVERAGE(AJ320:AO320)&lt;&gt;0,AVERAGE(AJ320:AO320),""),"")</f>
        <v/>
      </c>
      <c r="AV320" s="77"/>
      <c r="AW320" s="65"/>
      <c r="AX320" s="77"/>
      <c r="AY320" s="65"/>
      <c r="AZ320" s="77"/>
      <c r="BA320" s="65"/>
      <c r="BB320" s="77"/>
      <c r="BC320" s="65"/>
      <c r="BD320" s="77"/>
      <c r="BE320" s="269"/>
      <c r="BF320" s="272" t="str">
        <f>IFERROR(IF(AVERAGE(AP320:AQ320)&lt;&gt;0,AVERAGE(AP320:AQ320),""),"")</f>
        <v/>
      </c>
      <c r="BG320" s="272" t="str">
        <f>IFERROR(IF(AVERAGE(AR320:AS320)&lt;&gt;0,AVERAGE(AR320:AS320),""),"")</f>
        <v/>
      </c>
      <c r="BH320" s="272" t="str">
        <f>IFERROR(IF(AVERAGE(AT320:AU320)&lt;&gt;0,AVERAGE(AT320:AU320),""),"")</f>
        <v/>
      </c>
      <c r="BI320" s="272" t="str">
        <f>IFERROR(IF(AVERAGE(AV320:AW320)&lt;&gt;0,AVERAGE(AV320:AW320),""),"")</f>
        <v/>
      </c>
      <c r="BJ320" s="272" t="str">
        <f>IFERROR(IF(AVERAGE(AX320:AY320)&lt;&gt;0,AVERAGE(AX320:AY320),""),"")</f>
        <v/>
      </c>
      <c r="BK320" s="272" t="str">
        <f>IFERROR(IF(AVERAGE(AZ320:BA320)&lt;&gt;0,AVERAGE(AZ320:BA320),""),"")</f>
        <v/>
      </c>
      <c r="BL320" s="272" t="str">
        <f>IFERROR(IF(AVERAGE(BB320:BC320)&lt;&gt;0,AVERAGE(BB320:BC320),""),"")</f>
        <v/>
      </c>
      <c r="BM320" s="272" t="str">
        <f>IFERROR(IF(AVERAGE(BD320:BE320)&lt;&gt;0,AVERAGE(BD320:BE320),""),"")</f>
        <v/>
      </c>
    </row>
    <row r="321" spans="1:65" s="102" customFormat="1" ht="15" customHeight="1" outlineLevel="2" thickBot="1" x14ac:dyDescent="0.25">
      <c r="A321" s="320" t="s">
        <v>226</v>
      </c>
      <c r="B321" s="347"/>
      <c r="C321" s="350"/>
      <c r="D321" s="344"/>
      <c r="E321" s="281" t="s">
        <v>2</v>
      </c>
      <c r="F321" s="67"/>
      <c r="G321" s="68"/>
      <c r="H321" s="68"/>
      <c r="I321" s="68"/>
      <c r="J321" s="68"/>
      <c r="K321" s="68"/>
      <c r="L321" s="68"/>
      <c r="M321" s="68"/>
      <c r="N321" s="68"/>
      <c r="O321" s="68"/>
      <c r="P321" s="68"/>
      <c r="Q321" s="69"/>
      <c r="R321" s="67"/>
      <c r="S321" s="68"/>
      <c r="T321" s="68"/>
      <c r="U321" s="68"/>
      <c r="V321" s="68"/>
      <c r="W321" s="68"/>
      <c r="X321" s="68"/>
      <c r="Y321" s="68"/>
      <c r="Z321" s="68"/>
      <c r="AA321" s="68"/>
      <c r="AB321" s="68"/>
      <c r="AC321" s="69"/>
      <c r="AD321" s="67"/>
      <c r="AE321" s="68"/>
      <c r="AF321" s="68"/>
      <c r="AG321" s="68"/>
      <c r="AH321" s="68"/>
      <c r="AI321" s="68"/>
      <c r="AJ321" s="68"/>
      <c r="AK321" s="68"/>
      <c r="AL321" s="68"/>
      <c r="AM321" s="68"/>
      <c r="AN321" s="68"/>
      <c r="AO321" s="69"/>
      <c r="AP321" s="236" t="str">
        <f>IFERROR(IF(AVERAGE(F321:K321)&lt;&gt;0,AVERAGE(F321:K321),""),"")</f>
        <v/>
      </c>
      <c r="AQ321" s="237" t="str">
        <f>IFERROR(IF(AVERAGE(L321:Q321)&lt;&gt;0,AVERAGE(L321:Q321),""),"")</f>
        <v/>
      </c>
      <c r="AR321" s="236" t="str">
        <f>IFERROR(IF(AVERAGE(R321:W321)&lt;&gt;0,AVERAGE(R321:W321),""),"")</f>
        <v/>
      </c>
      <c r="AS321" s="237" t="str">
        <f>IFERROR(IF(AVERAGE(X321:AC321)&lt;&gt;0,AVERAGE(X321:AC321),""),"")</f>
        <v/>
      </c>
      <c r="AT321" s="236" t="str">
        <f>IFERROR(IF(AVERAGE(AD321:AI321)&lt;&gt;0,AVERAGE(AD321:AI321),""),"")</f>
        <v/>
      </c>
      <c r="AU321" s="237" t="str">
        <f>IFERROR(IF(AVERAGE(AJ321:AO321)&lt;&gt;0,AVERAGE(AJ321:AO321),""),"")</f>
        <v/>
      </c>
      <c r="AV321" s="78"/>
      <c r="AW321" s="68"/>
      <c r="AX321" s="78"/>
      <c r="AY321" s="68"/>
      <c r="AZ321" s="78"/>
      <c r="BA321" s="68"/>
      <c r="BB321" s="78"/>
      <c r="BC321" s="68"/>
      <c r="BD321" s="78"/>
      <c r="BE321" s="270"/>
      <c r="BF321" s="288" t="str">
        <f>IFERROR(IF(AVERAGE(AP321:AQ321)&lt;&gt;0,AVERAGE(AP321:AQ321),""),"")</f>
        <v/>
      </c>
      <c r="BG321" s="288" t="str">
        <f>IFERROR(IF(AVERAGE(AR321:AS321)&lt;&gt;0,AVERAGE(AR321:AS321),""),"")</f>
        <v/>
      </c>
      <c r="BH321" s="288" t="str">
        <f>IFERROR(IF(AVERAGE(AT321:AU321)&lt;&gt;0,AVERAGE(AT321:AU321),""),"")</f>
        <v/>
      </c>
      <c r="BI321" s="288" t="str">
        <f>IFERROR(IF(AVERAGE(AV321:AW321)&lt;&gt;0,AVERAGE(AV321:AW321),""),"")</f>
        <v/>
      </c>
      <c r="BJ321" s="288" t="str">
        <f>IFERROR(IF(AVERAGE(AX321:AY321)&lt;&gt;0,AVERAGE(AX321:AY321),""),"")</f>
        <v/>
      </c>
      <c r="BK321" s="288" t="str">
        <f>IFERROR(IF(AVERAGE(AZ321:BA321)&lt;&gt;0,AVERAGE(AZ321:BA321),""),"")</f>
        <v/>
      </c>
      <c r="BL321" s="288" t="str">
        <f>IFERROR(IF(AVERAGE(BB321:BC321)&lt;&gt;0,AVERAGE(BB321:BC321),""),"")</f>
        <v/>
      </c>
      <c r="BM321" s="288" t="str">
        <f>IFERROR(IF(AVERAGE(BD321:BE321)&lt;&gt;0,AVERAGE(BD321:BE321),""),"")</f>
        <v/>
      </c>
    </row>
    <row r="322" spans="1:65" s="102" customFormat="1" ht="14.25" customHeight="1" outlineLevel="1" x14ac:dyDescent="0.2">
      <c r="A322" s="320" t="s">
        <v>226</v>
      </c>
      <c r="B322" s="347"/>
      <c r="C322" s="350"/>
      <c r="D322" s="344"/>
      <c r="E322" s="282" t="s">
        <v>228</v>
      </c>
      <c r="F322" s="283" t="str">
        <f ca="1">IF(IFERROR((F$11*(F314-SUM(F316:F319)/F$11)*F321*3600)/(F320),"")&gt;0,IFERROR((F$11*(F314-SUM(F316:F319)/F$11)*F321*3600)/(F320),""),"")</f>
        <v/>
      </c>
      <c r="G322" s="284" t="str">
        <f t="shared" ref="G322:AO322" ca="1" si="1198">IF(IFERROR((G$11*(G314-SUM(G316:G319)/G$11)*G321*3600)/(G320),"")&gt;0,IFERROR((G$11*(G314-SUM(G316:G319)/G$11)*G321*3600)/(G320),""),"")</f>
        <v/>
      </c>
      <c r="H322" s="284" t="str">
        <f t="shared" ca="1" si="1198"/>
        <v/>
      </c>
      <c r="I322" s="284" t="str">
        <f t="shared" ca="1" si="1198"/>
        <v/>
      </c>
      <c r="J322" s="284" t="str">
        <f t="shared" ca="1" si="1198"/>
        <v/>
      </c>
      <c r="K322" s="284" t="str">
        <f t="shared" ca="1" si="1198"/>
        <v/>
      </c>
      <c r="L322" s="284" t="str">
        <f t="shared" ca="1" si="1198"/>
        <v/>
      </c>
      <c r="M322" s="284" t="str">
        <f t="shared" ca="1" si="1198"/>
        <v/>
      </c>
      <c r="N322" s="284" t="str">
        <f t="shared" ca="1" si="1198"/>
        <v/>
      </c>
      <c r="O322" s="284" t="str">
        <f t="shared" ca="1" si="1198"/>
        <v/>
      </c>
      <c r="P322" s="284" t="str">
        <f t="shared" ca="1" si="1198"/>
        <v/>
      </c>
      <c r="Q322" s="284" t="str">
        <f t="shared" ca="1" si="1198"/>
        <v/>
      </c>
      <c r="R322" s="283" t="str">
        <f t="shared" ca="1" si="1198"/>
        <v/>
      </c>
      <c r="S322" s="284" t="str">
        <f t="shared" ca="1" si="1198"/>
        <v/>
      </c>
      <c r="T322" s="284" t="str">
        <f t="shared" ca="1" si="1198"/>
        <v/>
      </c>
      <c r="U322" s="284" t="str">
        <f t="shared" ca="1" si="1198"/>
        <v/>
      </c>
      <c r="V322" s="284" t="str">
        <f t="shared" ca="1" si="1198"/>
        <v/>
      </c>
      <c r="W322" s="284" t="str">
        <f t="shared" ca="1" si="1198"/>
        <v/>
      </c>
      <c r="X322" s="284" t="str">
        <f t="shared" ca="1" si="1198"/>
        <v/>
      </c>
      <c r="Y322" s="284" t="str">
        <f t="shared" ca="1" si="1198"/>
        <v/>
      </c>
      <c r="Z322" s="284" t="str">
        <f t="shared" ca="1" si="1198"/>
        <v/>
      </c>
      <c r="AA322" s="284" t="str">
        <f t="shared" ca="1" si="1198"/>
        <v/>
      </c>
      <c r="AB322" s="284" t="str">
        <f t="shared" ca="1" si="1198"/>
        <v/>
      </c>
      <c r="AC322" s="284" t="str">
        <f t="shared" ca="1" si="1198"/>
        <v/>
      </c>
      <c r="AD322" s="283" t="str">
        <f t="shared" ca="1" si="1198"/>
        <v/>
      </c>
      <c r="AE322" s="284" t="str">
        <f t="shared" ca="1" si="1198"/>
        <v/>
      </c>
      <c r="AF322" s="284" t="str">
        <f t="shared" ca="1" si="1198"/>
        <v/>
      </c>
      <c r="AG322" s="284" t="str">
        <f t="shared" ca="1" si="1198"/>
        <v/>
      </c>
      <c r="AH322" s="284" t="str">
        <f t="shared" ca="1" si="1198"/>
        <v/>
      </c>
      <c r="AI322" s="284" t="str">
        <f t="shared" ca="1" si="1198"/>
        <v/>
      </c>
      <c r="AJ322" s="284" t="str">
        <f t="shared" ca="1" si="1198"/>
        <v/>
      </c>
      <c r="AK322" s="284" t="str">
        <f t="shared" ca="1" si="1198"/>
        <v/>
      </c>
      <c r="AL322" s="284" t="str">
        <f t="shared" ca="1" si="1198"/>
        <v/>
      </c>
      <c r="AM322" s="284" t="str">
        <f t="shared" ca="1" si="1198"/>
        <v/>
      </c>
      <c r="AN322" s="284" t="str">
        <f t="shared" ca="1" si="1198"/>
        <v/>
      </c>
      <c r="AO322" s="284" t="str">
        <f t="shared" ca="1" si="1198"/>
        <v/>
      </c>
      <c r="AP322" s="283" t="e">
        <f t="shared" ref="AP322:AP323" ca="1" si="1199">IF(SUM(F322:K322)&lt;&gt;0,SUM(F322:K322),#N/A)</f>
        <v>#N/A</v>
      </c>
      <c r="AQ322" s="284" t="e">
        <f t="shared" ref="AQ322:AQ323" ca="1" si="1200">IF(SUM(L322:Q322)&lt;&gt;0,SUM(L322:Q322),#N/A)</f>
        <v>#N/A</v>
      </c>
      <c r="AR322" s="283" t="e">
        <f t="shared" ref="AR322:AR323" ca="1" si="1201">IF(SUM(R322:W322)&lt;&gt;0,SUM(R322:W322),#N/A)</f>
        <v>#N/A</v>
      </c>
      <c r="AS322" s="284" t="e">
        <f t="shared" ref="AS322:AS323" ca="1" si="1202">IF(SUM(X322:AC322)&lt;&gt;0,SUM(X322:AC322),#N/A)</f>
        <v>#N/A</v>
      </c>
      <c r="AT322" s="283" t="e">
        <f t="shared" ref="AT322:AT323" ca="1" si="1203">IF(SUM(AD322:AI322)&lt;&gt;0,SUM(AD322:AI322),#N/A)</f>
        <v>#N/A</v>
      </c>
      <c r="AU322" s="284" t="e">
        <f t="shared" ref="AU322:AU323" ca="1" si="1204">IF(SUM(AJ322:AO322)&lt;&gt;0,SUM(AJ322:AO322),#N/A)</f>
        <v>#N/A</v>
      </c>
      <c r="AV322" s="283" t="str">
        <f ca="1">IF(IFERROR((AV$11*(AV314-SUM(AV316:AV319)/AV$11)*AV321*3600)/(AV320),"")&lt;&gt;0,IFERROR((AV$11*(AV314-SUM(AV316:AV319)/AV$11)*AV321*3600)/(AV320),""),"")</f>
        <v/>
      </c>
      <c r="AW322" s="284" t="str">
        <f t="shared" ref="AW322:BE322" ca="1" si="1205">IF(IFERROR((AW$11*(AW314-SUM(AW316:AW319)/AW$11)*AW321*3600)/(AW320),"")&lt;&gt;0,IFERROR((AW$11*(AW314-SUM(AW316:AW319)/AW$11)*AW321*3600)/(AW320),""),"")</f>
        <v/>
      </c>
      <c r="AX322" s="283" t="str">
        <f t="shared" ca="1" si="1205"/>
        <v/>
      </c>
      <c r="AY322" s="284" t="str">
        <f t="shared" ca="1" si="1205"/>
        <v/>
      </c>
      <c r="AZ322" s="283" t="str">
        <f t="shared" ca="1" si="1205"/>
        <v/>
      </c>
      <c r="BA322" s="284" t="str">
        <f t="shared" ca="1" si="1205"/>
        <v/>
      </c>
      <c r="BB322" s="283" t="str">
        <f t="shared" ca="1" si="1205"/>
        <v/>
      </c>
      <c r="BC322" s="284" t="str">
        <f t="shared" ca="1" si="1205"/>
        <v/>
      </c>
      <c r="BD322" s="283" t="str">
        <f t="shared" ca="1" si="1205"/>
        <v/>
      </c>
      <c r="BE322" s="285" t="str">
        <f t="shared" ca="1" si="1205"/>
        <v/>
      </c>
      <c r="BF322" s="285" t="e">
        <f t="shared" ref="BF322:BF324" ca="1" si="1206">IF(SUM(AP322,AQ322)&lt;&gt;0,SUM(AP322,AQ322),#N/A)</f>
        <v>#N/A</v>
      </c>
      <c r="BG322" s="285" t="e">
        <f t="shared" ref="BG322:BG324" ca="1" si="1207">IF(SUM(AR322,AS322)&lt;&gt;0,SUM(AR322,AS322),#N/A)</f>
        <v>#N/A</v>
      </c>
      <c r="BH322" s="285" t="e">
        <f t="shared" ref="BH322:BH324" ca="1" si="1208">IF(SUM(AT322,AU322)&lt;&gt;0,SUM(AT322,AU322),#N/A)</f>
        <v>#N/A</v>
      </c>
      <c r="BI322" s="285" t="e">
        <f t="shared" ref="BI322:BI324" ca="1" si="1209">IF(SUM(AV322,AW322)&lt;&gt;0,SUM(AV322,AW322),#N/A)</f>
        <v>#N/A</v>
      </c>
      <c r="BJ322" s="285" t="e">
        <f t="shared" ref="BJ322:BJ324" ca="1" si="1210">IF(SUM(AX322,AY322)&lt;&gt;0,SUM(AX322,AY322),#N/A)</f>
        <v>#N/A</v>
      </c>
      <c r="BK322" s="285" t="e">
        <f t="shared" ref="BK322:BK324" ca="1" si="1211">IF(SUM(AZ322,BA322)&lt;&gt;0,SUM(AZ322,BA322),#N/A)</f>
        <v>#N/A</v>
      </c>
      <c r="BL322" s="285" t="e">
        <f t="shared" ref="BL322:BL324" ca="1" si="1212">IF(SUM(BB322,BC322)&lt;&gt;0,SUM(BB322,BC322),#N/A)</f>
        <v>#N/A</v>
      </c>
      <c r="BM322" s="285" t="e">
        <f t="shared" ref="BM322:BM324" ca="1" si="1213">IF(SUM(BD322,BE322)&lt;&gt;0,SUM(BD322,BE322),#N/A)</f>
        <v>#N/A</v>
      </c>
    </row>
    <row r="323" spans="1:65" s="102" customFormat="1" ht="15" customHeight="1" outlineLevel="1" thickBot="1" x14ac:dyDescent="0.25">
      <c r="A323" s="320" t="s">
        <v>226</v>
      </c>
      <c r="B323" s="348"/>
      <c r="C323" s="351"/>
      <c r="D323" s="345"/>
      <c r="E323" s="104" t="s">
        <v>225</v>
      </c>
      <c r="F323" s="36" t="str">
        <f ca="1">IFERROR(F322+((F313*F315*F321*3600)/(F320)),"")</f>
        <v/>
      </c>
      <c r="G323" s="37" t="str">
        <f t="shared" ref="G323:AO323" ca="1" si="1214">IFERROR(G322+((G313*G315*G321*3600)/(G320)),"")</f>
        <v/>
      </c>
      <c r="H323" s="37" t="str">
        <f t="shared" ca="1" si="1214"/>
        <v/>
      </c>
      <c r="I323" s="37" t="str">
        <f t="shared" ca="1" si="1214"/>
        <v/>
      </c>
      <c r="J323" s="37" t="str">
        <f t="shared" ca="1" si="1214"/>
        <v/>
      </c>
      <c r="K323" s="37" t="str">
        <f t="shared" ca="1" si="1214"/>
        <v/>
      </c>
      <c r="L323" s="37" t="str">
        <f t="shared" ca="1" si="1214"/>
        <v/>
      </c>
      <c r="M323" s="37" t="str">
        <f t="shared" ca="1" si="1214"/>
        <v/>
      </c>
      <c r="N323" s="37" t="str">
        <f t="shared" ca="1" si="1214"/>
        <v/>
      </c>
      <c r="O323" s="37" t="str">
        <f t="shared" ca="1" si="1214"/>
        <v/>
      </c>
      <c r="P323" s="37" t="str">
        <f t="shared" ca="1" si="1214"/>
        <v/>
      </c>
      <c r="Q323" s="37" t="str">
        <f t="shared" ca="1" si="1214"/>
        <v/>
      </c>
      <c r="R323" s="36" t="str">
        <f t="shared" ca="1" si="1214"/>
        <v/>
      </c>
      <c r="S323" s="37" t="str">
        <f t="shared" ca="1" si="1214"/>
        <v/>
      </c>
      <c r="T323" s="37" t="str">
        <f t="shared" ca="1" si="1214"/>
        <v/>
      </c>
      <c r="U323" s="37" t="str">
        <f t="shared" ca="1" si="1214"/>
        <v/>
      </c>
      <c r="V323" s="37" t="str">
        <f t="shared" ca="1" si="1214"/>
        <v/>
      </c>
      <c r="W323" s="37" t="str">
        <f t="shared" ca="1" si="1214"/>
        <v/>
      </c>
      <c r="X323" s="37" t="str">
        <f t="shared" ca="1" si="1214"/>
        <v/>
      </c>
      <c r="Y323" s="37" t="str">
        <f t="shared" ca="1" si="1214"/>
        <v/>
      </c>
      <c r="Z323" s="37" t="str">
        <f t="shared" ca="1" si="1214"/>
        <v/>
      </c>
      <c r="AA323" s="37" t="str">
        <f t="shared" ca="1" si="1214"/>
        <v/>
      </c>
      <c r="AB323" s="37" t="str">
        <f t="shared" ca="1" si="1214"/>
        <v/>
      </c>
      <c r="AC323" s="37" t="str">
        <f t="shared" ca="1" si="1214"/>
        <v/>
      </c>
      <c r="AD323" s="36" t="str">
        <f t="shared" ca="1" si="1214"/>
        <v/>
      </c>
      <c r="AE323" s="37" t="str">
        <f t="shared" ca="1" si="1214"/>
        <v/>
      </c>
      <c r="AF323" s="37" t="str">
        <f t="shared" ca="1" si="1214"/>
        <v/>
      </c>
      <c r="AG323" s="37" t="str">
        <f t="shared" ca="1" si="1214"/>
        <v/>
      </c>
      <c r="AH323" s="37" t="str">
        <f t="shared" ca="1" si="1214"/>
        <v/>
      </c>
      <c r="AI323" s="37" t="str">
        <f t="shared" ca="1" si="1214"/>
        <v/>
      </c>
      <c r="AJ323" s="37" t="str">
        <f t="shared" ca="1" si="1214"/>
        <v/>
      </c>
      <c r="AK323" s="37" t="str">
        <f t="shared" ca="1" si="1214"/>
        <v/>
      </c>
      <c r="AL323" s="37" t="str">
        <f t="shared" ca="1" si="1214"/>
        <v/>
      </c>
      <c r="AM323" s="37" t="str">
        <f t="shared" ca="1" si="1214"/>
        <v/>
      </c>
      <c r="AN323" s="37" t="str">
        <f t="shared" ca="1" si="1214"/>
        <v/>
      </c>
      <c r="AO323" s="37" t="str">
        <f t="shared" ca="1" si="1214"/>
        <v/>
      </c>
      <c r="AP323" s="36" t="e">
        <f t="shared" ca="1" si="1199"/>
        <v>#N/A</v>
      </c>
      <c r="AQ323" s="37" t="e">
        <f t="shared" ca="1" si="1200"/>
        <v>#N/A</v>
      </c>
      <c r="AR323" s="36" t="e">
        <f t="shared" ca="1" si="1201"/>
        <v>#N/A</v>
      </c>
      <c r="AS323" s="37" t="e">
        <f t="shared" ca="1" si="1202"/>
        <v>#N/A</v>
      </c>
      <c r="AT323" s="36" t="e">
        <f t="shared" ca="1" si="1203"/>
        <v>#N/A</v>
      </c>
      <c r="AU323" s="37" t="e">
        <f t="shared" ca="1" si="1204"/>
        <v>#N/A</v>
      </c>
      <c r="AV323" s="36" t="str">
        <f t="shared" ref="AV323:BE323" ca="1" si="1215">IFERROR(AV322+((AV313*AV315*AV321*3600)/(AV320)),"")</f>
        <v/>
      </c>
      <c r="AW323" s="37" t="str">
        <f t="shared" ca="1" si="1215"/>
        <v/>
      </c>
      <c r="AX323" s="36" t="str">
        <f t="shared" ca="1" si="1215"/>
        <v/>
      </c>
      <c r="AY323" s="37" t="str">
        <f t="shared" ca="1" si="1215"/>
        <v/>
      </c>
      <c r="AZ323" s="36" t="str">
        <f t="shared" ca="1" si="1215"/>
        <v/>
      </c>
      <c r="BA323" s="37" t="str">
        <f t="shared" ca="1" si="1215"/>
        <v/>
      </c>
      <c r="BB323" s="36" t="str">
        <f t="shared" ca="1" si="1215"/>
        <v/>
      </c>
      <c r="BC323" s="37" t="str">
        <f t="shared" ca="1" si="1215"/>
        <v/>
      </c>
      <c r="BD323" s="36" t="str">
        <f t="shared" ca="1" si="1215"/>
        <v/>
      </c>
      <c r="BE323" s="43" t="str">
        <f t="shared" ca="1" si="1215"/>
        <v/>
      </c>
      <c r="BF323" s="43" t="e">
        <f t="shared" ca="1" si="1206"/>
        <v>#N/A</v>
      </c>
      <c r="BG323" s="43" t="e">
        <f t="shared" ca="1" si="1207"/>
        <v>#N/A</v>
      </c>
      <c r="BH323" s="43" t="e">
        <f t="shared" ca="1" si="1208"/>
        <v>#N/A</v>
      </c>
      <c r="BI323" s="43" t="e">
        <f t="shared" ca="1" si="1209"/>
        <v>#N/A</v>
      </c>
      <c r="BJ323" s="43" t="e">
        <f t="shared" ca="1" si="1210"/>
        <v>#N/A</v>
      </c>
      <c r="BK323" s="43" t="e">
        <f t="shared" ca="1" si="1211"/>
        <v>#N/A</v>
      </c>
      <c r="BL323" s="43" t="e">
        <f t="shared" ca="1" si="1212"/>
        <v>#N/A</v>
      </c>
      <c r="BM323" s="43" t="e">
        <f t="shared" ca="1" si="1213"/>
        <v>#N/A</v>
      </c>
    </row>
    <row r="324" spans="1:65" s="102" customFormat="1" ht="22.5" outlineLevel="2" x14ac:dyDescent="0.2">
      <c r="A324" s="320" t="s">
        <v>226</v>
      </c>
      <c r="B324" s="346"/>
      <c r="C324" s="349" t="str">
        <f t="shared" ref="C324" si="1216">IF(AND($B324&lt;&gt;0,$C$9&lt;&gt;0),$C$9,"")</f>
        <v/>
      </c>
      <c r="D324" s="343"/>
      <c r="E324" s="277" t="s">
        <v>40</v>
      </c>
      <c r="F324" s="33">
        <f ca="1">IF(F$11-(SUM(F328:F331)/24)=0,"",F$11-(SUM(F328:F331)/24))</f>
        <v>27</v>
      </c>
      <c r="G324" s="34">
        <f t="shared" ref="G324:AO324" ca="1" si="1217">IF(G$11-(SUM(G328:G331)/24)=0,"",G$11-(SUM(G328:G331)/24))</f>
        <v>24</v>
      </c>
      <c r="H324" s="34">
        <f t="shared" ca="1" si="1217"/>
        <v>26</v>
      </c>
      <c r="I324" s="34">
        <f t="shared" ca="1" si="1217"/>
        <v>26</v>
      </c>
      <c r="J324" s="34">
        <f t="shared" ca="1" si="1217"/>
        <v>27</v>
      </c>
      <c r="K324" s="34">
        <f t="shared" ca="1" si="1217"/>
        <v>25</v>
      </c>
      <c r="L324" s="34">
        <f t="shared" ca="1" si="1217"/>
        <v>27</v>
      </c>
      <c r="M324" s="34">
        <f t="shared" ca="1" si="1217"/>
        <v>26</v>
      </c>
      <c r="N324" s="34">
        <f t="shared" ca="1" si="1217"/>
        <v>26</v>
      </c>
      <c r="O324" s="34">
        <f t="shared" ca="1" si="1217"/>
        <v>27</v>
      </c>
      <c r="P324" s="34">
        <f t="shared" ca="1" si="1217"/>
        <v>25</v>
      </c>
      <c r="Q324" s="34">
        <f t="shared" ca="1" si="1217"/>
        <v>27</v>
      </c>
      <c r="R324" s="32">
        <f t="shared" ca="1" si="1217"/>
        <v>27</v>
      </c>
      <c r="S324" s="29">
        <f t="shared" ca="1" si="1217"/>
        <v>24</v>
      </c>
      <c r="T324" s="29">
        <f t="shared" ca="1" si="1217"/>
        <v>26</v>
      </c>
      <c r="U324" s="29">
        <f t="shared" ca="1" si="1217"/>
        <v>26</v>
      </c>
      <c r="V324" s="29">
        <f t="shared" ca="1" si="1217"/>
        <v>26</v>
      </c>
      <c r="W324" s="29">
        <f t="shared" ca="1" si="1217"/>
        <v>26</v>
      </c>
      <c r="X324" s="29">
        <f t="shared" ca="1" si="1217"/>
        <v>27</v>
      </c>
      <c r="Y324" s="29">
        <f t="shared" ca="1" si="1217"/>
        <v>26</v>
      </c>
      <c r="Z324" s="29">
        <f t="shared" ca="1" si="1217"/>
        <v>26</v>
      </c>
      <c r="AA324" s="29">
        <f t="shared" ca="1" si="1217"/>
        <v>27</v>
      </c>
      <c r="AB324" s="29">
        <f t="shared" ca="1" si="1217"/>
        <v>25</v>
      </c>
      <c r="AC324" s="29">
        <f t="shared" ca="1" si="1217"/>
        <v>27</v>
      </c>
      <c r="AD324" s="32">
        <f t="shared" ca="1" si="1217"/>
        <v>26</v>
      </c>
      <c r="AE324" s="29">
        <f t="shared" ca="1" si="1217"/>
        <v>24</v>
      </c>
      <c r="AF324" s="29">
        <f t="shared" ca="1" si="1217"/>
        <v>27</v>
      </c>
      <c r="AG324" s="29">
        <f t="shared" ca="1" si="1217"/>
        <v>26</v>
      </c>
      <c r="AH324" s="29">
        <f t="shared" ca="1" si="1217"/>
        <v>26</v>
      </c>
      <c r="AI324" s="29">
        <f t="shared" ca="1" si="1217"/>
        <v>26</v>
      </c>
      <c r="AJ324" s="29">
        <f t="shared" ca="1" si="1217"/>
        <v>27</v>
      </c>
      <c r="AK324" s="29">
        <f t="shared" ca="1" si="1217"/>
        <v>26</v>
      </c>
      <c r="AL324" s="29">
        <f t="shared" ca="1" si="1217"/>
        <v>26</v>
      </c>
      <c r="AM324" s="29">
        <f t="shared" ca="1" si="1217"/>
        <v>26</v>
      </c>
      <c r="AN324" s="29">
        <f t="shared" ca="1" si="1217"/>
        <v>26</v>
      </c>
      <c r="AO324" s="29">
        <f t="shared" ca="1" si="1217"/>
        <v>27</v>
      </c>
      <c r="AP324" s="32">
        <f ca="1">IF(SUM(F324:K324)&lt;&gt;0,SUM(F324:K324),"")</f>
        <v>155</v>
      </c>
      <c r="AQ324" s="29">
        <f ca="1">IF(SUM(L324:Q324)&lt;&gt;0,SUM(L324:Q324),"")</f>
        <v>158</v>
      </c>
      <c r="AR324" s="32">
        <f ca="1">IF(SUM(R324:W324)&lt;&gt;0,SUM(R324:W324),"")</f>
        <v>155</v>
      </c>
      <c r="AS324" s="29">
        <f ca="1">IF(SUM(X324:AC324)&lt;&gt;0,SUM(X324:AC324),"")</f>
        <v>158</v>
      </c>
      <c r="AT324" s="32">
        <f ca="1">IF(SUM(AD324:AI324)&lt;&gt;0,SUM(AD324:AI324),"")</f>
        <v>155</v>
      </c>
      <c r="AU324" s="296">
        <f ca="1">SUM(AJ324:AO324)</f>
        <v>158</v>
      </c>
      <c r="AV324" s="32">
        <f t="shared" ref="AV324:BE324" ca="1" si="1218">IF(AV$11-(SUM(AV328:AV331)/24)=0,"",AV$11-(SUM(AV328:AV331)/24))</f>
        <v>156</v>
      </c>
      <c r="AW324" s="29">
        <f t="shared" ca="1" si="1218"/>
        <v>157</v>
      </c>
      <c r="AX324" s="32">
        <f t="shared" ca="1" si="1218"/>
        <v>156</v>
      </c>
      <c r="AY324" s="29">
        <f t="shared" ca="1" si="1218"/>
        <v>158</v>
      </c>
      <c r="AZ324" s="32">
        <f t="shared" ca="1" si="1218"/>
        <v>155</v>
      </c>
      <c r="BA324" s="29">
        <f t="shared" ca="1" si="1218"/>
        <v>158</v>
      </c>
      <c r="BB324" s="32">
        <f t="shared" ca="1" si="1218"/>
        <v>155</v>
      </c>
      <c r="BC324" s="29">
        <f t="shared" ca="1" si="1218"/>
        <v>158</v>
      </c>
      <c r="BD324" s="32">
        <f t="shared" ca="1" si="1218"/>
        <v>156</v>
      </c>
      <c r="BE324" s="262">
        <f t="shared" ca="1" si="1218"/>
        <v>158</v>
      </c>
      <c r="BF324" s="286">
        <f t="shared" ca="1" si="1206"/>
        <v>313</v>
      </c>
      <c r="BG324" s="286">
        <f t="shared" ca="1" si="1207"/>
        <v>313</v>
      </c>
      <c r="BH324" s="286">
        <f t="shared" ca="1" si="1208"/>
        <v>313</v>
      </c>
      <c r="BI324" s="286">
        <f t="shared" ca="1" si="1209"/>
        <v>313</v>
      </c>
      <c r="BJ324" s="286">
        <f t="shared" ca="1" si="1210"/>
        <v>314</v>
      </c>
      <c r="BK324" s="286">
        <f t="shared" ca="1" si="1211"/>
        <v>313</v>
      </c>
      <c r="BL324" s="286">
        <f t="shared" ca="1" si="1212"/>
        <v>313</v>
      </c>
      <c r="BM324" s="286">
        <f t="shared" ca="1" si="1213"/>
        <v>314</v>
      </c>
    </row>
    <row r="325" spans="1:65" s="102" customFormat="1" ht="15" customHeight="1" outlineLevel="2" thickBot="1" x14ac:dyDescent="0.25">
      <c r="A325" s="320" t="s">
        <v>226</v>
      </c>
      <c r="B325" s="347"/>
      <c r="C325" s="350"/>
      <c r="D325" s="344"/>
      <c r="E325" s="278" t="s">
        <v>29</v>
      </c>
      <c r="F325" s="47"/>
      <c r="G325" s="48"/>
      <c r="H325" s="48"/>
      <c r="I325" s="48"/>
      <c r="J325" s="48"/>
      <c r="K325" s="48"/>
      <c r="L325" s="48"/>
      <c r="M325" s="48"/>
      <c r="N325" s="48"/>
      <c r="O325" s="48"/>
      <c r="P325" s="48"/>
      <c r="Q325" s="51"/>
      <c r="R325" s="47"/>
      <c r="S325" s="48"/>
      <c r="T325" s="48"/>
      <c r="U325" s="48"/>
      <c r="V325" s="48"/>
      <c r="W325" s="48"/>
      <c r="X325" s="48"/>
      <c r="Y325" s="48"/>
      <c r="Z325" s="48"/>
      <c r="AA325" s="48"/>
      <c r="AB325" s="48"/>
      <c r="AC325" s="51"/>
      <c r="AD325" s="47"/>
      <c r="AE325" s="48"/>
      <c r="AF325" s="48"/>
      <c r="AG325" s="48"/>
      <c r="AH325" s="48"/>
      <c r="AI325" s="48"/>
      <c r="AJ325" s="48"/>
      <c r="AK325" s="48"/>
      <c r="AL325" s="48"/>
      <c r="AM325" s="48"/>
      <c r="AN325" s="48"/>
      <c r="AO325" s="51"/>
      <c r="AP325" s="294" t="str">
        <f>IFERROR(IF(SUM(F325:K325)&lt;&gt;0,SUM(F325:K325),""),"")</f>
        <v/>
      </c>
      <c r="AQ325" s="295" t="str">
        <f>IFERROR(IF(SUM(L325:Q325)&lt;&gt;0,SUM(L325:Q325),""),"")</f>
        <v/>
      </c>
      <c r="AR325" s="294" t="str">
        <f>IFERROR(IF(SUM(R325:W325)&lt;&gt;0,SUM(R325:W325),""),"")</f>
        <v/>
      </c>
      <c r="AS325" s="295" t="str">
        <f>IFERROR(IF(SUM(X325:AC325)&lt;&gt;0,SUM(X325:AC325),""),"")</f>
        <v/>
      </c>
      <c r="AT325" s="294" t="str">
        <f>IFERROR(IF(SUM(AD325:AI325)&lt;&gt;0,SUM(AD325:AI325),""),"")</f>
        <v/>
      </c>
      <c r="AU325" s="295" t="str">
        <f>IFERROR(IF(SUM(AJ325:AO325)&lt;&gt;0,SUM(AJ325:AO325),""),"")</f>
        <v/>
      </c>
      <c r="AV325" s="47"/>
      <c r="AW325" s="51"/>
      <c r="AX325" s="47"/>
      <c r="AY325" s="51"/>
      <c r="AZ325" s="47"/>
      <c r="BA325" s="51"/>
      <c r="BB325" s="47"/>
      <c r="BC325" s="51"/>
      <c r="BD325" s="47"/>
      <c r="BE325" s="263"/>
      <c r="BF325" s="271" t="str">
        <f>IFERROR(IF(AVERAGE(AP325:AQ325)&lt;&gt;0,AVERAGE(AP325:AQ325),""),"")</f>
        <v/>
      </c>
      <c r="BG325" s="271" t="str">
        <f>IFERROR(IF(AVERAGE(AR325:AS325)&lt;&gt;0,AVERAGE(AR325:AS325),""),"")</f>
        <v/>
      </c>
      <c r="BH325" s="271" t="str">
        <f>IFERROR(IF(AVERAGE(AT325:AU325)&lt;&gt;0,AVERAGE(AT325:AU325),""),"")</f>
        <v/>
      </c>
      <c r="BI325" s="271" t="str">
        <f>IFERROR(IF(AVERAGE(AV325:AW325)&lt;&gt;0,AVERAGE(AV325:AW325),""),"")</f>
        <v/>
      </c>
      <c r="BJ325" s="271" t="str">
        <f>IFERROR(IF(AVERAGE(AX325:AY325)&lt;&gt;0,AVERAGE(AX325:AY325),""),"")</f>
        <v/>
      </c>
      <c r="BK325" s="271" t="str">
        <f>IFERROR(IF(AVERAGE(AZ325:BA325)&lt;&gt;0,AVERAGE(AZ325:BA325),""),"")</f>
        <v/>
      </c>
      <c r="BL325" s="271" t="str">
        <f>IFERROR(IF(AVERAGE(BB325:BC325)&lt;&gt;0,AVERAGE(BB325:BC325),""),"")</f>
        <v/>
      </c>
      <c r="BM325" s="271" t="str">
        <f>IFERROR(IF(AVERAGE(BD325:BE325)&lt;&gt;0,AVERAGE(BD325:BE325),""),"")</f>
        <v/>
      </c>
    </row>
    <row r="326" spans="1:65" s="102" customFormat="1" ht="14.25" customHeight="1" outlineLevel="2" x14ac:dyDescent="0.2">
      <c r="A326" s="320" t="s">
        <v>226</v>
      </c>
      <c r="B326" s="347"/>
      <c r="C326" s="350"/>
      <c r="D326" s="344"/>
      <c r="E326" s="279" t="s">
        <v>28</v>
      </c>
      <c r="F326" s="52"/>
      <c r="G326" s="53"/>
      <c r="H326" s="53"/>
      <c r="I326" s="53"/>
      <c r="J326" s="53"/>
      <c r="K326" s="53"/>
      <c r="L326" s="53"/>
      <c r="M326" s="53"/>
      <c r="N326" s="53"/>
      <c r="O326" s="53"/>
      <c r="P326" s="53"/>
      <c r="Q326" s="54"/>
      <c r="R326" s="52"/>
      <c r="S326" s="53"/>
      <c r="T326" s="53"/>
      <c r="U326" s="53"/>
      <c r="V326" s="53"/>
      <c r="W326" s="53"/>
      <c r="X326" s="53"/>
      <c r="Y326" s="53"/>
      <c r="Z326" s="53"/>
      <c r="AA326" s="53"/>
      <c r="AB326" s="53"/>
      <c r="AC326" s="54"/>
      <c r="AD326" s="52"/>
      <c r="AE326" s="53"/>
      <c r="AF326" s="53"/>
      <c r="AG326" s="53"/>
      <c r="AH326" s="53"/>
      <c r="AI326" s="53"/>
      <c r="AJ326" s="53"/>
      <c r="AK326" s="53"/>
      <c r="AL326" s="53"/>
      <c r="AM326" s="53"/>
      <c r="AN326" s="53"/>
      <c r="AO326" s="54"/>
      <c r="AP326" s="225" t="str">
        <f>IFERROR(IF(AVERAGE(F326:K326)&lt;&gt;0,AVERAGE(F326:K326),""),"")</f>
        <v/>
      </c>
      <c r="AQ326" s="226" t="str">
        <f>IFERROR(IF(AVERAGE(L326:Q326)&lt;&gt;0,AVERAGE(L326:Q326),""),"")</f>
        <v/>
      </c>
      <c r="AR326" s="225" t="str">
        <f>IFERROR(IF(AVERAGE(R326:W326)&lt;&gt;0,AVERAGE(R326:W326),""),"")</f>
        <v/>
      </c>
      <c r="AS326" s="226" t="str">
        <f>IFERROR(IF(AVERAGE(X326:AC326)&lt;&gt;0,AVERAGE(X326:AC326),""),"")</f>
        <v/>
      </c>
      <c r="AT326" s="225" t="str">
        <f>IFERROR(IF(AVERAGE(AD326:AI326)&lt;&gt;0,AVERAGE(AD326:AI326),""),"")</f>
        <v/>
      </c>
      <c r="AU326" s="226" t="str">
        <f>IFERROR(IF(AVERAGE(AJ326:AO326)&lt;&gt;0,AVERAGE(AJ326:AO326),""),"")</f>
        <v/>
      </c>
      <c r="AV326" s="70"/>
      <c r="AW326" s="53"/>
      <c r="AX326" s="70"/>
      <c r="AY326" s="53"/>
      <c r="AZ326" s="70"/>
      <c r="BA326" s="53"/>
      <c r="BB326" s="70"/>
      <c r="BC326" s="53"/>
      <c r="BD326" s="70"/>
      <c r="BE326" s="264"/>
      <c r="BF326" s="272" t="str">
        <f>IFERROR(IF(AVERAGE(AP326:AQ326)&lt;&gt;0,AVERAGE(AP326:AQ326),""),"")</f>
        <v/>
      </c>
      <c r="BG326" s="272" t="str">
        <f>IFERROR(IF(AVERAGE(AR326:AS326)&lt;&gt;0,AVERAGE(AR326:AS326),""),"")</f>
        <v/>
      </c>
      <c r="BH326" s="272" t="str">
        <f>IFERROR(IF(AVERAGE(AT326:AU326)&lt;&gt;0,AVERAGE(AT326:AU326),""),"")</f>
        <v/>
      </c>
      <c r="BI326" s="272" t="str">
        <f>IFERROR(IF(AVERAGE(AV326:AW326)&lt;&gt;0,AVERAGE(AV326:AW326),""),"")</f>
        <v/>
      </c>
      <c r="BJ326" s="272" t="str">
        <f>IFERROR(IF(AVERAGE(AX326:AY326)&lt;&gt;0,AVERAGE(AX326:AY326),""),"")</f>
        <v/>
      </c>
      <c r="BK326" s="272" t="str">
        <f>IFERROR(IF(AVERAGE(AZ326:BA326)&lt;&gt;0,AVERAGE(AZ326:BA326),""),"")</f>
        <v/>
      </c>
      <c r="BL326" s="272" t="str">
        <f>IFERROR(IF(AVERAGE(BB326:BC326)&lt;&gt;0,AVERAGE(BB326:BC326),""),"")</f>
        <v/>
      </c>
      <c r="BM326" s="272" t="str">
        <f>IFERROR(IF(AVERAGE(BD326:BE326)&lt;&gt;0,AVERAGE(BD326:BE326),""),"")</f>
        <v/>
      </c>
    </row>
    <row r="327" spans="1:65" s="102" customFormat="1" ht="15" customHeight="1" outlineLevel="2" thickBot="1" x14ac:dyDescent="0.25">
      <c r="A327" s="320" t="s">
        <v>226</v>
      </c>
      <c r="B327" s="347"/>
      <c r="C327" s="350"/>
      <c r="D327" s="344"/>
      <c r="E327" s="278" t="s">
        <v>30</v>
      </c>
      <c r="F327" s="55"/>
      <c r="G327" s="56"/>
      <c r="H327" s="56"/>
      <c r="I327" s="56"/>
      <c r="J327" s="56"/>
      <c r="K327" s="56"/>
      <c r="L327" s="56"/>
      <c r="M327" s="56"/>
      <c r="N327" s="56"/>
      <c r="O327" s="56"/>
      <c r="P327" s="56"/>
      <c r="Q327" s="57"/>
      <c r="R327" s="55"/>
      <c r="S327" s="56"/>
      <c r="T327" s="56"/>
      <c r="U327" s="56"/>
      <c r="V327" s="56"/>
      <c r="W327" s="56"/>
      <c r="X327" s="56"/>
      <c r="Y327" s="56"/>
      <c r="Z327" s="56"/>
      <c r="AA327" s="56"/>
      <c r="AB327" s="56"/>
      <c r="AC327" s="57"/>
      <c r="AD327" s="55"/>
      <c r="AE327" s="56"/>
      <c r="AF327" s="56"/>
      <c r="AG327" s="56"/>
      <c r="AH327" s="56"/>
      <c r="AI327" s="56"/>
      <c r="AJ327" s="56"/>
      <c r="AK327" s="56"/>
      <c r="AL327" s="56"/>
      <c r="AM327" s="56"/>
      <c r="AN327" s="56"/>
      <c r="AO327" s="57"/>
      <c r="AP327" s="227" t="str">
        <f>IFERROR(IF(AVERAGE(F327:K327)&lt;&gt;0,AVERAGE(F327:K327),""),"")</f>
        <v/>
      </c>
      <c r="AQ327" s="228" t="str">
        <f>IFERROR(IF(AVERAGE(L327:Q327)&lt;&gt;0,AVERAGE(L327:Q327),""),"")</f>
        <v/>
      </c>
      <c r="AR327" s="227" t="str">
        <f>IFERROR(IF(AVERAGE(R327:W327)&lt;&gt;0,AVERAGE(R327:W327),""),"")</f>
        <v/>
      </c>
      <c r="AS327" s="228" t="str">
        <f>IFERROR(IF(AVERAGE(X327:AC327)&lt;&gt;0,AVERAGE(X327:AC327),""),"")</f>
        <v/>
      </c>
      <c r="AT327" s="227" t="str">
        <f>IFERROR(IF(AVERAGE(AD327:AI327)&lt;&gt;0,AVERAGE(AD327:AI327),""),"")</f>
        <v/>
      </c>
      <c r="AU327" s="228" t="str">
        <f>IFERROR(IF(AVERAGE(AJ327:AO327)&lt;&gt;0,AVERAGE(AJ327:AO327),""),"")</f>
        <v/>
      </c>
      <c r="AV327" s="71"/>
      <c r="AW327" s="56"/>
      <c r="AX327" s="71"/>
      <c r="AY327" s="56"/>
      <c r="AZ327" s="71"/>
      <c r="BA327" s="56"/>
      <c r="BB327" s="71"/>
      <c r="BC327" s="56"/>
      <c r="BD327" s="71"/>
      <c r="BE327" s="265"/>
      <c r="BF327" s="273" t="str">
        <f>IFERROR(IF(AVERAGE(AP327:AQ327)&lt;&gt;0,AVERAGE(AP327:AQ327),""),"")</f>
        <v/>
      </c>
      <c r="BG327" s="273" t="str">
        <f>IFERROR(IF(AVERAGE(AR327:AS327)&lt;&gt;0,AVERAGE(AR327:AS327),""),"")</f>
        <v/>
      </c>
      <c r="BH327" s="273" t="str">
        <f>IFERROR(IF(AVERAGE(AT327:AU327)&lt;&gt;0,AVERAGE(AT327:AU327),""),"")</f>
        <v/>
      </c>
      <c r="BI327" s="273" t="str">
        <f>IFERROR(IF(AVERAGE(AV327:AW327)&lt;&gt;0,AVERAGE(AV327:AW327),""),"")</f>
        <v/>
      </c>
      <c r="BJ327" s="273" t="str">
        <f>IFERROR(IF(AVERAGE(AX327:AY327)&lt;&gt;0,AVERAGE(AX327:AY327),""),"")</f>
        <v/>
      </c>
      <c r="BK327" s="273" t="str">
        <f>IFERROR(IF(AVERAGE(AZ327:BA327)&lt;&gt;0,AVERAGE(AZ327:BA327),""),"")</f>
        <v/>
      </c>
      <c r="BL327" s="273" t="str">
        <f>IFERROR(IF(AVERAGE(BB327:BC327)&lt;&gt;0,AVERAGE(BB327:BC327),""),"")</f>
        <v/>
      </c>
      <c r="BM327" s="273" t="str">
        <f>IFERROR(IF(AVERAGE(BD327:BE327)&lt;&gt;0,AVERAGE(BD327:BE327),""),"")</f>
        <v/>
      </c>
    </row>
    <row r="328" spans="1:65" s="102" customFormat="1" ht="14.25" customHeight="1" outlineLevel="2" x14ac:dyDescent="0.2">
      <c r="A328" s="320" t="s">
        <v>226</v>
      </c>
      <c r="B328" s="347"/>
      <c r="C328" s="350"/>
      <c r="D328" s="344"/>
      <c r="E328" s="279" t="s">
        <v>25</v>
      </c>
      <c r="F328" s="58"/>
      <c r="G328" s="50"/>
      <c r="H328" s="50"/>
      <c r="I328" s="50"/>
      <c r="J328" s="50"/>
      <c r="K328" s="50"/>
      <c r="L328" s="50"/>
      <c r="M328" s="50"/>
      <c r="N328" s="50"/>
      <c r="O328" s="50"/>
      <c r="P328" s="50"/>
      <c r="Q328" s="59"/>
      <c r="R328" s="58"/>
      <c r="S328" s="50"/>
      <c r="T328" s="50"/>
      <c r="U328" s="50"/>
      <c r="V328" s="50"/>
      <c r="W328" s="50"/>
      <c r="X328" s="50"/>
      <c r="Y328" s="50"/>
      <c r="Z328" s="50"/>
      <c r="AA328" s="50"/>
      <c r="AB328" s="50"/>
      <c r="AC328" s="59"/>
      <c r="AD328" s="58"/>
      <c r="AE328" s="50"/>
      <c r="AF328" s="50"/>
      <c r="AG328" s="50"/>
      <c r="AH328" s="50"/>
      <c r="AI328" s="50"/>
      <c r="AJ328" s="50"/>
      <c r="AK328" s="50"/>
      <c r="AL328" s="50"/>
      <c r="AM328" s="50"/>
      <c r="AN328" s="50"/>
      <c r="AO328" s="59"/>
      <c r="AP328" s="229" t="str">
        <f>IFERROR(IF(SUM(F328:K328)&lt;&gt;0,SUM(F328:K328),""),"")</f>
        <v/>
      </c>
      <c r="AQ328" s="230" t="str">
        <f>IFERROR(IF(SUM(L328:Q328)&lt;&gt;0,SUM(L328:Q328),""),"")</f>
        <v/>
      </c>
      <c r="AR328" s="229" t="str">
        <f>IFERROR(IF(SUM(R328:W328)&lt;&gt;0,SUM(R328:W328),""),"")</f>
        <v/>
      </c>
      <c r="AS328" s="230" t="str">
        <f>IFERROR(IF(SUM(X328:AC328)&lt;&gt;0,SUM(X328:AC328),""),"")</f>
        <v/>
      </c>
      <c r="AT328" s="229" t="str">
        <f>IFERROR(IF(SUM(AD328:AI328)&lt;&gt;0,SUM(AD328:AI328),""),"")</f>
        <v/>
      </c>
      <c r="AU328" s="230" t="str">
        <f>IFERROR(IF(SUM(AJ328:AO328)&lt;&gt;0,SUM(AJ328:AO328),""),"")</f>
        <v/>
      </c>
      <c r="AV328" s="72"/>
      <c r="AW328" s="73"/>
      <c r="AX328" s="72"/>
      <c r="AY328" s="73"/>
      <c r="AZ328" s="72"/>
      <c r="BA328" s="73"/>
      <c r="BB328" s="72"/>
      <c r="BC328" s="73"/>
      <c r="BD328" s="72"/>
      <c r="BE328" s="266"/>
      <c r="BF328" s="286" t="e">
        <f t="shared" ref="BF328:BF331" si="1219">IF(SUM(AP328,AQ328)&lt;&gt;0,SUM(AP328,AQ328),#N/A)</f>
        <v>#N/A</v>
      </c>
      <c r="BG328" s="286" t="e">
        <f t="shared" ref="BG328:BG331" si="1220">IF(SUM(AR328,AS328)&lt;&gt;0,SUM(AR328,AS328),#N/A)</f>
        <v>#N/A</v>
      </c>
      <c r="BH328" s="286" t="e">
        <f t="shared" ref="BH328:BH331" si="1221">IF(SUM(AT328,AU328)&lt;&gt;0,SUM(AT328,AU328),#N/A)</f>
        <v>#N/A</v>
      </c>
      <c r="BI328" s="286" t="e">
        <f t="shared" ref="BI328:BI331" si="1222">IF(SUM(AV328,AW328)&lt;&gt;0,SUM(AV328,AW328),#N/A)</f>
        <v>#N/A</v>
      </c>
      <c r="BJ328" s="286" t="e">
        <f t="shared" ref="BJ328:BJ331" si="1223">IF(SUM(AX328,AY328)&lt;&gt;0,SUM(AX328,AY328),#N/A)</f>
        <v>#N/A</v>
      </c>
      <c r="BK328" s="286" t="e">
        <f t="shared" ref="BK328:BK331" si="1224">IF(SUM(AZ328,BA328)&lt;&gt;0,SUM(AZ328,BA328),#N/A)</f>
        <v>#N/A</v>
      </c>
      <c r="BL328" s="286" t="e">
        <f t="shared" ref="BL328:BL331" si="1225">IF(SUM(BB328,BC328)&lt;&gt;0,SUM(BB328,BC328),#N/A)</f>
        <v>#N/A</v>
      </c>
      <c r="BM328" s="286" t="e">
        <f t="shared" ref="BM328:BM331" si="1226">IF(SUM(BD328,BE328)&lt;&gt;0,SUM(BD328,BE328),#N/A)</f>
        <v>#N/A</v>
      </c>
    </row>
    <row r="329" spans="1:65" s="102" customFormat="1" ht="14.25" customHeight="1" outlineLevel="2" x14ac:dyDescent="0.2">
      <c r="A329" s="320" t="s">
        <v>226</v>
      </c>
      <c r="B329" s="347"/>
      <c r="C329" s="350"/>
      <c r="D329" s="344"/>
      <c r="E329" s="280" t="s">
        <v>26</v>
      </c>
      <c r="F329" s="60"/>
      <c r="G329" s="61"/>
      <c r="H329" s="61"/>
      <c r="I329" s="61"/>
      <c r="J329" s="61"/>
      <c r="K329" s="61"/>
      <c r="L329" s="61"/>
      <c r="M329" s="61"/>
      <c r="N329" s="61"/>
      <c r="O329" s="61"/>
      <c r="P329" s="61"/>
      <c r="Q329" s="62"/>
      <c r="R329" s="60"/>
      <c r="S329" s="61"/>
      <c r="T329" s="61"/>
      <c r="U329" s="61"/>
      <c r="V329" s="61"/>
      <c r="W329" s="61"/>
      <c r="X329" s="61"/>
      <c r="Y329" s="61"/>
      <c r="Z329" s="61"/>
      <c r="AA329" s="61"/>
      <c r="AB329" s="61"/>
      <c r="AC329" s="62"/>
      <c r="AD329" s="60"/>
      <c r="AE329" s="61"/>
      <c r="AF329" s="61"/>
      <c r="AG329" s="61"/>
      <c r="AH329" s="61"/>
      <c r="AI329" s="61"/>
      <c r="AJ329" s="61"/>
      <c r="AK329" s="61"/>
      <c r="AL329" s="61"/>
      <c r="AM329" s="61"/>
      <c r="AN329" s="61"/>
      <c r="AO329" s="62"/>
      <c r="AP329" s="231" t="str">
        <f>IFERROR(IF(SUM(F329:K329)&lt;&gt;0,SUM(F329:K329),""),"")</f>
        <v/>
      </c>
      <c r="AQ329" s="232" t="str">
        <f>IFERROR(IF(SUM(L329:Q329)&lt;&gt;0,SUM(L329:Q329),""),"")</f>
        <v/>
      </c>
      <c r="AR329" s="231" t="str">
        <f>IFERROR(IF(SUM(R329:W329)&lt;&gt;0,SUM(R329:W329),""),"")</f>
        <v/>
      </c>
      <c r="AS329" s="232" t="str">
        <f>IFERROR(IF(SUM(X329:AC329)&lt;&gt;0,SUM(X329:AC329),""),"")</f>
        <v/>
      </c>
      <c r="AT329" s="231" t="str">
        <f>IFERROR(IF(SUM(AD329:AI329)&lt;&gt;0,SUM(AD329:AI329),""),"")</f>
        <v/>
      </c>
      <c r="AU329" s="232" t="str">
        <f>IFERROR(IF(SUM(AJ329:AO329)&lt;&gt;0,SUM(AJ329:AO329),""),"")</f>
        <v/>
      </c>
      <c r="AV329" s="74"/>
      <c r="AW329" s="61"/>
      <c r="AX329" s="74"/>
      <c r="AY329" s="61"/>
      <c r="AZ329" s="74"/>
      <c r="BA329" s="61"/>
      <c r="BB329" s="74"/>
      <c r="BC329" s="61"/>
      <c r="BD329" s="74"/>
      <c r="BE329" s="267"/>
      <c r="BF329" s="287" t="e">
        <f t="shared" si="1219"/>
        <v>#N/A</v>
      </c>
      <c r="BG329" s="287" t="e">
        <f t="shared" si="1220"/>
        <v>#N/A</v>
      </c>
      <c r="BH329" s="287" t="e">
        <f t="shared" si="1221"/>
        <v>#N/A</v>
      </c>
      <c r="BI329" s="287" t="e">
        <f t="shared" si="1222"/>
        <v>#N/A</v>
      </c>
      <c r="BJ329" s="287" t="e">
        <f t="shared" si="1223"/>
        <v>#N/A</v>
      </c>
      <c r="BK329" s="287" t="e">
        <f t="shared" si="1224"/>
        <v>#N/A</v>
      </c>
      <c r="BL329" s="287" t="e">
        <f t="shared" si="1225"/>
        <v>#N/A</v>
      </c>
      <c r="BM329" s="287" t="e">
        <f t="shared" si="1226"/>
        <v>#N/A</v>
      </c>
    </row>
    <row r="330" spans="1:65" s="102" customFormat="1" ht="14.25" customHeight="1" outlineLevel="2" x14ac:dyDescent="0.2">
      <c r="A330" s="320" t="s">
        <v>226</v>
      </c>
      <c r="B330" s="347"/>
      <c r="C330" s="350"/>
      <c r="D330" s="344"/>
      <c r="E330" s="280" t="s">
        <v>27</v>
      </c>
      <c r="F330" s="60"/>
      <c r="G330" s="61"/>
      <c r="H330" s="61"/>
      <c r="I330" s="61"/>
      <c r="J330" s="61"/>
      <c r="K330" s="61"/>
      <c r="L330" s="61"/>
      <c r="M330" s="61"/>
      <c r="N330" s="61"/>
      <c r="O330" s="61"/>
      <c r="P330" s="61"/>
      <c r="Q330" s="62"/>
      <c r="R330" s="60"/>
      <c r="S330" s="61"/>
      <c r="T330" s="61"/>
      <c r="U330" s="61"/>
      <c r="V330" s="61"/>
      <c r="W330" s="61"/>
      <c r="X330" s="61"/>
      <c r="Y330" s="61"/>
      <c r="Z330" s="61"/>
      <c r="AA330" s="61"/>
      <c r="AB330" s="61"/>
      <c r="AC330" s="62"/>
      <c r="AD330" s="60"/>
      <c r="AE330" s="61"/>
      <c r="AF330" s="61"/>
      <c r="AG330" s="61"/>
      <c r="AH330" s="61"/>
      <c r="AI330" s="61"/>
      <c r="AJ330" s="61"/>
      <c r="AK330" s="61"/>
      <c r="AL330" s="61"/>
      <c r="AM330" s="61"/>
      <c r="AN330" s="61"/>
      <c r="AO330" s="62"/>
      <c r="AP330" s="231" t="str">
        <f>IFERROR(IF(SUM(F330:K330)&lt;&gt;0,SUM(F330:K330),""),"")</f>
        <v/>
      </c>
      <c r="AQ330" s="232" t="str">
        <f>IFERROR(IF(SUM(L330:Q330)&lt;&gt;0,SUM(L330:Q330),""),"")</f>
        <v/>
      </c>
      <c r="AR330" s="231" t="str">
        <f>IFERROR(IF(SUM(R330:W330)&lt;&gt;0,SUM(R330:W330),""),"")</f>
        <v/>
      </c>
      <c r="AS330" s="232" t="str">
        <f>IFERROR(IF(SUM(X330:AC330)&lt;&gt;0,SUM(X330:AC330),""),"")</f>
        <v/>
      </c>
      <c r="AT330" s="231" t="str">
        <f>IFERROR(IF(SUM(AD330:AI330)&lt;&gt;0,SUM(AD330:AI330),""),"")</f>
        <v/>
      </c>
      <c r="AU330" s="232" t="str">
        <f>IFERROR(IF(SUM(AJ330:AO330)&lt;&gt;0,SUM(AJ330:AO330),""),"")</f>
        <v/>
      </c>
      <c r="AV330" s="74"/>
      <c r="AW330" s="61"/>
      <c r="AX330" s="74"/>
      <c r="AY330" s="61"/>
      <c r="AZ330" s="74"/>
      <c r="BA330" s="61"/>
      <c r="BB330" s="74"/>
      <c r="BC330" s="61"/>
      <c r="BD330" s="74"/>
      <c r="BE330" s="267"/>
      <c r="BF330" s="287" t="e">
        <f t="shared" si="1219"/>
        <v>#N/A</v>
      </c>
      <c r="BG330" s="287" t="e">
        <f t="shared" si="1220"/>
        <v>#N/A</v>
      </c>
      <c r="BH330" s="287" t="e">
        <f t="shared" si="1221"/>
        <v>#N/A</v>
      </c>
      <c r="BI330" s="287" t="e">
        <f t="shared" si="1222"/>
        <v>#N/A</v>
      </c>
      <c r="BJ330" s="287" t="e">
        <f t="shared" si="1223"/>
        <v>#N/A</v>
      </c>
      <c r="BK330" s="287" t="e">
        <f t="shared" si="1224"/>
        <v>#N/A</v>
      </c>
      <c r="BL330" s="287" t="e">
        <f t="shared" si="1225"/>
        <v>#N/A</v>
      </c>
      <c r="BM330" s="287" t="e">
        <f t="shared" si="1226"/>
        <v>#N/A</v>
      </c>
    </row>
    <row r="331" spans="1:65" s="102" customFormat="1" ht="15" customHeight="1" outlineLevel="2" thickBot="1" x14ac:dyDescent="0.25">
      <c r="A331" s="320" t="s">
        <v>226</v>
      </c>
      <c r="B331" s="347"/>
      <c r="C331" s="350"/>
      <c r="D331" s="344"/>
      <c r="E331" s="281" t="s">
        <v>88</v>
      </c>
      <c r="F331" s="63"/>
      <c r="G331" s="48"/>
      <c r="H331" s="48"/>
      <c r="I331" s="48"/>
      <c r="J331" s="48"/>
      <c r="K331" s="48"/>
      <c r="L331" s="48"/>
      <c r="M331" s="48"/>
      <c r="N331" s="48"/>
      <c r="O331" s="48"/>
      <c r="P331" s="48"/>
      <c r="Q331" s="51"/>
      <c r="R331" s="63"/>
      <c r="S331" s="48"/>
      <c r="T331" s="48"/>
      <c r="U331" s="48"/>
      <c r="V331" s="48"/>
      <c r="W331" s="48"/>
      <c r="X331" s="48"/>
      <c r="Y331" s="48"/>
      <c r="Z331" s="48"/>
      <c r="AA331" s="48"/>
      <c r="AB331" s="48"/>
      <c r="AC331" s="51"/>
      <c r="AD331" s="63"/>
      <c r="AE331" s="48"/>
      <c r="AF331" s="48"/>
      <c r="AG331" s="48"/>
      <c r="AH331" s="48"/>
      <c r="AI331" s="48"/>
      <c r="AJ331" s="48"/>
      <c r="AK331" s="48"/>
      <c r="AL331" s="48"/>
      <c r="AM331" s="48"/>
      <c r="AN331" s="48"/>
      <c r="AO331" s="51"/>
      <c r="AP331" s="233" t="str">
        <f>IFERROR(IF(SUM(F331:K331)&lt;&gt;0,SUM(F331:K331),""),"")</f>
        <v/>
      </c>
      <c r="AQ331" s="234" t="str">
        <f>IFERROR(IF(SUM(L331:Q331)&lt;&gt;0,SUM(L331:Q331),""),"")</f>
        <v/>
      </c>
      <c r="AR331" s="233" t="str">
        <f>IFERROR(IF(SUM(R331:W331)&lt;&gt;0,SUM(R331:W331),""),"")</f>
        <v/>
      </c>
      <c r="AS331" s="234" t="str">
        <f>IFERROR(IF(SUM(X331:AC331)&lt;&gt;0,SUM(X331:AC331),""),"")</f>
        <v/>
      </c>
      <c r="AT331" s="233" t="str">
        <f>IFERROR(IF(SUM(AD331:AI331)&lt;&gt;0,SUM(AD331:AI331),""),"")</f>
        <v/>
      </c>
      <c r="AU331" s="234" t="str">
        <f>IFERROR(IF(SUM(AJ331:AO331)&lt;&gt;0,SUM(AJ331:AO331),""),"")</f>
        <v/>
      </c>
      <c r="AV331" s="75"/>
      <c r="AW331" s="76"/>
      <c r="AX331" s="75"/>
      <c r="AY331" s="76"/>
      <c r="AZ331" s="75"/>
      <c r="BA331" s="76"/>
      <c r="BB331" s="75"/>
      <c r="BC331" s="76"/>
      <c r="BD331" s="75"/>
      <c r="BE331" s="268"/>
      <c r="BF331" s="271" t="e">
        <f t="shared" si="1219"/>
        <v>#N/A</v>
      </c>
      <c r="BG331" s="271" t="e">
        <f t="shared" si="1220"/>
        <v>#N/A</v>
      </c>
      <c r="BH331" s="271" t="e">
        <f t="shared" si="1221"/>
        <v>#N/A</v>
      </c>
      <c r="BI331" s="271" t="e">
        <f t="shared" si="1222"/>
        <v>#N/A</v>
      </c>
      <c r="BJ331" s="271" t="e">
        <f t="shared" si="1223"/>
        <v>#N/A</v>
      </c>
      <c r="BK331" s="271" t="e">
        <f t="shared" si="1224"/>
        <v>#N/A</v>
      </c>
      <c r="BL331" s="271" t="e">
        <f t="shared" si="1225"/>
        <v>#N/A</v>
      </c>
      <c r="BM331" s="271" t="e">
        <f t="shared" si="1226"/>
        <v>#N/A</v>
      </c>
    </row>
    <row r="332" spans="1:65" s="102" customFormat="1" ht="14.25" customHeight="1" outlineLevel="2" x14ac:dyDescent="0.2">
      <c r="A332" s="320" t="s">
        <v>226</v>
      </c>
      <c r="B332" s="347"/>
      <c r="C332" s="350"/>
      <c r="D332" s="344"/>
      <c r="E332" s="279" t="s">
        <v>32</v>
      </c>
      <c r="F332" s="64"/>
      <c r="G332" s="65"/>
      <c r="H332" s="65"/>
      <c r="I332" s="65"/>
      <c r="J332" s="65"/>
      <c r="K332" s="65"/>
      <c r="L332" s="65"/>
      <c r="M332" s="65"/>
      <c r="N332" s="65"/>
      <c r="O332" s="65"/>
      <c r="P332" s="65"/>
      <c r="Q332" s="66"/>
      <c r="R332" s="64"/>
      <c r="S332" s="65"/>
      <c r="T332" s="65"/>
      <c r="U332" s="65"/>
      <c r="V332" s="65"/>
      <c r="W332" s="65"/>
      <c r="X332" s="65"/>
      <c r="Y332" s="65"/>
      <c r="Z332" s="65"/>
      <c r="AA332" s="65"/>
      <c r="AB332" s="65"/>
      <c r="AC332" s="66"/>
      <c r="AD332" s="64"/>
      <c r="AE332" s="65"/>
      <c r="AF332" s="65"/>
      <c r="AG332" s="65"/>
      <c r="AH332" s="65"/>
      <c r="AI332" s="65"/>
      <c r="AJ332" s="65"/>
      <c r="AK332" s="65"/>
      <c r="AL332" s="65"/>
      <c r="AM332" s="65"/>
      <c r="AN332" s="65"/>
      <c r="AO332" s="66"/>
      <c r="AP332" s="32" t="str">
        <f>IFERROR(IF(AVERAGE(F332:K332)&lt;&gt;0,AVERAGE(F332:K332),""),"")</f>
        <v/>
      </c>
      <c r="AQ332" s="235" t="str">
        <f>IFERROR(IF(AVERAGE(L332:Q332)&lt;&gt;0,AVERAGE(L332:Q332),""),"")</f>
        <v/>
      </c>
      <c r="AR332" s="32" t="str">
        <f>IFERROR(IF(AVERAGE(R332:W332)&lt;&gt;0,AVERAGE(R332:W332),""),"")</f>
        <v/>
      </c>
      <c r="AS332" s="235" t="str">
        <f>IFERROR(IF(AVERAGE(X332:AC332)&lt;&gt;0,AVERAGE(X332:AC332),""),"")</f>
        <v/>
      </c>
      <c r="AT332" s="32" t="str">
        <f>IFERROR(IF(AVERAGE(AD332:AI332)&lt;&gt;0,AVERAGE(AD332:AI332),""),"")</f>
        <v/>
      </c>
      <c r="AU332" s="235" t="str">
        <f>IFERROR(IF(AVERAGE(AJ332:AO332)&lt;&gt;0,AVERAGE(AJ332:AO332),""),"")</f>
        <v/>
      </c>
      <c r="AV332" s="77"/>
      <c r="AW332" s="65"/>
      <c r="AX332" s="77"/>
      <c r="AY332" s="65"/>
      <c r="AZ332" s="77"/>
      <c r="BA332" s="65"/>
      <c r="BB332" s="77"/>
      <c r="BC332" s="65"/>
      <c r="BD332" s="77"/>
      <c r="BE332" s="269"/>
      <c r="BF332" s="272" t="str">
        <f>IFERROR(IF(AVERAGE(AP332:AQ332)&lt;&gt;0,AVERAGE(AP332:AQ332),""),"")</f>
        <v/>
      </c>
      <c r="BG332" s="272" t="str">
        <f>IFERROR(IF(AVERAGE(AR332:AS332)&lt;&gt;0,AVERAGE(AR332:AS332),""),"")</f>
        <v/>
      </c>
      <c r="BH332" s="272" t="str">
        <f>IFERROR(IF(AVERAGE(AT332:AU332)&lt;&gt;0,AVERAGE(AT332:AU332),""),"")</f>
        <v/>
      </c>
      <c r="BI332" s="272" t="str">
        <f>IFERROR(IF(AVERAGE(AV332:AW332)&lt;&gt;0,AVERAGE(AV332:AW332),""),"")</f>
        <v/>
      </c>
      <c r="BJ332" s="272" t="str">
        <f>IFERROR(IF(AVERAGE(AX332:AY332)&lt;&gt;0,AVERAGE(AX332:AY332),""),"")</f>
        <v/>
      </c>
      <c r="BK332" s="272" t="str">
        <f>IFERROR(IF(AVERAGE(AZ332:BA332)&lt;&gt;0,AVERAGE(AZ332:BA332),""),"")</f>
        <v/>
      </c>
      <c r="BL332" s="272" t="str">
        <f>IFERROR(IF(AVERAGE(BB332:BC332)&lt;&gt;0,AVERAGE(BB332:BC332),""),"")</f>
        <v/>
      </c>
      <c r="BM332" s="272" t="str">
        <f>IFERROR(IF(AVERAGE(BD332:BE332)&lt;&gt;0,AVERAGE(BD332:BE332),""),"")</f>
        <v/>
      </c>
    </row>
    <row r="333" spans="1:65" s="102" customFormat="1" ht="15" customHeight="1" outlineLevel="2" thickBot="1" x14ac:dyDescent="0.25">
      <c r="A333" s="320" t="s">
        <v>226</v>
      </c>
      <c r="B333" s="347"/>
      <c r="C333" s="350"/>
      <c r="D333" s="344"/>
      <c r="E333" s="281" t="s">
        <v>2</v>
      </c>
      <c r="F333" s="67"/>
      <c r="G333" s="68"/>
      <c r="H333" s="68"/>
      <c r="I333" s="68"/>
      <c r="J333" s="68"/>
      <c r="K333" s="68"/>
      <c r="L333" s="68"/>
      <c r="M333" s="68"/>
      <c r="N333" s="68"/>
      <c r="O333" s="68"/>
      <c r="P333" s="68"/>
      <c r="Q333" s="69"/>
      <c r="R333" s="67"/>
      <c r="S333" s="68"/>
      <c r="T333" s="68"/>
      <c r="U333" s="68"/>
      <c r="V333" s="68"/>
      <c r="W333" s="68"/>
      <c r="X333" s="68"/>
      <c r="Y333" s="68"/>
      <c r="Z333" s="68"/>
      <c r="AA333" s="68"/>
      <c r="AB333" s="68"/>
      <c r="AC333" s="69"/>
      <c r="AD333" s="67"/>
      <c r="AE333" s="68"/>
      <c r="AF333" s="68"/>
      <c r="AG333" s="68"/>
      <c r="AH333" s="68"/>
      <c r="AI333" s="68"/>
      <c r="AJ333" s="68"/>
      <c r="AK333" s="68"/>
      <c r="AL333" s="68"/>
      <c r="AM333" s="68"/>
      <c r="AN333" s="68"/>
      <c r="AO333" s="69"/>
      <c r="AP333" s="236" t="str">
        <f>IFERROR(IF(AVERAGE(F333:K333)&lt;&gt;0,AVERAGE(F333:K333),""),"")</f>
        <v/>
      </c>
      <c r="AQ333" s="237" t="str">
        <f>IFERROR(IF(AVERAGE(L333:Q333)&lt;&gt;0,AVERAGE(L333:Q333),""),"")</f>
        <v/>
      </c>
      <c r="AR333" s="236" t="str">
        <f>IFERROR(IF(AVERAGE(R333:W333)&lt;&gt;0,AVERAGE(R333:W333),""),"")</f>
        <v/>
      </c>
      <c r="AS333" s="237" t="str">
        <f>IFERROR(IF(AVERAGE(X333:AC333)&lt;&gt;0,AVERAGE(X333:AC333),""),"")</f>
        <v/>
      </c>
      <c r="AT333" s="236" t="str">
        <f>IFERROR(IF(AVERAGE(AD333:AI333)&lt;&gt;0,AVERAGE(AD333:AI333),""),"")</f>
        <v/>
      </c>
      <c r="AU333" s="237" t="str">
        <f>IFERROR(IF(AVERAGE(AJ333:AO333)&lt;&gt;0,AVERAGE(AJ333:AO333),""),"")</f>
        <v/>
      </c>
      <c r="AV333" s="78"/>
      <c r="AW333" s="68"/>
      <c r="AX333" s="78"/>
      <c r="AY333" s="68"/>
      <c r="AZ333" s="78"/>
      <c r="BA333" s="68"/>
      <c r="BB333" s="78"/>
      <c r="BC333" s="68"/>
      <c r="BD333" s="78"/>
      <c r="BE333" s="270"/>
      <c r="BF333" s="288" t="str">
        <f>IFERROR(IF(AVERAGE(AP333:AQ333)&lt;&gt;0,AVERAGE(AP333:AQ333),""),"")</f>
        <v/>
      </c>
      <c r="BG333" s="288" t="str">
        <f>IFERROR(IF(AVERAGE(AR333:AS333)&lt;&gt;0,AVERAGE(AR333:AS333),""),"")</f>
        <v/>
      </c>
      <c r="BH333" s="288" t="str">
        <f>IFERROR(IF(AVERAGE(AT333:AU333)&lt;&gt;0,AVERAGE(AT333:AU333),""),"")</f>
        <v/>
      </c>
      <c r="BI333" s="288" t="str">
        <f>IFERROR(IF(AVERAGE(AV333:AW333)&lt;&gt;0,AVERAGE(AV333:AW333),""),"")</f>
        <v/>
      </c>
      <c r="BJ333" s="288" t="str">
        <f>IFERROR(IF(AVERAGE(AX333:AY333)&lt;&gt;0,AVERAGE(AX333:AY333),""),"")</f>
        <v/>
      </c>
      <c r="BK333" s="288" t="str">
        <f>IFERROR(IF(AVERAGE(AZ333:BA333)&lt;&gt;0,AVERAGE(AZ333:BA333),""),"")</f>
        <v/>
      </c>
      <c r="BL333" s="288" t="str">
        <f>IFERROR(IF(AVERAGE(BB333:BC333)&lt;&gt;0,AVERAGE(BB333:BC333),""),"")</f>
        <v/>
      </c>
      <c r="BM333" s="288" t="str">
        <f>IFERROR(IF(AVERAGE(BD333:BE333)&lt;&gt;0,AVERAGE(BD333:BE333),""),"")</f>
        <v/>
      </c>
    </row>
    <row r="334" spans="1:65" s="102" customFormat="1" ht="14.25" customHeight="1" outlineLevel="1" x14ac:dyDescent="0.2">
      <c r="A334" s="320" t="s">
        <v>226</v>
      </c>
      <c r="B334" s="347"/>
      <c r="C334" s="350"/>
      <c r="D334" s="344"/>
      <c r="E334" s="282" t="s">
        <v>228</v>
      </c>
      <c r="F334" s="283" t="str">
        <f ca="1">IF(IFERROR((F$11*(F326-SUM(F328:F331)/F$11)*F333*3600)/(F332),"")&gt;0,IFERROR((F$11*(F326-SUM(F328:F331)/F$11)*F333*3600)/(F332),""),"")</f>
        <v/>
      </c>
      <c r="G334" s="284" t="str">
        <f t="shared" ref="G334:AO334" ca="1" si="1227">IF(IFERROR((G$11*(G326-SUM(G328:G331)/G$11)*G333*3600)/(G332),"")&gt;0,IFERROR((G$11*(G326-SUM(G328:G331)/G$11)*G333*3600)/(G332),""),"")</f>
        <v/>
      </c>
      <c r="H334" s="284" t="str">
        <f t="shared" ca="1" si="1227"/>
        <v/>
      </c>
      <c r="I334" s="284" t="str">
        <f t="shared" ca="1" si="1227"/>
        <v/>
      </c>
      <c r="J334" s="284" t="str">
        <f t="shared" ca="1" si="1227"/>
        <v/>
      </c>
      <c r="K334" s="284" t="str">
        <f t="shared" ca="1" si="1227"/>
        <v/>
      </c>
      <c r="L334" s="284" t="str">
        <f t="shared" ca="1" si="1227"/>
        <v/>
      </c>
      <c r="M334" s="284" t="str">
        <f t="shared" ca="1" si="1227"/>
        <v/>
      </c>
      <c r="N334" s="284" t="str">
        <f t="shared" ca="1" si="1227"/>
        <v/>
      </c>
      <c r="O334" s="284" t="str">
        <f t="shared" ca="1" si="1227"/>
        <v/>
      </c>
      <c r="P334" s="284" t="str">
        <f t="shared" ca="1" si="1227"/>
        <v/>
      </c>
      <c r="Q334" s="284" t="str">
        <f t="shared" ca="1" si="1227"/>
        <v/>
      </c>
      <c r="R334" s="283" t="str">
        <f t="shared" ca="1" si="1227"/>
        <v/>
      </c>
      <c r="S334" s="284" t="str">
        <f t="shared" ca="1" si="1227"/>
        <v/>
      </c>
      <c r="T334" s="284" t="str">
        <f t="shared" ca="1" si="1227"/>
        <v/>
      </c>
      <c r="U334" s="284" t="str">
        <f t="shared" ca="1" si="1227"/>
        <v/>
      </c>
      <c r="V334" s="284" t="str">
        <f t="shared" ca="1" si="1227"/>
        <v/>
      </c>
      <c r="W334" s="284" t="str">
        <f t="shared" ca="1" si="1227"/>
        <v/>
      </c>
      <c r="X334" s="284" t="str">
        <f t="shared" ca="1" si="1227"/>
        <v/>
      </c>
      <c r="Y334" s="284" t="str">
        <f t="shared" ca="1" si="1227"/>
        <v/>
      </c>
      <c r="Z334" s="284" t="str">
        <f t="shared" ca="1" si="1227"/>
        <v/>
      </c>
      <c r="AA334" s="284" t="str">
        <f t="shared" ca="1" si="1227"/>
        <v/>
      </c>
      <c r="AB334" s="284" t="str">
        <f t="shared" ca="1" si="1227"/>
        <v/>
      </c>
      <c r="AC334" s="284" t="str">
        <f t="shared" ca="1" si="1227"/>
        <v/>
      </c>
      <c r="AD334" s="283" t="str">
        <f t="shared" ca="1" si="1227"/>
        <v/>
      </c>
      <c r="AE334" s="284" t="str">
        <f t="shared" ca="1" si="1227"/>
        <v/>
      </c>
      <c r="AF334" s="284" t="str">
        <f t="shared" ca="1" si="1227"/>
        <v/>
      </c>
      <c r="AG334" s="284" t="str">
        <f t="shared" ca="1" si="1227"/>
        <v/>
      </c>
      <c r="AH334" s="284" t="str">
        <f t="shared" ca="1" si="1227"/>
        <v/>
      </c>
      <c r="AI334" s="284" t="str">
        <f t="shared" ca="1" si="1227"/>
        <v/>
      </c>
      <c r="AJ334" s="284" t="str">
        <f t="shared" ca="1" si="1227"/>
        <v/>
      </c>
      <c r="AK334" s="284" t="str">
        <f t="shared" ca="1" si="1227"/>
        <v/>
      </c>
      <c r="AL334" s="284" t="str">
        <f t="shared" ca="1" si="1227"/>
        <v/>
      </c>
      <c r="AM334" s="284" t="str">
        <f t="shared" ca="1" si="1227"/>
        <v/>
      </c>
      <c r="AN334" s="284" t="str">
        <f t="shared" ca="1" si="1227"/>
        <v/>
      </c>
      <c r="AO334" s="284" t="str">
        <f t="shared" ca="1" si="1227"/>
        <v/>
      </c>
      <c r="AP334" s="283" t="e">
        <f t="shared" ref="AP334:AP335" ca="1" si="1228">IF(SUM(F334:K334)&lt;&gt;0,SUM(F334:K334),#N/A)</f>
        <v>#N/A</v>
      </c>
      <c r="AQ334" s="284" t="e">
        <f t="shared" ref="AQ334:AQ335" ca="1" si="1229">IF(SUM(L334:Q334)&lt;&gt;0,SUM(L334:Q334),#N/A)</f>
        <v>#N/A</v>
      </c>
      <c r="AR334" s="283" t="e">
        <f t="shared" ref="AR334:AR335" ca="1" si="1230">IF(SUM(R334:W334)&lt;&gt;0,SUM(R334:W334),#N/A)</f>
        <v>#N/A</v>
      </c>
      <c r="AS334" s="284" t="e">
        <f t="shared" ref="AS334:AS335" ca="1" si="1231">IF(SUM(X334:AC334)&lt;&gt;0,SUM(X334:AC334),#N/A)</f>
        <v>#N/A</v>
      </c>
      <c r="AT334" s="283" t="e">
        <f t="shared" ref="AT334:AT335" ca="1" si="1232">IF(SUM(AD334:AI334)&lt;&gt;0,SUM(AD334:AI334),#N/A)</f>
        <v>#N/A</v>
      </c>
      <c r="AU334" s="284" t="e">
        <f t="shared" ref="AU334:AU335" ca="1" si="1233">IF(SUM(AJ334:AO334)&lt;&gt;0,SUM(AJ334:AO334),#N/A)</f>
        <v>#N/A</v>
      </c>
      <c r="AV334" s="283" t="str">
        <f ca="1">IF(IFERROR((AV$11*(AV326-SUM(AV328:AV331)/AV$11)*AV333*3600)/(AV332),"")&lt;&gt;0,IFERROR((AV$11*(AV326-SUM(AV328:AV331)/AV$11)*AV333*3600)/(AV332),""),"")</f>
        <v/>
      </c>
      <c r="AW334" s="284" t="str">
        <f t="shared" ref="AW334:BE334" ca="1" si="1234">IF(IFERROR((AW$11*(AW326-SUM(AW328:AW331)/AW$11)*AW333*3600)/(AW332),"")&lt;&gt;0,IFERROR((AW$11*(AW326-SUM(AW328:AW331)/AW$11)*AW333*3600)/(AW332),""),"")</f>
        <v/>
      </c>
      <c r="AX334" s="283" t="str">
        <f t="shared" ca="1" si="1234"/>
        <v/>
      </c>
      <c r="AY334" s="284" t="str">
        <f t="shared" ca="1" si="1234"/>
        <v/>
      </c>
      <c r="AZ334" s="283" t="str">
        <f t="shared" ca="1" si="1234"/>
        <v/>
      </c>
      <c r="BA334" s="284" t="str">
        <f t="shared" ca="1" si="1234"/>
        <v/>
      </c>
      <c r="BB334" s="283" t="str">
        <f t="shared" ca="1" si="1234"/>
        <v/>
      </c>
      <c r="BC334" s="284" t="str">
        <f t="shared" ca="1" si="1234"/>
        <v/>
      </c>
      <c r="BD334" s="283" t="str">
        <f t="shared" ca="1" si="1234"/>
        <v/>
      </c>
      <c r="BE334" s="285" t="str">
        <f t="shared" ca="1" si="1234"/>
        <v/>
      </c>
      <c r="BF334" s="285" t="e">
        <f t="shared" ref="BF334:BF336" ca="1" si="1235">IF(SUM(AP334,AQ334)&lt;&gt;0,SUM(AP334,AQ334),#N/A)</f>
        <v>#N/A</v>
      </c>
      <c r="BG334" s="285" t="e">
        <f t="shared" ref="BG334:BG336" ca="1" si="1236">IF(SUM(AR334,AS334)&lt;&gt;0,SUM(AR334,AS334),#N/A)</f>
        <v>#N/A</v>
      </c>
      <c r="BH334" s="285" t="e">
        <f t="shared" ref="BH334:BH336" ca="1" si="1237">IF(SUM(AT334,AU334)&lt;&gt;0,SUM(AT334,AU334),#N/A)</f>
        <v>#N/A</v>
      </c>
      <c r="BI334" s="285" t="e">
        <f t="shared" ref="BI334:BI336" ca="1" si="1238">IF(SUM(AV334,AW334)&lt;&gt;0,SUM(AV334,AW334),#N/A)</f>
        <v>#N/A</v>
      </c>
      <c r="BJ334" s="285" t="e">
        <f t="shared" ref="BJ334:BJ336" ca="1" si="1239">IF(SUM(AX334,AY334)&lt;&gt;0,SUM(AX334,AY334),#N/A)</f>
        <v>#N/A</v>
      </c>
      <c r="BK334" s="285" t="e">
        <f t="shared" ref="BK334:BK336" ca="1" si="1240">IF(SUM(AZ334,BA334)&lt;&gt;0,SUM(AZ334,BA334),#N/A)</f>
        <v>#N/A</v>
      </c>
      <c r="BL334" s="285" t="e">
        <f t="shared" ref="BL334:BL336" ca="1" si="1241">IF(SUM(BB334,BC334)&lt;&gt;0,SUM(BB334,BC334),#N/A)</f>
        <v>#N/A</v>
      </c>
      <c r="BM334" s="285" t="e">
        <f t="shared" ref="BM334:BM336" ca="1" si="1242">IF(SUM(BD334,BE334)&lt;&gt;0,SUM(BD334,BE334),#N/A)</f>
        <v>#N/A</v>
      </c>
    </row>
    <row r="335" spans="1:65" s="102" customFormat="1" ht="15" customHeight="1" outlineLevel="1" thickBot="1" x14ac:dyDescent="0.25">
      <c r="A335" s="320" t="s">
        <v>226</v>
      </c>
      <c r="B335" s="348"/>
      <c r="C335" s="351"/>
      <c r="D335" s="345"/>
      <c r="E335" s="104" t="s">
        <v>225</v>
      </c>
      <c r="F335" s="36" t="str">
        <f ca="1">IFERROR(F334+((F325*F327*F333*3600)/(F332)),"")</f>
        <v/>
      </c>
      <c r="G335" s="37" t="str">
        <f t="shared" ref="G335:AO335" ca="1" si="1243">IFERROR(G334+((G325*G327*G333*3600)/(G332)),"")</f>
        <v/>
      </c>
      <c r="H335" s="37" t="str">
        <f t="shared" ca="1" si="1243"/>
        <v/>
      </c>
      <c r="I335" s="37" t="str">
        <f t="shared" ca="1" si="1243"/>
        <v/>
      </c>
      <c r="J335" s="37" t="str">
        <f t="shared" ca="1" si="1243"/>
        <v/>
      </c>
      <c r="K335" s="37" t="str">
        <f t="shared" ca="1" si="1243"/>
        <v/>
      </c>
      <c r="L335" s="37" t="str">
        <f t="shared" ca="1" si="1243"/>
        <v/>
      </c>
      <c r="M335" s="37" t="str">
        <f t="shared" ca="1" si="1243"/>
        <v/>
      </c>
      <c r="N335" s="37" t="str">
        <f t="shared" ca="1" si="1243"/>
        <v/>
      </c>
      <c r="O335" s="37" t="str">
        <f t="shared" ca="1" si="1243"/>
        <v/>
      </c>
      <c r="P335" s="37" t="str">
        <f t="shared" ca="1" si="1243"/>
        <v/>
      </c>
      <c r="Q335" s="37" t="str">
        <f t="shared" ca="1" si="1243"/>
        <v/>
      </c>
      <c r="R335" s="36" t="str">
        <f t="shared" ca="1" si="1243"/>
        <v/>
      </c>
      <c r="S335" s="37" t="str">
        <f t="shared" ca="1" si="1243"/>
        <v/>
      </c>
      <c r="T335" s="37" t="str">
        <f t="shared" ca="1" si="1243"/>
        <v/>
      </c>
      <c r="U335" s="37" t="str">
        <f t="shared" ca="1" si="1243"/>
        <v/>
      </c>
      <c r="V335" s="37" t="str">
        <f t="shared" ca="1" si="1243"/>
        <v/>
      </c>
      <c r="W335" s="37" t="str">
        <f t="shared" ca="1" si="1243"/>
        <v/>
      </c>
      <c r="X335" s="37" t="str">
        <f t="shared" ca="1" si="1243"/>
        <v/>
      </c>
      <c r="Y335" s="37" t="str">
        <f t="shared" ca="1" si="1243"/>
        <v/>
      </c>
      <c r="Z335" s="37" t="str">
        <f t="shared" ca="1" si="1243"/>
        <v/>
      </c>
      <c r="AA335" s="37" t="str">
        <f t="shared" ca="1" si="1243"/>
        <v/>
      </c>
      <c r="AB335" s="37" t="str">
        <f t="shared" ca="1" si="1243"/>
        <v/>
      </c>
      <c r="AC335" s="37" t="str">
        <f t="shared" ca="1" si="1243"/>
        <v/>
      </c>
      <c r="AD335" s="36" t="str">
        <f t="shared" ca="1" si="1243"/>
        <v/>
      </c>
      <c r="AE335" s="37" t="str">
        <f t="shared" ca="1" si="1243"/>
        <v/>
      </c>
      <c r="AF335" s="37" t="str">
        <f t="shared" ca="1" si="1243"/>
        <v/>
      </c>
      <c r="AG335" s="37" t="str">
        <f t="shared" ca="1" si="1243"/>
        <v/>
      </c>
      <c r="AH335" s="37" t="str">
        <f t="shared" ca="1" si="1243"/>
        <v/>
      </c>
      <c r="AI335" s="37" t="str">
        <f t="shared" ca="1" si="1243"/>
        <v/>
      </c>
      <c r="AJ335" s="37" t="str">
        <f t="shared" ca="1" si="1243"/>
        <v/>
      </c>
      <c r="AK335" s="37" t="str">
        <f t="shared" ca="1" si="1243"/>
        <v/>
      </c>
      <c r="AL335" s="37" t="str">
        <f t="shared" ca="1" si="1243"/>
        <v/>
      </c>
      <c r="AM335" s="37" t="str">
        <f t="shared" ca="1" si="1243"/>
        <v/>
      </c>
      <c r="AN335" s="37" t="str">
        <f t="shared" ca="1" si="1243"/>
        <v/>
      </c>
      <c r="AO335" s="37" t="str">
        <f t="shared" ca="1" si="1243"/>
        <v/>
      </c>
      <c r="AP335" s="36" t="e">
        <f t="shared" ca="1" si="1228"/>
        <v>#N/A</v>
      </c>
      <c r="AQ335" s="37" t="e">
        <f t="shared" ca="1" si="1229"/>
        <v>#N/A</v>
      </c>
      <c r="AR335" s="36" t="e">
        <f t="shared" ca="1" si="1230"/>
        <v>#N/A</v>
      </c>
      <c r="AS335" s="37" t="e">
        <f t="shared" ca="1" si="1231"/>
        <v>#N/A</v>
      </c>
      <c r="AT335" s="36" t="e">
        <f t="shared" ca="1" si="1232"/>
        <v>#N/A</v>
      </c>
      <c r="AU335" s="37" t="e">
        <f t="shared" ca="1" si="1233"/>
        <v>#N/A</v>
      </c>
      <c r="AV335" s="36" t="str">
        <f t="shared" ref="AV335:BE335" ca="1" si="1244">IFERROR(AV334+((AV325*AV327*AV333*3600)/(AV332)),"")</f>
        <v/>
      </c>
      <c r="AW335" s="37" t="str">
        <f t="shared" ca="1" si="1244"/>
        <v/>
      </c>
      <c r="AX335" s="36" t="str">
        <f t="shared" ca="1" si="1244"/>
        <v/>
      </c>
      <c r="AY335" s="37" t="str">
        <f t="shared" ca="1" si="1244"/>
        <v/>
      </c>
      <c r="AZ335" s="36" t="str">
        <f t="shared" ca="1" si="1244"/>
        <v/>
      </c>
      <c r="BA335" s="37" t="str">
        <f t="shared" ca="1" si="1244"/>
        <v/>
      </c>
      <c r="BB335" s="36" t="str">
        <f t="shared" ca="1" si="1244"/>
        <v/>
      </c>
      <c r="BC335" s="37" t="str">
        <f t="shared" ca="1" si="1244"/>
        <v/>
      </c>
      <c r="BD335" s="36" t="str">
        <f t="shared" ca="1" si="1244"/>
        <v/>
      </c>
      <c r="BE335" s="43" t="str">
        <f t="shared" ca="1" si="1244"/>
        <v/>
      </c>
      <c r="BF335" s="43" t="e">
        <f t="shared" ca="1" si="1235"/>
        <v>#N/A</v>
      </c>
      <c r="BG335" s="43" t="e">
        <f t="shared" ca="1" si="1236"/>
        <v>#N/A</v>
      </c>
      <c r="BH335" s="43" t="e">
        <f t="shared" ca="1" si="1237"/>
        <v>#N/A</v>
      </c>
      <c r="BI335" s="43" t="e">
        <f t="shared" ca="1" si="1238"/>
        <v>#N/A</v>
      </c>
      <c r="BJ335" s="43" t="e">
        <f t="shared" ca="1" si="1239"/>
        <v>#N/A</v>
      </c>
      <c r="BK335" s="43" t="e">
        <f t="shared" ca="1" si="1240"/>
        <v>#N/A</v>
      </c>
      <c r="BL335" s="43" t="e">
        <f t="shared" ca="1" si="1241"/>
        <v>#N/A</v>
      </c>
      <c r="BM335" s="43" t="e">
        <f t="shared" ca="1" si="1242"/>
        <v>#N/A</v>
      </c>
    </row>
    <row r="336" spans="1:65" s="102" customFormat="1" ht="22.5" outlineLevel="2" x14ac:dyDescent="0.2">
      <c r="A336" s="320" t="s">
        <v>226</v>
      </c>
      <c r="B336" s="346"/>
      <c r="C336" s="349" t="str">
        <f t="shared" ref="C336" si="1245">IF(AND($B336&lt;&gt;0,$C$9&lt;&gt;0),$C$9,"")</f>
        <v/>
      </c>
      <c r="D336" s="343"/>
      <c r="E336" s="277" t="s">
        <v>40</v>
      </c>
      <c r="F336" s="33">
        <f ca="1">IF(F$11-(SUM(F340:F343)/24)=0,"",F$11-(SUM(F340:F343)/24))</f>
        <v>27</v>
      </c>
      <c r="G336" s="34">
        <f t="shared" ref="G336:AO336" ca="1" si="1246">IF(G$11-(SUM(G340:G343)/24)=0,"",G$11-(SUM(G340:G343)/24))</f>
        <v>24</v>
      </c>
      <c r="H336" s="34">
        <f t="shared" ca="1" si="1246"/>
        <v>26</v>
      </c>
      <c r="I336" s="34">
        <f t="shared" ca="1" si="1246"/>
        <v>26</v>
      </c>
      <c r="J336" s="34">
        <f t="shared" ca="1" si="1246"/>
        <v>27</v>
      </c>
      <c r="K336" s="34">
        <f t="shared" ca="1" si="1246"/>
        <v>25</v>
      </c>
      <c r="L336" s="34">
        <f t="shared" ca="1" si="1246"/>
        <v>27</v>
      </c>
      <c r="M336" s="34">
        <f t="shared" ca="1" si="1246"/>
        <v>26</v>
      </c>
      <c r="N336" s="34">
        <f t="shared" ca="1" si="1246"/>
        <v>26</v>
      </c>
      <c r="O336" s="34">
        <f t="shared" ca="1" si="1246"/>
        <v>27</v>
      </c>
      <c r="P336" s="34">
        <f t="shared" ca="1" si="1246"/>
        <v>25</v>
      </c>
      <c r="Q336" s="34">
        <f t="shared" ca="1" si="1246"/>
        <v>27</v>
      </c>
      <c r="R336" s="32">
        <f t="shared" ca="1" si="1246"/>
        <v>27</v>
      </c>
      <c r="S336" s="29">
        <f t="shared" ca="1" si="1246"/>
        <v>24</v>
      </c>
      <c r="T336" s="29">
        <f t="shared" ca="1" si="1246"/>
        <v>26</v>
      </c>
      <c r="U336" s="29">
        <f t="shared" ca="1" si="1246"/>
        <v>26</v>
      </c>
      <c r="V336" s="29">
        <f t="shared" ca="1" si="1246"/>
        <v>26</v>
      </c>
      <c r="W336" s="29">
        <f t="shared" ca="1" si="1246"/>
        <v>26</v>
      </c>
      <c r="X336" s="29">
        <f t="shared" ca="1" si="1246"/>
        <v>27</v>
      </c>
      <c r="Y336" s="29">
        <f t="shared" ca="1" si="1246"/>
        <v>26</v>
      </c>
      <c r="Z336" s="29">
        <f t="shared" ca="1" si="1246"/>
        <v>26</v>
      </c>
      <c r="AA336" s="29">
        <f t="shared" ca="1" si="1246"/>
        <v>27</v>
      </c>
      <c r="AB336" s="29">
        <f t="shared" ca="1" si="1246"/>
        <v>25</v>
      </c>
      <c r="AC336" s="29">
        <f t="shared" ca="1" si="1246"/>
        <v>27</v>
      </c>
      <c r="AD336" s="32">
        <f t="shared" ca="1" si="1246"/>
        <v>26</v>
      </c>
      <c r="AE336" s="29">
        <f t="shared" ca="1" si="1246"/>
        <v>24</v>
      </c>
      <c r="AF336" s="29">
        <f t="shared" ca="1" si="1246"/>
        <v>27</v>
      </c>
      <c r="AG336" s="29">
        <f t="shared" ca="1" si="1246"/>
        <v>26</v>
      </c>
      <c r="AH336" s="29">
        <f t="shared" ca="1" si="1246"/>
        <v>26</v>
      </c>
      <c r="AI336" s="29">
        <f t="shared" ca="1" si="1246"/>
        <v>26</v>
      </c>
      <c r="AJ336" s="29">
        <f t="shared" ca="1" si="1246"/>
        <v>27</v>
      </c>
      <c r="AK336" s="29">
        <f t="shared" ca="1" si="1246"/>
        <v>26</v>
      </c>
      <c r="AL336" s="29">
        <f t="shared" ca="1" si="1246"/>
        <v>26</v>
      </c>
      <c r="AM336" s="29">
        <f t="shared" ca="1" si="1246"/>
        <v>26</v>
      </c>
      <c r="AN336" s="29">
        <f t="shared" ca="1" si="1246"/>
        <v>26</v>
      </c>
      <c r="AO336" s="29">
        <f t="shared" ca="1" si="1246"/>
        <v>27</v>
      </c>
      <c r="AP336" s="32">
        <f ca="1">IF(SUM(F336:K336)&lt;&gt;0,SUM(F336:K336),"")</f>
        <v>155</v>
      </c>
      <c r="AQ336" s="29">
        <f ca="1">IF(SUM(L336:Q336)&lt;&gt;0,SUM(L336:Q336),"")</f>
        <v>158</v>
      </c>
      <c r="AR336" s="32">
        <f ca="1">IF(SUM(R336:W336)&lt;&gt;0,SUM(R336:W336),"")</f>
        <v>155</v>
      </c>
      <c r="AS336" s="29">
        <f ca="1">IF(SUM(X336:AC336)&lt;&gt;0,SUM(X336:AC336),"")</f>
        <v>158</v>
      </c>
      <c r="AT336" s="32">
        <f ca="1">IF(SUM(AD336:AI336)&lt;&gt;0,SUM(AD336:AI336),"")</f>
        <v>155</v>
      </c>
      <c r="AU336" s="296">
        <f ca="1">SUM(AJ336:AO336)</f>
        <v>158</v>
      </c>
      <c r="AV336" s="32">
        <f t="shared" ref="AV336:BE336" ca="1" si="1247">IF(AV$11-(SUM(AV340:AV343)/24)=0,"",AV$11-(SUM(AV340:AV343)/24))</f>
        <v>156</v>
      </c>
      <c r="AW336" s="29">
        <f t="shared" ca="1" si="1247"/>
        <v>157</v>
      </c>
      <c r="AX336" s="32">
        <f t="shared" ca="1" si="1247"/>
        <v>156</v>
      </c>
      <c r="AY336" s="29">
        <f t="shared" ca="1" si="1247"/>
        <v>158</v>
      </c>
      <c r="AZ336" s="32">
        <f t="shared" ca="1" si="1247"/>
        <v>155</v>
      </c>
      <c r="BA336" s="29">
        <f t="shared" ca="1" si="1247"/>
        <v>158</v>
      </c>
      <c r="BB336" s="32">
        <f t="shared" ca="1" si="1247"/>
        <v>155</v>
      </c>
      <c r="BC336" s="29">
        <f t="shared" ca="1" si="1247"/>
        <v>158</v>
      </c>
      <c r="BD336" s="32">
        <f t="shared" ca="1" si="1247"/>
        <v>156</v>
      </c>
      <c r="BE336" s="262">
        <f t="shared" ca="1" si="1247"/>
        <v>158</v>
      </c>
      <c r="BF336" s="286">
        <f t="shared" ca="1" si="1235"/>
        <v>313</v>
      </c>
      <c r="BG336" s="286">
        <f t="shared" ca="1" si="1236"/>
        <v>313</v>
      </c>
      <c r="BH336" s="286">
        <f t="shared" ca="1" si="1237"/>
        <v>313</v>
      </c>
      <c r="BI336" s="286">
        <f t="shared" ca="1" si="1238"/>
        <v>313</v>
      </c>
      <c r="BJ336" s="286">
        <f t="shared" ca="1" si="1239"/>
        <v>314</v>
      </c>
      <c r="BK336" s="286">
        <f t="shared" ca="1" si="1240"/>
        <v>313</v>
      </c>
      <c r="BL336" s="286">
        <f t="shared" ca="1" si="1241"/>
        <v>313</v>
      </c>
      <c r="BM336" s="286">
        <f t="shared" ca="1" si="1242"/>
        <v>314</v>
      </c>
    </row>
    <row r="337" spans="1:65" s="102" customFormat="1" ht="15" customHeight="1" outlineLevel="2" thickBot="1" x14ac:dyDescent="0.25">
      <c r="A337" s="320" t="s">
        <v>226</v>
      </c>
      <c r="B337" s="347"/>
      <c r="C337" s="350"/>
      <c r="D337" s="344"/>
      <c r="E337" s="278" t="s">
        <v>29</v>
      </c>
      <c r="F337" s="47"/>
      <c r="G337" s="48"/>
      <c r="H337" s="48"/>
      <c r="I337" s="48"/>
      <c r="J337" s="48"/>
      <c r="K337" s="48"/>
      <c r="L337" s="48"/>
      <c r="M337" s="48"/>
      <c r="N337" s="48"/>
      <c r="O337" s="48"/>
      <c r="P337" s="48"/>
      <c r="Q337" s="51"/>
      <c r="R337" s="47"/>
      <c r="S337" s="48"/>
      <c r="T337" s="48"/>
      <c r="U337" s="48"/>
      <c r="V337" s="48"/>
      <c r="W337" s="48"/>
      <c r="X337" s="48"/>
      <c r="Y337" s="48"/>
      <c r="Z337" s="48"/>
      <c r="AA337" s="48"/>
      <c r="AB337" s="48"/>
      <c r="AC337" s="51"/>
      <c r="AD337" s="47"/>
      <c r="AE337" s="48"/>
      <c r="AF337" s="48"/>
      <c r="AG337" s="48"/>
      <c r="AH337" s="48"/>
      <c r="AI337" s="48"/>
      <c r="AJ337" s="48"/>
      <c r="AK337" s="48"/>
      <c r="AL337" s="48"/>
      <c r="AM337" s="48"/>
      <c r="AN337" s="48"/>
      <c r="AO337" s="51"/>
      <c r="AP337" s="294" t="str">
        <f>IFERROR(IF(SUM(F337:K337)&lt;&gt;0,SUM(F337:K337),""),"")</f>
        <v/>
      </c>
      <c r="AQ337" s="295" t="str">
        <f>IFERROR(IF(SUM(L337:Q337)&lt;&gt;0,SUM(L337:Q337),""),"")</f>
        <v/>
      </c>
      <c r="AR337" s="294" t="str">
        <f>IFERROR(IF(SUM(R337:W337)&lt;&gt;0,SUM(R337:W337),""),"")</f>
        <v/>
      </c>
      <c r="AS337" s="295" t="str">
        <f>IFERROR(IF(SUM(X337:AC337)&lt;&gt;0,SUM(X337:AC337),""),"")</f>
        <v/>
      </c>
      <c r="AT337" s="294" t="str">
        <f>IFERROR(IF(SUM(AD337:AI337)&lt;&gt;0,SUM(AD337:AI337),""),"")</f>
        <v/>
      </c>
      <c r="AU337" s="295" t="str">
        <f>IFERROR(IF(SUM(AJ337:AO337)&lt;&gt;0,SUM(AJ337:AO337),""),"")</f>
        <v/>
      </c>
      <c r="AV337" s="47"/>
      <c r="AW337" s="51"/>
      <c r="AX337" s="47"/>
      <c r="AY337" s="51"/>
      <c r="AZ337" s="47"/>
      <c r="BA337" s="51"/>
      <c r="BB337" s="47"/>
      <c r="BC337" s="51"/>
      <c r="BD337" s="47"/>
      <c r="BE337" s="263"/>
      <c r="BF337" s="271" t="str">
        <f>IFERROR(IF(AVERAGE(AP337:AQ337)&lt;&gt;0,AVERAGE(AP337:AQ337),""),"")</f>
        <v/>
      </c>
      <c r="BG337" s="271" t="str">
        <f>IFERROR(IF(AVERAGE(AR337:AS337)&lt;&gt;0,AVERAGE(AR337:AS337),""),"")</f>
        <v/>
      </c>
      <c r="BH337" s="271" t="str">
        <f>IFERROR(IF(AVERAGE(AT337:AU337)&lt;&gt;0,AVERAGE(AT337:AU337),""),"")</f>
        <v/>
      </c>
      <c r="BI337" s="271" t="str">
        <f>IFERROR(IF(AVERAGE(AV337:AW337)&lt;&gt;0,AVERAGE(AV337:AW337),""),"")</f>
        <v/>
      </c>
      <c r="BJ337" s="271" t="str">
        <f>IFERROR(IF(AVERAGE(AX337:AY337)&lt;&gt;0,AVERAGE(AX337:AY337),""),"")</f>
        <v/>
      </c>
      <c r="BK337" s="271" t="str">
        <f>IFERROR(IF(AVERAGE(AZ337:BA337)&lt;&gt;0,AVERAGE(AZ337:BA337),""),"")</f>
        <v/>
      </c>
      <c r="BL337" s="271" t="str">
        <f>IFERROR(IF(AVERAGE(BB337:BC337)&lt;&gt;0,AVERAGE(BB337:BC337),""),"")</f>
        <v/>
      </c>
      <c r="BM337" s="271" t="str">
        <f>IFERROR(IF(AVERAGE(BD337:BE337)&lt;&gt;0,AVERAGE(BD337:BE337),""),"")</f>
        <v/>
      </c>
    </row>
    <row r="338" spans="1:65" s="102" customFormat="1" ht="14.25" customHeight="1" outlineLevel="2" x14ac:dyDescent="0.2">
      <c r="A338" s="320" t="s">
        <v>226</v>
      </c>
      <c r="B338" s="347"/>
      <c r="C338" s="350"/>
      <c r="D338" s="344"/>
      <c r="E338" s="279" t="s">
        <v>28</v>
      </c>
      <c r="F338" s="52"/>
      <c r="G338" s="53"/>
      <c r="H338" s="53"/>
      <c r="I338" s="53"/>
      <c r="J338" s="53"/>
      <c r="K338" s="53"/>
      <c r="L338" s="53"/>
      <c r="M338" s="53"/>
      <c r="N338" s="53"/>
      <c r="O338" s="53"/>
      <c r="P338" s="53"/>
      <c r="Q338" s="54"/>
      <c r="R338" s="52"/>
      <c r="S338" s="53"/>
      <c r="T338" s="53"/>
      <c r="U338" s="53"/>
      <c r="V338" s="53"/>
      <c r="W338" s="53"/>
      <c r="X338" s="53"/>
      <c r="Y338" s="53"/>
      <c r="Z338" s="53"/>
      <c r="AA338" s="53"/>
      <c r="AB338" s="53"/>
      <c r="AC338" s="54"/>
      <c r="AD338" s="52"/>
      <c r="AE338" s="53"/>
      <c r="AF338" s="53"/>
      <c r="AG338" s="53"/>
      <c r="AH338" s="53"/>
      <c r="AI338" s="53"/>
      <c r="AJ338" s="53"/>
      <c r="AK338" s="53"/>
      <c r="AL338" s="53"/>
      <c r="AM338" s="53"/>
      <c r="AN338" s="53"/>
      <c r="AO338" s="54"/>
      <c r="AP338" s="225" t="str">
        <f>IFERROR(IF(AVERAGE(F338:K338)&lt;&gt;0,AVERAGE(F338:K338),""),"")</f>
        <v/>
      </c>
      <c r="AQ338" s="226" t="str">
        <f>IFERROR(IF(AVERAGE(L338:Q338)&lt;&gt;0,AVERAGE(L338:Q338),""),"")</f>
        <v/>
      </c>
      <c r="AR338" s="225" t="str">
        <f>IFERROR(IF(AVERAGE(R338:W338)&lt;&gt;0,AVERAGE(R338:W338),""),"")</f>
        <v/>
      </c>
      <c r="AS338" s="226" t="str">
        <f>IFERROR(IF(AVERAGE(X338:AC338)&lt;&gt;0,AVERAGE(X338:AC338),""),"")</f>
        <v/>
      </c>
      <c r="AT338" s="225" t="str">
        <f>IFERROR(IF(AVERAGE(AD338:AI338)&lt;&gt;0,AVERAGE(AD338:AI338),""),"")</f>
        <v/>
      </c>
      <c r="AU338" s="226" t="str">
        <f>IFERROR(IF(AVERAGE(AJ338:AO338)&lt;&gt;0,AVERAGE(AJ338:AO338),""),"")</f>
        <v/>
      </c>
      <c r="AV338" s="70"/>
      <c r="AW338" s="53"/>
      <c r="AX338" s="70"/>
      <c r="AY338" s="53"/>
      <c r="AZ338" s="70"/>
      <c r="BA338" s="53"/>
      <c r="BB338" s="70"/>
      <c r="BC338" s="53"/>
      <c r="BD338" s="70"/>
      <c r="BE338" s="264"/>
      <c r="BF338" s="272" t="str">
        <f>IFERROR(IF(AVERAGE(AP338:AQ338)&lt;&gt;0,AVERAGE(AP338:AQ338),""),"")</f>
        <v/>
      </c>
      <c r="BG338" s="272" t="str">
        <f>IFERROR(IF(AVERAGE(AR338:AS338)&lt;&gt;0,AVERAGE(AR338:AS338),""),"")</f>
        <v/>
      </c>
      <c r="BH338" s="272" t="str">
        <f>IFERROR(IF(AVERAGE(AT338:AU338)&lt;&gt;0,AVERAGE(AT338:AU338),""),"")</f>
        <v/>
      </c>
      <c r="BI338" s="272" t="str">
        <f>IFERROR(IF(AVERAGE(AV338:AW338)&lt;&gt;0,AVERAGE(AV338:AW338),""),"")</f>
        <v/>
      </c>
      <c r="BJ338" s="272" t="str">
        <f>IFERROR(IF(AVERAGE(AX338:AY338)&lt;&gt;0,AVERAGE(AX338:AY338),""),"")</f>
        <v/>
      </c>
      <c r="BK338" s="272" t="str">
        <f>IFERROR(IF(AVERAGE(AZ338:BA338)&lt;&gt;0,AVERAGE(AZ338:BA338),""),"")</f>
        <v/>
      </c>
      <c r="BL338" s="272" t="str">
        <f>IFERROR(IF(AVERAGE(BB338:BC338)&lt;&gt;0,AVERAGE(BB338:BC338),""),"")</f>
        <v/>
      </c>
      <c r="BM338" s="272" t="str">
        <f>IFERROR(IF(AVERAGE(BD338:BE338)&lt;&gt;0,AVERAGE(BD338:BE338),""),"")</f>
        <v/>
      </c>
    </row>
    <row r="339" spans="1:65" s="102" customFormat="1" ht="15" customHeight="1" outlineLevel="2" thickBot="1" x14ac:dyDescent="0.25">
      <c r="A339" s="320" t="s">
        <v>226</v>
      </c>
      <c r="B339" s="347"/>
      <c r="C339" s="350"/>
      <c r="D339" s="344"/>
      <c r="E339" s="278" t="s">
        <v>30</v>
      </c>
      <c r="F339" s="55"/>
      <c r="G339" s="56"/>
      <c r="H339" s="56"/>
      <c r="I339" s="56"/>
      <c r="J339" s="56"/>
      <c r="K339" s="56"/>
      <c r="L339" s="56"/>
      <c r="M339" s="56"/>
      <c r="N339" s="56"/>
      <c r="O339" s="56"/>
      <c r="P339" s="56"/>
      <c r="Q339" s="57"/>
      <c r="R339" s="55"/>
      <c r="S339" s="56"/>
      <c r="T339" s="56"/>
      <c r="U339" s="56"/>
      <c r="V339" s="56"/>
      <c r="W339" s="56"/>
      <c r="X339" s="56"/>
      <c r="Y339" s="56"/>
      <c r="Z339" s="56"/>
      <c r="AA339" s="56"/>
      <c r="AB339" s="56"/>
      <c r="AC339" s="57"/>
      <c r="AD339" s="55"/>
      <c r="AE339" s="56"/>
      <c r="AF339" s="56"/>
      <c r="AG339" s="56"/>
      <c r="AH339" s="56"/>
      <c r="AI339" s="56"/>
      <c r="AJ339" s="56"/>
      <c r="AK339" s="56"/>
      <c r="AL339" s="56"/>
      <c r="AM339" s="56"/>
      <c r="AN339" s="56"/>
      <c r="AO339" s="57"/>
      <c r="AP339" s="227" t="str">
        <f>IFERROR(IF(AVERAGE(F339:K339)&lt;&gt;0,AVERAGE(F339:K339),""),"")</f>
        <v/>
      </c>
      <c r="AQ339" s="228" t="str">
        <f>IFERROR(IF(AVERAGE(L339:Q339)&lt;&gt;0,AVERAGE(L339:Q339),""),"")</f>
        <v/>
      </c>
      <c r="AR339" s="227" t="str">
        <f>IFERROR(IF(AVERAGE(R339:W339)&lt;&gt;0,AVERAGE(R339:W339),""),"")</f>
        <v/>
      </c>
      <c r="AS339" s="228" t="str">
        <f>IFERROR(IF(AVERAGE(X339:AC339)&lt;&gt;0,AVERAGE(X339:AC339),""),"")</f>
        <v/>
      </c>
      <c r="AT339" s="227" t="str">
        <f>IFERROR(IF(AVERAGE(AD339:AI339)&lt;&gt;0,AVERAGE(AD339:AI339),""),"")</f>
        <v/>
      </c>
      <c r="AU339" s="228" t="str">
        <f>IFERROR(IF(AVERAGE(AJ339:AO339)&lt;&gt;0,AVERAGE(AJ339:AO339),""),"")</f>
        <v/>
      </c>
      <c r="AV339" s="71"/>
      <c r="AW339" s="56"/>
      <c r="AX339" s="71"/>
      <c r="AY339" s="56"/>
      <c r="AZ339" s="71"/>
      <c r="BA339" s="56"/>
      <c r="BB339" s="71"/>
      <c r="BC339" s="56"/>
      <c r="BD339" s="71"/>
      <c r="BE339" s="265"/>
      <c r="BF339" s="273" t="str">
        <f>IFERROR(IF(AVERAGE(AP339:AQ339)&lt;&gt;0,AVERAGE(AP339:AQ339),""),"")</f>
        <v/>
      </c>
      <c r="BG339" s="273" t="str">
        <f>IFERROR(IF(AVERAGE(AR339:AS339)&lt;&gt;0,AVERAGE(AR339:AS339),""),"")</f>
        <v/>
      </c>
      <c r="BH339" s="273" t="str">
        <f>IFERROR(IF(AVERAGE(AT339:AU339)&lt;&gt;0,AVERAGE(AT339:AU339),""),"")</f>
        <v/>
      </c>
      <c r="BI339" s="273" t="str">
        <f>IFERROR(IF(AVERAGE(AV339:AW339)&lt;&gt;0,AVERAGE(AV339:AW339),""),"")</f>
        <v/>
      </c>
      <c r="BJ339" s="273" t="str">
        <f>IFERROR(IF(AVERAGE(AX339:AY339)&lt;&gt;0,AVERAGE(AX339:AY339),""),"")</f>
        <v/>
      </c>
      <c r="BK339" s="273" t="str">
        <f>IFERROR(IF(AVERAGE(AZ339:BA339)&lt;&gt;0,AVERAGE(AZ339:BA339),""),"")</f>
        <v/>
      </c>
      <c r="BL339" s="273" t="str">
        <f>IFERROR(IF(AVERAGE(BB339:BC339)&lt;&gt;0,AVERAGE(BB339:BC339),""),"")</f>
        <v/>
      </c>
      <c r="BM339" s="273" t="str">
        <f>IFERROR(IF(AVERAGE(BD339:BE339)&lt;&gt;0,AVERAGE(BD339:BE339),""),"")</f>
        <v/>
      </c>
    </row>
    <row r="340" spans="1:65" s="102" customFormat="1" ht="14.25" customHeight="1" outlineLevel="2" x14ac:dyDescent="0.2">
      <c r="A340" s="320" t="s">
        <v>226</v>
      </c>
      <c r="B340" s="347"/>
      <c r="C340" s="350"/>
      <c r="D340" s="344"/>
      <c r="E340" s="279" t="s">
        <v>25</v>
      </c>
      <c r="F340" s="58"/>
      <c r="G340" s="50"/>
      <c r="H340" s="50"/>
      <c r="I340" s="50"/>
      <c r="J340" s="50"/>
      <c r="K340" s="50"/>
      <c r="L340" s="50"/>
      <c r="M340" s="50"/>
      <c r="N340" s="50"/>
      <c r="O340" s="50"/>
      <c r="P340" s="50"/>
      <c r="Q340" s="59"/>
      <c r="R340" s="58"/>
      <c r="S340" s="50"/>
      <c r="T340" s="50"/>
      <c r="U340" s="50"/>
      <c r="V340" s="50"/>
      <c r="W340" s="50"/>
      <c r="X340" s="50"/>
      <c r="Y340" s="50"/>
      <c r="Z340" s="50"/>
      <c r="AA340" s="50"/>
      <c r="AB340" s="50"/>
      <c r="AC340" s="59"/>
      <c r="AD340" s="58"/>
      <c r="AE340" s="50"/>
      <c r="AF340" s="50"/>
      <c r="AG340" s="50"/>
      <c r="AH340" s="50"/>
      <c r="AI340" s="50"/>
      <c r="AJ340" s="50"/>
      <c r="AK340" s="50"/>
      <c r="AL340" s="50"/>
      <c r="AM340" s="50"/>
      <c r="AN340" s="50"/>
      <c r="AO340" s="59"/>
      <c r="AP340" s="229" t="str">
        <f>IFERROR(IF(SUM(F340:K340)&lt;&gt;0,SUM(F340:K340),""),"")</f>
        <v/>
      </c>
      <c r="AQ340" s="230" t="str">
        <f>IFERROR(IF(SUM(L340:Q340)&lt;&gt;0,SUM(L340:Q340),""),"")</f>
        <v/>
      </c>
      <c r="AR340" s="229" t="str">
        <f>IFERROR(IF(SUM(R340:W340)&lt;&gt;0,SUM(R340:W340),""),"")</f>
        <v/>
      </c>
      <c r="AS340" s="230" t="str">
        <f>IFERROR(IF(SUM(X340:AC340)&lt;&gt;0,SUM(X340:AC340),""),"")</f>
        <v/>
      </c>
      <c r="AT340" s="229" t="str">
        <f>IFERROR(IF(SUM(AD340:AI340)&lt;&gt;0,SUM(AD340:AI340),""),"")</f>
        <v/>
      </c>
      <c r="AU340" s="230" t="str">
        <f>IFERROR(IF(SUM(AJ340:AO340)&lt;&gt;0,SUM(AJ340:AO340),""),"")</f>
        <v/>
      </c>
      <c r="AV340" s="72"/>
      <c r="AW340" s="73"/>
      <c r="AX340" s="72"/>
      <c r="AY340" s="73"/>
      <c r="AZ340" s="72"/>
      <c r="BA340" s="73"/>
      <c r="BB340" s="72"/>
      <c r="BC340" s="73"/>
      <c r="BD340" s="72"/>
      <c r="BE340" s="266"/>
      <c r="BF340" s="286" t="e">
        <f t="shared" ref="BF340:BF343" si="1248">IF(SUM(AP340,AQ340)&lt;&gt;0,SUM(AP340,AQ340),#N/A)</f>
        <v>#N/A</v>
      </c>
      <c r="BG340" s="286" t="e">
        <f t="shared" ref="BG340:BG343" si="1249">IF(SUM(AR340,AS340)&lt;&gt;0,SUM(AR340,AS340),#N/A)</f>
        <v>#N/A</v>
      </c>
      <c r="BH340" s="286" t="e">
        <f t="shared" ref="BH340:BH343" si="1250">IF(SUM(AT340,AU340)&lt;&gt;0,SUM(AT340,AU340),#N/A)</f>
        <v>#N/A</v>
      </c>
      <c r="BI340" s="286" t="e">
        <f t="shared" ref="BI340:BI343" si="1251">IF(SUM(AV340,AW340)&lt;&gt;0,SUM(AV340,AW340),#N/A)</f>
        <v>#N/A</v>
      </c>
      <c r="BJ340" s="286" t="e">
        <f t="shared" ref="BJ340:BJ343" si="1252">IF(SUM(AX340,AY340)&lt;&gt;0,SUM(AX340,AY340),#N/A)</f>
        <v>#N/A</v>
      </c>
      <c r="BK340" s="286" t="e">
        <f t="shared" ref="BK340:BK343" si="1253">IF(SUM(AZ340,BA340)&lt;&gt;0,SUM(AZ340,BA340),#N/A)</f>
        <v>#N/A</v>
      </c>
      <c r="BL340" s="286" t="e">
        <f t="shared" ref="BL340:BL343" si="1254">IF(SUM(BB340,BC340)&lt;&gt;0,SUM(BB340,BC340),#N/A)</f>
        <v>#N/A</v>
      </c>
      <c r="BM340" s="286" t="e">
        <f t="shared" ref="BM340:BM343" si="1255">IF(SUM(BD340,BE340)&lt;&gt;0,SUM(BD340,BE340),#N/A)</f>
        <v>#N/A</v>
      </c>
    </row>
    <row r="341" spans="1:65" s="102" customFormat="1" ht="14.25" customHeight="1" outlineLevel="2" x14ac:dyDescent="0.2">
      <c r="A341" s="320" t="s">
        <v>226</v>
      </c>
      <c r="B341" s="347"/>
      <c r="C341" s="350"/>
      <c r="D341" s="344"/>
      <c r="E341" s="280" t="s">
        <v>26</v>
      </c>
      <c r="F341" s="60"/>
      <c r="G341" s="61"/>
      <c r="H341" s="61"/>
      <c r="I341" s="61"/>
      <c r="J341" s="61"/>
      <c r="K341" s="61"/>
      <c r="L341" s="61"/>
      <c r="M341" s="61"/>
      <c r="N341" s="61"/>
      <c r="O341" s="61"/>
      <c r="P341" s="61"/>
      <c r="Q341" s="62"/>
      <c r="R341" s="60"/>
      <c r="S341" s="61"/>
      <c r="T341" s="61"/>
      <c r="U341" s="61"/>
      <c r="V341" s="61"/>
      <c r="W341" s="61"/>
      <c r="X341" s="61"/>
      <c r="Y341" s="61"/>
      <c r="Z341" s="61"/>
      <c r="AA341" s="61"/>
      <c r="AB341" s="61"/>
      <c r="AC341" s="62"/>
      <c r="AD341" s="60"/>
      <c r="AE341" s="61"/>
      <c r="AF341" s="61"/>
      <c r="AG341" s="61"/>
      <c r="AH341" s="61"/>
      <c r="AI341" s="61"/>
      <c r="AJ341" s="61"/>
      <c r="AK341" s="61"/>
      <c r="AL341" s="61"/>
      <c r="AM341" s="61"/>
      <c r="AN341" s="61"/>
      <c r="AO341" s="62"/>
      <c r="AP341" s="231" t="str">
        <f>IFERROR(IF(SUM(F341:K341)&lt;&gt;0,SUM(F341:K341),""),"")</f>
        <v/>
      </c>
      <c r="AQ341" s="232" t="str">
        <f>IFERROR(IF(SUM(L341:Q341)&lt;&gt;0,SUM(L341:Q341),""),"")</f>
        <v/>
      </c>
      <c r="AR341" s="231" t="str">
        <f>IFERROR(IF(SUM(R341:W341)&lt;&gt;0,SUM(R341:W341),""),"")</f>
        <v/>
      </c>
      <c r="AS341" s="232" t="str">
        <f>IFERROR(IF(SUM(X341:AC341)&lt;&gt;0,SUM(X341:AC341),""),"")</f>
        <v/>
      </c>
      <c r="AT341" s="231" t="str">
        <f>IFERROR(IF(SUM(AD341:AI341)&lt;&gt;0,SUM(AD341:AI341),""),"")</f>
        <v/>
      </c>
      <c r="AU341" s="232" t="str">
        <f>IFERROR(IF(SUM(AJ341:AO341)&lt;&gt;0,SUM(AJ341:AO341),""),"")</f>
        <v/>
      </c>
      <c r="AV341" s="74"/>
      <c r="AW341" s="61"/>
      <c r="AX341" s="74"/>
      <c r="AY341" s="61"/>
      <c r="AZ341" s="74"/>
      <c r="BA341" s="61"/>
      <c r="BB341" s="74"/>
      <c r="BC341" s="61"/>
      <c r="BD341" s="74"/>
      <c r="BE341" s="267"/>
      <c r="BF341" s="287" t="e">
        <f t="shared" si="1248"/>
        <v>#N/A</v>
      </c>
      <c r="BG341" s="287" t="e">
        <f t="shared" si="1249"/>
        <v>#N/A</v>
      </c>
      <c r="BH341" s="287" t="e">
        <f t="shared" si="1250"/>
        <v>#N/A</v>
      </c>
      <c r="BI341" s="287" t="e">
        <f t="shared" si="1251"/>
        <v>#N/A</v>
      </c>
      <c r="BJ341" s="287" t="e">
        <f t="shared" si="1252"/>
        <v>#N/A</v>
      </c>
      <c r="BK341" s="287" t="e">
        <f t="shared" si="1253"/>
        <v>#N/A</v>
      </c>
      <c r="BL341" s="287" t="e">
        <f t="shared" si="1254"/>
        <v>#N/A</v>
      </c>
      <c r="BM341" s="287" t="e">
        <f t="shared" si="1255"/>
        <v>#N/A</v>
      </c>
    </row>
    <row r="342" spans="1:65" s="102" customFormat="1" ht="14.25" customHeight="1" outlineLevel="2" x14ac:dyDescent="0.2">
      <c r="A342" s="320" t="s">
        <v>226</v>
      </c>
      <c r="B342" s="347"/>
      <c r="C342" s="350"/>
      <c r="D342" s="344"/>
      <c r="E342" s="280" t="s">
        <v>27</v>
      </c>
      <c r="F342" s="60"/>
      <c r="G342" s="61"/>
      <c r="H342" s="61"/>
      <c r="I342" s="61"/>
      <c r="J342" s="61"/>
      <c r="K342" s="61"/>
      <c r="L342" s="61"/>
      <c r="M342" s="61"/>
      <c r="N342" s="61"/>
      <c r="O342" s="61"/>
      <c r="P342" s="61"/>
      <c r="Q342" s="62"/>
      <c r="R342" s="60"/>
      <c r="S342" s="61"/>
      <c r="T342" s="61"/>
      <c r="U342" s="61"/>
      <c r="V342" s="61"/>
      <c r="W342" s="61"/>
      <c r="X342" s="61"/>
      <c r="Y342" s="61"/>
      <c r="Z342" s="61"/>
      <c r="AA342" s="61"/>
      <c r="AB342" s="61"/>
      <c r="AC342" s="62"/>
      <c r="AD342" s="60"/>
      <c r="AE342" s="61"/>
      <c r="AF342" s="61"/>
      <c r="AG342" s="61"/>
      <c r="AH342" s="61"/>
      <c r="AI342" s="61"/>
      <c r="AJ342" s="61"/>
      <c r="AK342" s="61"/>
      <c r="AL342" s="61"/>
      <c r="AM342" s="61"/>
      <c r="AN342" s="61"/>
      <c r="AO342" s="62"/>
      <c r="AP342" s="231" t="str">
        <f>IFERROR(IF(SUM(F342:K342)&lt;&gt;0,SUM(F342:K342),""),"")</f>
        <v/>
      </c>
      <c r="AQ342" s="232" t="str">
        <f>IFERROR(IF(SUM(L342:Q342)&lt;&gt;0,SUM(L342:Q342),""),"")</f>
        <v/>
      </c>
      <c r="AR342" s="231" t="str">
        <f>IFERROR(IF(SUM(R342:W342)&lt;&gt;0,SUM(R342:W342),""),"")</f>
        <v/>
      </c>
      <c r="AS342" s="232" t="str">
        <f>IFERROR(IF(SUM(X342:AC342)&lt;&gt;0,SUM(X342:AC342),""),"")</f>
        <v/>
      </c>
      <c r="AT342" s="231" t="str">
        <f>IFERROR(IF(SUM(AD342:AI342)&lt;&gt;0,SUM(AD342:AI342),""),"")</f>
        <v/>
      </c>
      <c r="AU342" s="232" t="str">
        <f>IFERROR(IF(SUM(AJ342:AO342)&lt;&gt;0,SUM(AJ342:AO342),""),"")</f>
        <v/>
      </c>
      <c r="AV342" s="74"/>
      <c r="AW342" s="61"/>
      <c r="AX342" s="74"/>
      <c r="AY342" s="61"/>
      <c r="AZ342" s="74"/>
      <c r="BA342" s="61"/>
      <c r="BB342" s="74"/>
      <c r="BC342" s="61"/>
      <c r="BD342" s="74"/>
      <c r="BE342" s="267"/>
      <c r="BF342" s="287" t="e">
        <f t="shared" si="1248"/>
        <v>#N/A</v>
      </c>
      <c r="BG342" s="287" t="e">
        <f t="shared" si="1249"/>
        <v>#N/A</v>
      </c>
      <c r="BH342" s="287" t="e">
        <f t="shared" si="1250"/>
        <v>#N/A</v>
      </c>
      <c r="BI342" s="287" t="e">
        <f t="shared" si="1251"/>
        <v>#N/A</v>
      </c>
      <c r="BJ342" s="287" t="e">
        <f t="shared" si="1252"/>
        <v>#N/A</v>
      </c>
      <c r="BK342" s="287" t="e">
        <f t="shared" si="1253"/>
        <v>#N/A</v>
      </c>
      <c r="BL342" s="287" t="e">
        <f t="shared" si="1254"/>
        <v>#N/A</v>
      </c>
      <c r="BM342" s="287" t="e">
        <f t="shared" si="1255"/>
        <v>#N/A</v>
      </c>
    </row>
    <row r="343" spans="1:65" s="102" customFormat="1" ht="15" customHeight="1" outlineLevel="2" thickBot="1" x14ac:dyDescent="0.25">
      <c r="A343" s="320" t="s">
        <v>226</v>
      </c>
      <c r="B343" s="347"/>
      <c r="C343" s="350"/>
      <c r="D343" s="344"/>
      <c r="E343" s="281" t="s">
        <v>88</v>
      </c>
      <c r="F343" s="63"/>
      <c r="G343" s="48"/>
      <c r="H343" s="48"/>
      <c r="I343" s="48"/>
      <c r="J343" s="48"/>
      <c r="K343" s="48"/>
      <c r="L343" s="48"/>
      <c r="M343" s="48"/>
      <c r="N343" s="48"/>
      <c r="O343" s="48"/>
      <c r="P343" s="48"/>
      <c r="Q343" s="51"/>
      <c r="R343" s="63"/>
      <c r="S343" s="48"/>
      <c r="T343" s="48"/>
      <c r="U343" s="48"/>
      <c r="V343" s="48"/>
      <c r="W343" s="48"/>
      <c r="X343" s="48"/>
      <c r="Y343" s="48"/>
      <c r="Z343" s="48"/>
      <c r="AA343" s="48"/>
      <c r="AB343" s="48"/>
      <c r="AC343" s="51"/>
      <c r="AD343" s="63"/>
      <c r="AE343" s="48"/>
      <c r="AF343" s="48"/>
      <c r="AG343" s="48"/>
      <c r="AH343" s="48"/>
      <c r="AI343" s="48"/>
      <c r="AJ343" s="48"/>
      <c r="AK343" s="48"/>
      <c r="AL343" s="48"/>
      <c r="AM343" s="48"/>
      <c r="AN343" s="48"/>
      <c r="AO343" s="51"/>
      <c r="AP343" s="233" t="str">
        <f>IFERROR(IF(SUM(F343:K343)&lt;&gt;0,SUM(F343:K343),""),"")</f>
        <v/>
      </c>
      <c r="AQ343" s="234" t="str">
        <f>IFERROR(IF(SUM(L343:Q343)&lt;&gt;0,SUM(L343:Q343),""),"")</f>
        <v/>
      </c>
      <c r="AR343" s="233" t="str">
        <f>IFERROR(IF(SUM(R343:W343)&lt;&gt;0,SUM(R343:W343),""),"")</f>
        <v/>
      </c>
      <c r="AS343" s="234" t="str">
        <f>IFERROR(IF(SUM(X343:AC343)&lt;&gt;0,SUM(X343:AC343),""),"")</f>
        <v/>
      </c>
      <c r="AT343" s="233" t="str">
        <f>IFERROR(IF(SUM(AD343:AI343)&lt;&gt;0,SUM(AD343:AI343),""),"")</f>
        <v/>
      </c>
      <c r="AU343" s="234" t="str">
        <f>IFERROR(IF(SUM(AJ343:AO343)&lt;&gt;0,SUM(AJ343:AO343),""),"")</f>
        <v/>
      </c>
      <c r="AV343" s="75"/>
      <c r="AW343" s="76"/>
      <c r="AX343" s="75"/>
      <c r="AY343" s="76"/>
      <c r="AZ343" s="75"/>
      <c r="BA343" s="76"/>
      <c r="BB343" s="75"/>
      <c r="BC343" s="76"/>
      <c r="BD343" s="75"/>
      <c r="BE343" s="268"/>
      <c r="BF343" s="271" t="e">
        <f t="shared" si="1248"/>
        <v>#N/A</v>
      </c>
      <c r="BG343" s="271" t="e">
        <f t="shared" si="1249"/>
        <v>#N/A</v>
      </c>
      <c r="BH343" s="271" t="e">
        <f t="shared" si="1250"/>
        <v>#N/A</v>
      </c>
      <c r="BI343" s="271" t="e">
        <f t="shared" si="1251"/>
        <v>#N/A</v>
      </c>
      <c r="BJ343" s="271" t="e">
        <f t="shared" si="1252"/>
        <v>#N/A</v>
      </c>
      <c r="BK343" s="271" t="e">
        <f t="shared" si="1253"/>
        <v>#N/A</v>
      </c>
      <c r="BL343" s="271" t="e">
        <f t="shared" si="1254"/>
        <v>#N/A</v>
      </c>
      <c r="BM343" s="271" t="e">
        <f t="shared" si="1255"/>
        <v>#N/A</v>
      </c>
    </row>
    <row r="344" spans="1:65" s="102" customFormat="1" ht="14.25" customHeight="1" outlineLevel="2" x14ac:dyDescent="0.2">
      <c r="A344" s="320" t="s">
        <v>226</v>
      </c>
      <c r="B344" s="347"/>
      <c r="C344" s="350"/>
      <c r="D344" s="344"/>
      <c r="E344" s="279" t="s">
        <v>32</v>
      </c>
      <c r="F344" s="64"/>
      <c r="G344" s="65"/>
      <c r="H344" s="65"/>
      <c r="I344" s="65"/>
      <c r="J344" s="65"/>
      <c r="K344" s="65"/>
      <c r="L344" s="65"/>
      <c r="M344" s="65"/>
      <c r="N344" s="65"/>
      <c r="O344" s="65"/>
      <c r="P344" s="65"/>
      <c r="Q344" s="66"/>
      <c r="R344" s="64"/>
      <c r="S344" s="65"/>
      <c r="T344" s="65"/>
      <c r="U344" s="65"/>
      <c r="V344" s="65"/>
      <c r="W344" s="65"/>
      <c r="X344" s="65"/>
      <c r="Y344" s="65"/>
      <c r="Z344" s="65"/>
      <c r="AA344" s="65"/>
      <c r="AB344" s="65"/>
      <c r="AC344" s="66"/>
      <c r="AD344" s="64"/>
      <c r="AE344" s="65"/>
      <c r="AF344" s="65"/>
      <c r="AG344" s="65"/>
      <c r="AH344" s="65"/>
      <c r="AI344" s="65"/>
      <c r="AJ344" s="65"/>
      <c r="AK344" s="65"/>
      <c r="AL344" s="65"/>
      <c r="AM344" s="65"/>
      <c r="AN344" s="65"/>
      <c r="AO344" s="66"/>
      <c r="AP344" s="32" t="str">
        <f>IFERROR(IF(AVERAGE(F344:K344)&lt;&gt;0,AVERAGE(F344:K344),""),"")</f>
        <v/>
      </c>
      <c r="AQ344" s="235" t="str">
        <f>IFERROR(IF(AVERAGE(L344:Q344)&lt;&gt;0,AVERAGE(L344:Q344),""),"")</f>
        <v/>
      </c>
      <c r="AR344" s="32" t="str">
        <f>IFERROR(IF(AVERAGE(R344:W344)&lt;&gt;0,AVERAGE(R344:W344),""),"")</f>
        <v/>
      </c>
      <c r="AS344" s="235" t="str">
        <f>IFERROR(IF(AVERAGE(X344:AC344)&lt;&gt;0,AVERAGE(X344:AC344),""),"")</f>
        <v/>
      </c>
      <c r="AT344" s="32" t="str">
        <f>IFERROR(IF(AVERAGE(AD344:AI344)&lt;&gt;0,AVERAGE(AD344:AI344),""),"")</f>
        <v/>
      </c>
      <c r="AU344" s="235" t="str">
        <f>IFERROR(IF(AVERAGE(AJ344:AO344)&lt;&gt;0,AVERAGE(AJ344:AO344),""),"")</f>
        <v/>
      </c>
      <c r="AV344" s="77"/>
      <c r="AW344" s="65"/>
      <c r="AX344" s="77"/>
      <c r="AY344" s="65"/>
      <c r="AZ344" s="77"/>
      <c r="BA344" s="65"/>
      <c r="BB344" s="77"/>
      <c r="BC344" s="65"/>
      <c r="BD344" s="77"/>
      <c r="BE344" s="269"/>
      <c r="BF344" s="272" t="str">
        <f>IFERROR(IF(AVERAGE(AP344:AQ344)&lt;&gt;0,AVERAGE(AP344:AQ344),""),"")</f>
        <v/>
      </c>
      <c r="BG344" s="272" t="str">
        <f>IFERROR(IF(AVERAGE(AR344:AS344)&lt;&gt;0,AVERAGE(AR344:AS344),""),"")</f>
        <v/>
      </c>
      <c r="BH344" s="272" t="str">
        <f>IFERROR(IF(AVERAGE(AT344:AU344)&lt;&gt;0,AVERAGE(AT344:AU344),""),"")</f>
        <v/>
      </c>
      <c r="BI344" s="272" t="str">
        <f>IFERROR(IF(AVERAGE(AV344:AW344)&lt;&gt;0,AVERAGE(AV344:AW344),""),"")</f>
        <v/>
      </c>
      <c r="BJ344" s="272" t="str">
        <f>IFERROR(IF(AVERAGE(AX344:AY344)&lt;&gt;0,AVERAGE(AX344:AY344),""),"")</f>
        <v/>
      </c>
      <c r="BK344" s="272" t="str">
        <f>IFERROR(IF(AVERAGE(AZ344:BA344)&lt;&gt;0,AVERAGE(AZ344:BA344),""),"")</f>
        <v/>
      </c>
      <c r="BL344" s="272" t="str">
        <f>IFERROR(IF(AVERAGE(BB344:BC344)&lt;&gt;0,AVERAGE(BB344:BC344),""),"")</f>
        <v/>
      </c>
      <c r="BM344" s="272" t="str">
        <f>IFERROR(IF(AVERAGE(BD344:BE344)&lt;&gt;0,AVERAGE(BD344:BE344),""),"")</f>
        <v/>
      </c>
    </row>
    <row r="345" spans="1:65" s="102" customFormat="1" ht="15" customHeight="1" outlineLevel="2" thickBot="1" x14ac:dyDescent="0.25">
      <c r="A345" s="320" t="s">
        <v>226</v>
      </c>
      <c r="B345" s="347"/>
      <c r="C345" s="350"/>
      <c r="D345" s="344"/>
      <c r="E345" s="281" t="s">
        <v>2</v>
      </c>
      <c r="F345" s="67"/>
      <c r="G345" s="68"/>
      <c r="H345" s="68"/>
      <c r="I345" s="68"/>
      <c r="J345" s="68"/>
      <c r="K345" s="68"/>
      <c r="L345" s="68"/>
      <c r="M345" s="68"/>
      <c r="N345" s="68"/>
      <c r="O345" s="68"/>
      <c r="P345" s="68"/>
      <c r="Q345" s="69"/>
      <c r="R345" s="67"/>
      <c r="S345" s="68"/>
      <c r="T345" s="68"/>
      <c r="U345" s="68"/>
      <c r="V345" s="68"/>
      <c r="W345" s="68"/>
      <c r="X345" s="68"/>
      <c r="Y345" s="68"/>
      <c r="Z345" s="68"/>
      <c r="AA345" s="68"/>
      <c r="AB345" s="68"/>
      <c r="AC345" s="69"/>
      <c r="AD345" s="67"/>
      <c r="AE345" s="68"/>
      <c r="AF345" s="68"/>
      <c r="AG345" s="68"/>
      <c r="AH345" s="68"/>
      <c r="AI345" s="68"/>
      <c r="AJ345" s="68"/>
      <c r="AK345" s="68"/>
      <c r="AL345" s="68"/>
      <c r="AM345" s="68"/>
      <c r="AN345" s="68"/>
      <c r="AO345" s="69"/>
      <c r="AP345" s="236" t="str">
        <f>IFERROR(IF(AVERAGE(F345:K345)&lt;&gt;0,AVERAGE(F345:K345),""),"")</f>
        <v/>
      </c>
      <c r="AQ345" s="237" t="str">
        <f>IFERROR(IF(AVERAGE(L345:Q345)&lt;&gt;0,AVERAGE(L345:Q345),""),"")</f>
        <v/>
      </c>
      <c r="AR345" s="236" t="str">
        <f>IFERROR(IF(AVERAGE(R345:W345)&lt;&gt;0,AVERAGE(R345:W345),""),"")</f>
        <v/>
      </c>
      <c r="AS345" s="237" t="str">
        <f>IFERROR(IF(AVERAGE(X345:AC345)&lt;&gt;0,AVERAGE(X345:AC345),""),"")</f>
        <v/>
      </c>
      <c r="AT345" s="236" t="str">
        <f>IFERROR(IF(AVERAGE(AD345:AI345)&lt;&gt;0,AVERAGE(AD345:AI345),""),"")</f>
        <v/>
      </c>
      <c r="AU345" s="237" t="str">
        <f>IFERROR(IF(AVERAGE(AJ345:AO345)&lt;&gt;0,AVERAGE(AJ345:AO345),""),"")</f>
        <v/>
      </c>
      <c r="AV345" s="78"/>
      <c r="AW345" s="68"/>
      <c r="AX345" s="78"/>
      <c r="AY345" s="68"/>
      <c r="AZ345" s="78"/>
      <c r="BA345" s="68"/>
      <c r="BB345" s="78"/>
      <c r="BC345" s="68"/>
      <c r="BD345" s="78"/>
      <c r="BE345" s="270"/>
      <c r="BF345" s="288" t="str">
        <f>IFERROR(IF(AVERAGE(AP345:AQ345)&lt;&gt;0,AVERAGE(AP345:AQ345),""),"")</f>
        <v/>
      </c>
      <c r="BG345" s="288" t="str">
        <f>IFERROR(IF(AVERAGE(AR345:AS345)&lt;&gt;0,AVERAGE(AR345:AS345),""),"")</f>
        <v/>
      </c>
      <c r="BH345" s="288" t="str">
        <f>IFERROR(IF(AVERAGE(AT345:AU345)&lt;&gt;0,AVERAGE(AT345:AU345),""),"")</f>
        <v/>
      </c>
      <c r="BI345" s="288" t="str">
        <f>IFERROR(IF(AVERAGE(AV345:AW345)&lt;&gt;0,AVERAGE(AV345:AW345),""),"")</f>
        <v/>
      </c>
      <c r="BJ345" s="288" t="str">
        <f>IFERROR(IF(AVERAGE(AX345:AY345)&lt;&gt;0,AVERAGE(AX345:AY345),""),"")</f>
        <v/>
      </c>
      <c r="BK345" s="288" t="str">
        <f>IFERROR(IF(AVERAGE(AZ345:BA345)&lt;&gt;0,AVERAGE(AZ345:BA345),""),"")</f>
        <v/>
      </c>
      <c r="BL345" s="288" t="str">
        <f>IFERROR(IF(AVERAGE(BB345:BC345)&lt;&gt;0,AVERAGE(BB345:BC345),""),"")</f>
        <v/>
      </c>
      <c r="BM345" s="288" t="str">
        <f>IFERROR(IF(AVERAGE(BD345:BE345)&lt;&gt;0,AVERAGE(BD345:BE345),""),"")</f>
        <v/>
      </c>
    </row>
    <row r="346" spans="1:65" s="102" customFormat="1" ht="14.25" customHeight="1" outlineLevel="1" x14ac:dyDescent="0.2">
      <c r="A346" s="320" t="s">
        <v>226</v>
      </c>
      <c r="B346" s="347"/>
      <c r="C346" s="350"/>
      <c r="D346" s="344"/>
      <c r="E346" s="282" t="s">
        <v>228</v>
      </c>
      <c r="F346" s="283" t="str">
        <f ca="1">IF(IFERROR((F$11*(F338-SUM(F340:F343)/F$11)*F345*3600)/(F344),"")&gt;0,IFERROR((F$11*(F338-SUM(F340:F343)/F$11)*F345*3600)/(F344),""),"")</f>
        <v/>
      </c>
      <c r="G346" s="284" t="str">
        <f t="shared" ref="G346:AO346" ca="1" si="1256">IF(IFERROR((G$11*(G338-SUM(G340:G343)/G$11)*G345*3600)/(G344),"")&gt;0,IFERROR((G$11*(G338-SUM(G340:G343)/G$11)*G345*3600)/(G344),""),"")</f>
        <v/>
      </c>
      <c r="H346" s="284" t="str">
        <f t="shared" ca="1" si="1256"/>
        <v/>
      </c>
      <c r="I346" s="284" t="str">
        <f t="shared" ca="1" si="1256"/>
        <v/>
      </c>
      <c r="J346" s="284" t="str">
        <f t="shared" ca="1" si="1256"/>
        <v/>
      </c>
      <c r="K346" s="284" t="str">
        <f t="shared" ca="1" si="1256"/>
        <v/>
      </c>
      <c r="L346" s="284" t="str">
        <f t="shared" ca="1" si="1256"/>
        <v/>
      </c>
      <c r="M346" s="284" t="str">
        <f t="shared" ca="1" si="1256"/>
        <v/>
      </c>
      <c r="N346" s="284" t="str">
        <f t="shared" ca="1" si="1256"/>
        <v/>
      </c>
      <c r="O346" s="284" t="str">
        <f t="shared" ca="1" si="1256"/>
        <v/>
      </c>
      <c r="P346" s="284" t="str">
        <f t="shared" ca="1" si="1256"/>
        <v/>
      </c>
      <c r="Q346" s="284" t="str">
        <f t="shared" ca="1" si="1256"/>
        <v/>
      </c>
      <c r="R346" s="283" t="str">
        <f t="shared" ca="1" si="1256"/>
        <v/>
      </c>
      <c r="S346" s="284" t="str">
        <f t="shared" ca="1" si="1256"/>
        <v/>
      </c>
      <c r="T346" s="284" t="str">
        <f t="shared" ca="1" si="1256"/>
        <v/>
      </c>
      <c r="U346" s="284" t="str">
        <f t="shared" ca="1" si="1256"/>
        <v/>
      </c>
      <c r="V346" s="284" t="str">
        <f t="shared" ca="1" si="1256"/>
        <v/>
      </c>
      <c r="W346" s="284" t="str">
        <f t="shared" ca="1" si="1256"/>
        <v/>
      </c>
      <c r="X346" s="284" t="str">
        <f t="shared" ca="1" si="1256"/>
        <v/>
      </c>
      <c r="Y346" s="284" t="str">
        <f t="shared" ca="1" si="1256"/>
        <v/>
      </c>
      <c r="Z346" s="284" t="str">
        <f t="shared" ca="1" si="1256"/>
        <v/>
      </c>
      <c r="AA346" s="284" t="str">
        <f t="shared" ca="1" si="1256"/>
        <v/>
      </c>
      <c r="AB346" s="284" t="str">
        <f t="shared" ca="1" si="1256"/>
        <v/>
      </c>
      <c r="AC346" s="284" t="str">
        <f t="shared" ca="1" si="1256"/>
        <v/>
      </c>
      <c r="AD346" s="283" t="str">
        <f t="shared" ca="1" si="1256"/>
        <v/>
      </c>
      <c r="AE346" s="284" t="str">
        <f t="shared" ca="1" si="1256"/>
        <v/>
      </c>
      <c r="AF346" s="284" t="str">
        <f t="shared" ca="1" si="1256"/>
        <v/>
      </c>
      <c r="AG346" s="284" t="str">
        <f t="shared" ca="1" si="1256"/>
        <v/>
      </c>
      <c r="AH346" s="284" t="str">
        <f t="shared" ca="1" si="1256"/>
        <v/>
      </c>
      <c r="AI346" s="284" t="str">
        <f t="shared" ca="1" si="1256"/>
        <v/>
      </c>
      <c r="AJ346" s="284" t="str">
        <f t="shared" ca="1" si="1256"/>
        <v/>
      </c>
      <c r="AK346" s="284" t="str">
        <f t="shared" ca="1" si="1256"/>
        <v/>
      </c>
      <c r="AL346" s="284" t="str">
        <f t="shared" ca="1" si="1256"/>
        <v/>
      </c>
      <c r="AM346" s="284" t="str">
        <f t="shared" ca="1" si="1256"/>
        <v/>
      </c>
      <c r="AN346" s="284" t="str">
        <f t="shared" ca="1" si="1256"/>
        <v/>
      </c>
      <c r="AO346" s="284" t="str">
        <f t="shared" ca="1" si="1256"/>
        <v/>
      </c>
      <c r="AP346" s="283" t="e">
        <f t="shared" ref="AP346:AP347" ca="1" si="1257">IF(SUM(F346:K346)&lt;&gt;0,SUM(F346:K346),#N/A)</f>
        <v>#N/A</v>
      </c>
      <c r="AQ346" s="284" t="e">
        <f t="shared" ref="AQ346:AQ347" ca="1" si="1258">IF(SUM(L346:Q346)&lt;&gt;0,SUM(L346:Q346),#N/A)</f>
        <v>#N/A</v>
      </c>
      <c r="AR346" s="283" t="e">
        <f t="shared" ref="AR346:AR347" ca="1" si="1259">IF(SUM(R346:W346)&lt;&gt;0,SUM(R346:W346),#N/A)</f>
        <v>#N/A</v>
      </c>
      <c r="AS346" s="284" t="e">
        <f t="shared" ref="AS346:AS347" ca="1" si="1260">IF(SUM(X346:AC346)&lt;&gt;0,SUM(X346:AC346),#N/A)</f>
        <v>#N/A</v>
      </c>
      <c r="AT346" s="283" t="e">
        <f t="shared" ref="AT346:AT347" ca="1" si="1261">IF(SUM(AD346:AI346)&lt;&gt;0,SUM(AD346:AI346),#N/A)</f>
        <v>#N/A</v>
      </c>
      <c r="AU346" s="284" t="e">
        <f t="shared" ref="AU346:AU347" ca="1" si="1262">IF(SUM(AJ346:AO346)&lt;&gt;0,SUM(AJ346:AO346),#N/A)</f>
        <v>#N/A</v>
      </c>
      <c r="AV346" s="283" t="str">
        <f ca="1">IF(IFERROR((AV$11*(AV338-SUM(AV340:AV343)/AV$11)*AV345*3600)/(AV344),"")&lt;&gt;0,IFERROR((AV$11*(AV338-SUM(AV340:AV343)/AV$11)*AV345*3600)/(AV344),""),"")</f>
        <v/>
      </c>
      <c r="AW346" s="284" t="str">
        <f t="shared" ref="AW346:BE346" ca="1" si="1263">IF(IFERROR((AW$11*(AW338-SUM(AW340:AW343)/AW$11)*AW345*3600)/(AW344),"")&lt;&gt;0,IFERROR((AW$11*(AW338-SUM(AW340:AW343)/AW$11)*AW345*3600)/(AW344),""),"")</f>
        <v/>
      </c>
      <c r="AX346" s="283" t="str">
        <f t="shared" ca="1" si="1263"/>
        <v/>
      </c>
      <c r="AY346" s="284" t="str">
        <f t="shared" ca="1" si="1263"/>
        <v/>
      </c>
      <c r="AZ346" s="283" t="str">
        <f t="shared" ca="1" si="1263"/>
        <v/>
      </c>
      <c r="BA346" s="284" t="str">
        <f t="shared" ca="1" si="1263"/>
        <v/>
      </c>
      <c r="BB346" s="283" t="str">
        <f t="shared" ca="1" si="1263"/>
        <v/>
      </c>
      <c r="BC346" s="284" t="str">
        <f t="shared" ca="1" si="1263"/>
        <v/>
      </c>
      <c r="BD346" s="283" t="str">
        <f t="shared" ca="1" si="1263"/>
        <v/>
      </c>
      <c r="BE346" s="285" t="str">
        <f t="shared" ca="1" si="1263"/>
        <v/>
      </c>
      <c r="BF346" s="285" t="e">
        <f t="shared" ref="BF346:BF348" ca="1" si="1264">IF(SUM(AP346,AQ346)&lt;&gt;0,SUM(AP346,AQ346),#N/A)</f>
        <v>#N/A</v>
      </c>
      <c r="BG346" s="285" t="e">
        <f t="shared" ref="BG346:BG348" ca="1" si="1265">IF(SUM(AR346,AS346)&lt;&gt;0,SUM(AR346,AS346),#N/A)</f>
        <v>#N/A</v>
      </c>
      <c r="BH346" s="285" t="e">
        <f t="shared" ref="BH346:BH348" ca="1" si="1266">IF(SUM(AT346,AU346)&lt;&gt;0,SUM(AT346,AU346),#N/A)</f>
        <v>#N/A</v>
      </c>
      <c r="BI346" s="285" t="e">
        <f t="shared" ref="BI346:BI348" ca="1" si="1267">IF(SUM(AV346,AW346)&lt;&gt;0,SUM(AV346,AW346),#N/A)</f>
        <v>#N/A</v>
      </c>
      <c r="BJ346" s="285" t="e">
        <f t="shared" ref="BJ346:BJ348" ca="1" si="1268">IF(SUM(AX346,AY346)&lt;&gt;0,SUM(AX346,AY346),#N/A)</f>
        <v>#N/A</v>
      </c>
      <c r="BK346" s="285" t="e">
        <f t="shared" ref="BK346:BK348" ca="1" si="1269">IF(SUM(AZ346,BA346)&lt;&gt;0,SUM(AZ346,BA346),#N/A)</f>
        <v>#N/A</v>
      </c>
      <c r="BL346" s="285" t="e">
        <f t="shared" ref="BL346:BL348" ca="1" si="1270">IF(SUM(BB346,BC346)&lt;&gt;0,SUM(BB346,BC346),#N/A)</f>
        <v>#N/A</v>
      </c>
      <c r="BM346" s="285" t="e">
        <f t="shared" ref="BM346:BM348" ca="1" si="1271">IF(SUM(BD346,BE346)&lt;&gt;0,SUM(BD346,BE346),#N/A)</f>
        <v>#N/A</v>
      </c>
    </row>
    <row r="347" spans="1:65" s="102" customFormat="1" ht="15" customHeight="1" outlineLevel="1" thickBot="1" x14ac:dyDescent="0.25">
      <c r="A347" s="320" t="s">
        <v>226</v>
      </c>
      <c r="B347" s="348"/>
      <c r="C347" s="351"/>
      <c r="D347" s="345"/>
      <c r="E347" s="104" t="s">
        <v>225</v>
      </c>
      <c r="F347" s="36" t="str">
        <f ca="1">IFERROR(F346+((F337*F339*F345*3600)/(F344)),"")</f>
        <v/>
      </c>
      <c r="G347" s="37" t="str">
        <f t="shared" ref="G347:AO347" ca="1" si="1272">IFERROR(G346+((G337*G339*G345*3600)/(G344)),"")</f>
        <v/>
      </c>
      <c r="H347" s="37" t="str">
        <f t="shared" ca="1" si="1272"/>
        <v/>
      </c>
      <c r="I347" s="37" t="str">
        <f t="shared" ca="1" si="1272"/>
        <v/>
      </c>
      <c r="J347" s="37" t="str">
        <f t="shared" ca="1" si="1272"/>
        <v/>
      </c>
      <c r="K347" s="37" t="str">
        <f t="shared" ca="1" si="1272"/>
        <v/>
      </c>
      <c r="L347" s="37" t="str">
        <f t="shared" ca="1" si="1272"/>
        <v/>
      </c>
      <c r="M347" s="37" t="str">
        <f t="shared" ca="1" si="1272"/>
        <v/>
      </c>
      <c r="N347" s="37" t="str">
        <f t="shared" ca="1" si="1272"/>
        <v/>
      </c>
      <c r="O347" s="37" t="str">
        <f t="shared" ca="1" si="1272"/>
        <v/>
      </c>
      <c r="P347" s="37" t="str">
        <f t="shared" ca="1" si="1272"/>
        <v/>
      </c>
      <c r="Q347" s="37" t="str">
        <f t="shared" ca="1" si="1272"/>
        <v/>
      </c>
      <c r="R347" s="36" t="str">
        <f t="shared" ca="1" si="1272"/>
        <v/>
      </c>
      <c r="S347" s="37" t="str">
        <f t="shared" ca="1" si="1272"/>
        <v/>
      </c>
      <c r="T347" s="37" t="str">
        <f t="shared" ca="1" si="1272"/>
        <v/>
      </c>
      <c r="U347" s="37" t="str">
        <f t="shared" ca="1" si="1272"/>
        <v/>
      </c>
      <c r="V347" s="37" t="str">
        <f t="shared" ca="1" si="1272"/>
        <v/>
      </c>
      <c r="W347" s="37" t="str">
        <f t="shared" ca="1" si="1272"/>
        <v/>
      </c>
      <c r="X347" s="37" t="str">
        <f t="shared" ca="1" si="1272"/>
        <v/>
      </c>
      <c r="Y347" s="37" t="str">
        <f t="shared" ca="1" si="1272"/>
        <v/>
      </c>
      <c r="Z347" s="37" t="str">
        <f t="shared" ca="1" si="1272"/>
        <v/>
      </c>
      <c r="AA347" s="37" t="str">
        <f t="shared" ca="1" si="1272"/>
        <v/>
      </c>
      <c r="AB347" s="37" t="str">
        <f t="shared" ca="1" si="1272"/>
        <v/>
      </c>
      <c r="AC347" s="37" t="str">
        <f t="shared" ca="1" si="1272"/>
        <v/>
      </c>
      <c r="AD347" s="36" t="str">
        <f t="shared" ca="1" si="1272"/>
        <v/>
      </c>
      <c r="AE347" s="37" t="str">
        <f t="shared" ca="1" si="1272"/>
        <v/>
      </c>
      <c r="AF347" s="37" t="str">
        <f t="shared" ca="1" si="1272"/>
        <v/>
      </c>
      <c r="AG347" s="37" t="str">
        <f t="shared" ca="1" si="1272"/>
        <v/>
      </c>
      <c r="AH347" s="37" t="str">
        <f t="shared" ca="1" si="1272"/>
        <v/>
      </c>
      <c r="AI347" s="37" t="str">
        <f t="shared" ca="1" si="1272"/>
        <v/>
      </c>
      <c r="AJ347" s="37" t="str">
        <f t="shared" ca="1" si="1272"/>
        <v/>
      </c>
      <c r="AK347" s="37" t="str">
        <f t="shared" ca="1" si="1272"/>
        <v/>
      </c>
      <c r="AL347" s="37" t="str">
        <f t="shared" ca="1" si="1272"/>
        <v/>
      </c>
      <c r="AM347" s="37" t="str">
        <f t="shared" ca="1" si="1272"/>
        <v/>
      </c>
      <c r="AN347" s="37" t="str">
        <f t="shared" ca="1" si="1272"/>
        <v/>
      </c>
      <c r="AO347" s="37" t="str">
        <f t="shared" ca="1" si="1272"/>
        <v/>
      </c>
      <c r="AP347" s="36" t="e">
        <f t="shared" ca="1" si="1257"/>
        <v>#N/A</v>
      </c>
      <c r="AQ347" s="37" t="e">
        <f t="shared" ca="1" si="1258"/>
        <v>#N/A</v>
      </c>
      <c r="AR347" s="36" t="e">
        <f t="shared" ca="1" si="1259"/>
        <v>#N/A</v>
      </c>
      <c r="AS347" s="37" t="e">
        <f t="shared" ca="1" si="1260"/>
        <v>#N/A</v>
      </c>
      <c r="AT347" s="36" t="e">
        <f t="shared" ca="1" si="1261"/>
        <v>#N/A</v>
      </c>
      <c r="AU347" s="37" t="e">
        <f t="shared" ca="1" si="1262"/>
        <v>#N/A</v>
      </c>
      <c r="AV347" s="36" t="str">
        <f t="shared" ref="AV347:BE347" ca="1" si="1273">IFERROR(AV346+((AV337*AV339*AV345*3600)/(AV344)),"")</f>
        <v/>
      </c>
      <c r="AW347" s="37" t="str">
        <f t="shared" ca="1" si="1273"/>
        <v/>
      </c>
      <c r="AX347" s="36" t="str">
        <f t="shared" ca="1" si="1273"/>
        <v/>
      </c>
      <c r="AY347" s="37" t="str">
        <f t="shared" ca="1" si="1273"/>
        <v/>
      </c>
      <c r="AZ347" s="36" t="str">
        <f t="shared" ca="1" si="1273"/>
        <v/>
      </c>
      <c r="BA347" s="37" t="str">
        <f t="shared" ca="1" si="1273"/>
        <v/>
      </c>
      <c r="BB347" s="36" t="str">
        <f t="shared" ca="1" si="1273"/>
        <v/>
      </c>
      <c r="BC347" s="37" t="str">
        <f t="shared" ca="1" si="1273"/>
        <v/>
      </c>
      <c r="BD347" s="36" t="str">
        <f t="shared" ca="1" si="1273"/>
        <v/>
      </c>
      <c r="BE347" s="43" t="str">
        <f t="shared" ca="1" si="1273"/>
        <v/>
      </c>
      <c r="BF347" s="43" t="e">
        <f t="shared" ca="1" si="1264"/>
        <v>#N/A</v>
      </c>
      <c r="BG347" s="43" t="e">
        <f t="shared" ca="1" si="1265"/>
        <v>#N/A</v>
      </c>
      <c r="BH347" s="43" t="e">
        <f t="shared" ca="1" si="1266"/>
        <v>#N/A</v>
      </c>
      <c r="BI347" s="43" t="e">
        <f t="shared" ca="1" si="1267"/>
        <v>#N/A</v>
      </c>
      <c r="BJ347" s="43" t="e">
        <f t="shared" ca="1" si="1268"/>
        <v>#N/A</v>
      </c>
      <c r="BK347" s="43" t="e">
        <f t="shared" ca="1" si="1269"/>
        <v>#N/A</v>
      </c>
      <c r="BL347" s="43" t="e">
        <f t="shared" ca="1" si="1270"/>
        <v>#N/A</v>
      </c>
      <c r="BM347" s="43" t="e">
        <f t="shared" ca="1" si="1271"/>
        <v>#N/A</v>
      </c>
    </row>
    <row r="348" spans="1:65" s="102" customFormat="1" ht="22.5" outlineLevel="2" x14ac:dyDescent="0.2">
      <c r="A348" s="320" t="s">
        <v>226</v>
      </c>
      <c r="B348" s="346"/>
      <c r="C348" s="349" t="str">
        <f t="shared" ref="C348" si="1274">IF(AND($B348&lt;&gt;0,$C$9&lt;&gt;0),$C$9,"")</f>
        <v/>
      </c>
      <c r="D348" s="343"/>
      <c r="E348" s="277" t="s">
        <v>40</v>
      </c>
      <c r="F348" s="33">
        <f ca="1">IF(F$11-(SUM(F352:F355)/24)=0,"",F$11-(SUM(F352:F355)/24))</f>
        <v>27</v>
      </c>
      <c r="G348" s="34">
        <f t="shared" ref="G348:AO348" ca="1" si="1275">IF(G$11-(SUM(G352:G355)/24)=0,"",G$11-(SUM(G352:G355)/24))</f>
        <v>24</v>
      </c>
      <c r="H348" s="34">
        <f t="shared" ca="1" si="1275"/>
        <v>26</v>
      </c>
      <c r="I348" s="34">
        <f t="shared" ca="1" si="1275"/>
        <v>26</v>
      </c>
      <c r="J348" s="34">
        <f t="shared" ca="1" si="1275"/>
        <v>27</v>
      </c>
      <c r="K348" s="34">
        <f t="shared" ca="1" si="1275"/>
        <v>25</v>
      </c>
      <c r="L348" s="34">
        <f t="shared" ca="1" si="1275"/>
        <v>27</v>
      </c>
      <c r="M348" s="34">
        <f t="shared" ca="1" si="1275"/>
        <v>26</v>
      </c>
      <c r="N348" s="34">
        <f t="shared" ca="1" si="1275"/>
        <v>26</v>
      </c>
      <c r="O348" s="34">
        <f t="shared" ca="1" si="1275"/>
        <v>27</v>
      </c>
      <c r="P348" s="34">
        <f t="shared" ca="1" si="1275"/>
        <v>25</v>
      </c>
      <c r="Q348" s="34">
        <f t="shared" ca="1" si="1275"/>
        <v>27</v>
      </c>
      <c r="R348" s="32">
        <f t="shared" ca="1" si="1275"/>
        <v>27</v>
      </c>
      <c r="S348" s="29">
        <f t="shared" ca="1" si="1275"/>
        <v>24</v>
      </c>
      <c r="T348" s="29">
        <f t="shared" ca="1" si="1275"/>
        <v>26</v>
      </c>
      <c r="U348" s="29">
        <f t="shared" ca="1" si="1275"/>
        <v>26</v>
      </c>
      <c r="V348" s="29">
        <f t="shared" ca="1" si="1275"/>
        <v>26</v>
      </c>
      <c r="W348" s="29">
        <f t="shared" ca="1" si="1275"/>
        <v>26</v>
      </c>
      <c r="X348" s="29">
        <f t="shared" ca="1" si="1275"/>
        <v>27</v>
      </c>
      <c r="Y348" s="29">
        <f t="shared" ca="1" si="1275"/>
        <v>26</v>
      </c>
      <c r="Z348" s="29">
        <f t="shared" ca="1" si="1275"/>
        <v>26</v>
      </c>
      <c r="AA348" s="29">
        <f t="shared" ca="1" si="1275"/>
        <v>27</v>
      </c>
      <c r="AB348" s="29">
        <f t="shared" ca="1" si="1275"/>
        <v>25</v>
      </c>
      <c r="AC348" s="29">
        <f t="shared" ca="1" si="1275"/>
        <v>27</v>
      </c>
      <c r="AD348" s="32">
        <f t="shared" ca="1" si="1275"/>
        <v>26</v>
      </c>
      <c r="AE348" s="29">
        <f t="shared" ca="1" si="1275"/>
        <v>24</v>
      </c>
      <c r="AF348" s="29">
        <f t="shared" ca="1" si="1275"/>
        <v>27</v>
      </c>
      <c r="AG348" s="29">
        <f t="shared" ca="1" si="1275"/>
        <v>26</v>
      </c>
      <c r="AH348" s="29">
        <f t="shared" ca="1" si="1275"/>
        <v>26</v>
      </c>
      <c r="AI348" s="29">
        <f t="shared" ca="1" si="1275"/>
        <v>26</v>
      </c>
      <c r="AJ348" s="29">
        <f t="shared" ca="1" si="1275"/>
        <v>27</v>
      </c>
      <c r="AK348" s="29">
        <f t="shared" ca="1" si="1275"/>
        <v>26</v>
      </c>
      <c r="AL348" s="29">
        <f t="shared" ca="1" si="1275"/>
        <v>26</v>
      </c>
      <c r="AM348" s="29">
        <f t="shared" ca="1" si="1275"/>
        <v>26</v>
      </c>
      <c r="AN348" s="29">
        <f t="shared" ca="1" si="1275"/>
        <v>26</v>
      </c>
      <c r="AO348" s="29">
        <f t="shared" ca="1" si="1275"/>
        <v>27</v>
      </c>
      <c r="AP348" s="32">
        <f ca="1">IF(SUM(F348:K348)&lt;&gt;0,SUM(F348:K348),"")</f>
        <v>155</v>
      </c>
      <c r="AQ348" s="29">
        <f ca="1">IF(SUM(L348:Q348)&lt;&gt;0,SUM(L348:Q348),"")</f>
        <v>158</v>
      </c>
      <c r="AR348" s="32">
        <f ca="1">IF(SUM(R348:W348)&lt;&gt;0,SUM(R348:W348),"")</f>
        <v>155</v>
      </c>
      <c r="AS348" s="29">
        <f ca="1">IF(SUM(X348:AC348)&lt;&gt;0,SUM(X348:AC348),"")</f>
        <v>158</v>
      </c>
      <c r="AT348" s="32">
        <f ca="1">IF(SUM(AD348:AI348)&lt;&gt;0,SUM(AD348:AI348),"")</f>
        <v>155</v>
      </c>
      <c r="AU348" s="296">
        <f ca="1">SUM(AJ348:AO348)</f>
        <v>158</v>
      </c>
      <c r="AV348" s="32">
        <f t="shared" ref="AV348:BE348" ca="1" si="1276">IF(AV$11-(SUM(AV352:AV355)/24)=0,"",AV$11-(SUM(AV352:AV355)/24))</f>
        <v>156</v>
      </c>
      <c r="AW348" s="29">
        <f t="shared" ca="1" si="1276"/>
        <v>157</v>
      </c>
      <c r="AX348" s="32">
        <f t="shared" ca="1" si="1276"/>
        <v>156</v>
      </c>
      <c r="AY348" s="29">
        <f t="shared" ca="1" si="1276"/>
        <v>158</v>
      </c>
      <c r="AZ348" s="32">
        <f t="shared" ca="1" si="1276"/>
        <v>155</v>
      </c>
      <c r="BA348" s="29">
        <f t="shared" ca="1" si="1276"/>
        <v>158</v>
      </c>
      <c r="BB348" s="32">
        <f t="shared" ca="1" si="1276"/>
        <v>155</v>
      </c>
      <c r="BC348" s="29">
        <f t="shared" ca="1" si="1276"/>
        <v>158</v>
      </c>
      <c r="BD348" s="32">
        <f t="shared" ca="1" si="1276"/>
        <v>156</v>
      </c>
      <c r="BE348" s="262">
        <f t="shared" ca="1" si="1276"/>
        <v>158</v>
      </c>
      <c r="BF348" s="286">
        <f t="shared" ca="1" si="1264"/>
        <v>313</v>
      </c>
      <c r="BG348" s="286">
        <f t="shared" ca="1" si="1265"/>
        <v>313</v>
      </c>
      <c r="BH348" s="286">
        <f t="shared" ca="1" si="1266"/>
        <v>313</v>
      </c>
      <c r="BI348" s="286">
        <f t="shared" ca="1" si="1267"/>
        <v>313</v>
      </c>
      <c r="BJ348" s="286">
        <f t="shared" ca="1" si="1268"/>
        <v>314</v>
      </c>
      <c r="BK348" s="286">
        <f t="shared" ca="1" si="1269"/>
        <v>313</v>
      </c>
      <c r="BL348" s="286">
        <f t="shared" ca="1" si="1270"/>
        <v>313</v>
      </c>
      <c r="BM348" s="286">
        <f t="shared" ca="1" si="1271"/>
        <v>314</v>
      </c>
    </row>
    <row r="349" spans="1:65" s="102" customFormat="1" ht="15" customHeight="1" outlineLevel="2" thickBot="1" x14ac:dyDescent="0.25">
      <c r="A349" s="320" t="s">
        <v>226</v>
      </c>
      <c r="B349" s="347"/>
      <c r="C349" s="350"/>
      <c r="D349" s="344"/>
      <c r="E349" s="278" t="s">
        <v>29</v>
      </c>
      <c r="F349" s="47"/>
      <c r="G349" s="48"/>
      <c r="H349" s="48"/>
      <c r="I349" s="48"/>
      <c r="J349" s="48"/>
      <c r="K349" s="48"/>
      <c r="L349" s="48"/>
      <c r="M349" s="48"/>
      <c r="N349" s="48"/>
      <c r="O349" s="48"/>
      <c r="P349" s="48"/>
      <c r="Q349" s="51"/>
      <c r="R349" s="47"/>
      <c r="S349" s="48"/>
      <c r="T349" s="48"/>
      <c r="U349" s="48"/>
      <c r="V349" s="48"/>
      <c r="W349" s="48"/>
      <c r="X349" s="48"/>
      <c r="Y349" s="48"/>
      <c r="Z349" s="48"/>
      <c r="AA349" s="48"/>
      <c r="AB349" s="48"/>
      <c r="AC349" s="51"/>
      <c r="AD349" s="47"/>
      <c r="AE349" s="48"/>
      <c r="AF349" s="48"/>
      <c r="AG349" s="48"/>
      <c r="AH349" s="48"/>
      <c r="AI349" s="48"/>
      <c r="AJ349" s="48"/>
      <c r="AK349" s="48"/>
      <c r="AL349" s="48"/>
      <c r="AM349" s="48"/>
      <c r="AN349" s="48"/>
      <c r="AO349" s="51"/>
      <c r="AP349" s="294" t="str">
        <f>IFERROR(IF(SUM(F349:K349)&lt;&gt;0,SUM(F349:K349),""),"")</f>
        <v/>
      </c>
      <c r="AQ349" s="295" t="str">
        <f>IFERROR(IF(SUM(L349:Q349)&lt;&gt;0,SUM(L349:Q349),""),"")</f>
        <v/>
      </c>
      <c r="AR349" s="294" t="str">
        <f>IFERROR(IF(SUM(R349:W349)&lt;&gt;0,SUM(R349:W349),""),"")</f>
        <v/>
      </c>
      <c r="AS349" s="295" t="str">
        <f>IFERROR(IF(SUM(X349:AC349)&lt;&gt;0,SUM(X349:AC349),""),"")</f>
        <v/>
      </c>
      <c r="AT349" s="294" t="str">
        <f>IFERROR(IF(SUM(AD349:AI349)&lt;&gt;0,SUM(AD349:AI349),""),"")</f>
        <v/>
      </c>
      <c r="AU349" s="295" t="str">
        <f>IFERROR(IF(SUM(AJ349:AO349)&lt;&gt;0,SUM(AJ349:AO349),""),"")</f>
        <v/>
      </c>
      <c r="AV349" s="47"/>
      <c r="AW349" s="51"/>
      <c r="AX349" s="47"/>
      <c r="AY349" s="51"/>
      <c r="AZ349" s="47"/>
      <c r="BA349" s="51"/>
      <c r="BB349" s="47"/>
      <c r="BC349" s="51"/>
      <c r="BD349" s="47"/>
      <c r="BE349" s="263"/>
      <c r="BF349" s="271" t="str">
        <f>IFERROR(IF(AVERAGE(AP349:AQ349)&lt;&gt;0,AVERAGE(AP349:AQ349),""),"")</f>
        <v/>
      </c>
      <c r="BG349" s="271" t="str">
        <f>IFERROR(IF(AVERAGE(AR349:AS349)&lt;&gt;0,AVERAGE(AR349:AS349),""),"")</f>
        <v/>
      </c>
      <c r="BH349" s="271" t="str">
        <f>IFERROR(IF(AVERAGE(AT349:AU349)&lt;&gt;0,AVERAGE(AT349:AU349),""),"")</f>
        <v/>
      </c>
      <c r="BI349" s="271" t="str">
        <f>IFERROR(IF(AVERAGE(AV349:AW349)&lt;&gt;0,AVERAGE(AV349:AW349),""),"")</f>
        <v/>
      </c>
      <c r="BJ349" s="271" t="str">
        <f>IFERROR(IF(AVERAGE(AX349:AY349)&lt;&gt;0,AVERAGE(AX349:AY349),""),"")</f>
        <v/>
      </c>
      <c r="BK349" s="271" t="str">
        <f>IFERROR(IF(AVERAGE(AZ349:BA349)&lt;&gt;0,AVERAGE(AZ349:BA349),""),"")</f>
        <v/>
      </c>
      <c r="BL349" s="271" t="str">
        <f>IFERROR(IF(AVERAGE(BB349:BC349)&lt;&gt;0,AVERAGE(BB349:BC349),""),"")</f>
        <v/>
      </c>
      <c r="BM349" s="271" t="str">
        <f>IFERROR(IF(AVERAGE(BD349:BE349)&lt;&gt;0,AVERAGE(BD349:BE349),""),"")</f>
        <v/>
      </c>
    </row>
    <row r="350" spans="1:65" s="102" customFormat="1" ht="14.25" customHeight="1" outlineLevel="2" x14ac:dyDescent="0.2">
      <c r="A350" s="320" t="s">
        <v>226</v>
      </c>
      <c r="B350" s="347"/>
      <c r="C350" s="350"/>
      <c r="D350" s="344"/>
      <c r="E350" s="279" t="s">
        <v>28</v>
      </c>
      <c r="F350" s="52"/>
      <c r="G350" s="53"/>
      <c r="H350" s="53"/>
      <c r="I350" s="53"/>
      <c r="J350" s="53"/>
      <c r="K350" s="53"/>
      <c r="L350" s="53"/>
      <c r="M350" s="53"/>
      <c r="N350" s="53"/>
      <c r="O350" s="53"/>
      <c r="P350" s="53"/>
      <c r="Q350" s="54"/>
      <c r="R350" s="52"/>
      <c r="S350" s="53"/>
      <c r="T350" s="53"/>
      <c r="U350" s="53"/>
      <c r="V350" s="53"/>
      <c r="W350" s="53"/>
      <c r="X350" s="53"/>
      <c r="Y350" s="53"/>
      <c r="Z350" s="53"/>
      <c r="AA350" s="53"/>
      <c r="AB350" s="53"/>
      <c r="AC350" s="54"/>
      <c r="AD350" s="52"/>
      <c r="AE350" s="53"/>
      <c r="AF350" s="53"/>
      <c r="AG350" s="53"/>
      <c r="AH350" s="53"/>
      <c r="AI350" s="53"/>
      <c r="AJ350" s="53"/>
      <c r="AK350" s="53"/>
      <c r="AL350" s="53"/>
      <c r="AM350" s="53"/>
      <c r="AN350" s="53"/>
      <c r="AO350" s="54"/>
      <c r="AP350" s="225" t="str">
        <f>IFERROR(IF(AVERAGE(F350:K350)&lt;&gt;0,AVERAGE(F350:K350),""),"")</f>
        <v/>
      </c>
      <c r="AQ350" s="226" t="str">
        <f>IFERROR(IF(AVERAGE(L350:Q350)&lt;&gt;0,AVERAGE(L350:Q350),""),"")</f>
        <v/>
      </c>
      <c r="AR350" s="225" t="str">
        <f>IFERROR(IF(AVERAGE(R350:W350)&lt;&gt;0,AVERAGE(R350:W350),""),"")</f>
        <v/>
      </c>
      <c r="AS350" s="226" t="str">
        <f>IFERROR(IF(AVERAGE(X350:AC350)&lt;&gt;0,AVERAGE(X350:AC350),""),"")</f>
        <v/>
      </c>
      <c r="AT350" s="225" t="str">
        <f>IFERROR(IF(AVERAGE(AD350:AI350)&lt;&gt;0,AVERAGE(AD350:AI350),""),"")</f>
        <v/>
      </c>
      <c r="AU350" s="226" t="str">
        <f>IFERROR(IF(AVERAGE(AJ350:AO350)&lt;&gt;0,AVERAGE(AJ350:AO350),""),"")</f>
        <v/>
      </c>
      <c r="AV350" s="70"/>
      <c r="AW350" s="53"/>
      <c r="AX350" s="70"/>
      <c r="AY350" s="53"/>
      <c r="AZ350" s="70"/>
      <c r="BA350" s="53"/>
      <c r="BB350" s="70"/>
      <c r="BC350" s="53"/>
      <c r="BD350" s="70"/>
      <c r="BE350" s="264"/>
      <c r="BF350" s="272" t="str">
        <f>IFERROR(IF(AVERAGE(AP350:AQ350)&lt;&gt;0,AVERAGE(AP350:AQ350),""),"")</f>
        <v/>
      </c>
      <c r="BG350" s="272" t="str">
        <f>IFERROR(IF(AVERAGE(AR350:AS350)&lt;&gt;0,AVERAGE(AR350:AS350),""),"")</f>
        <v/>
      </c>
      <c r="BH350" s="272" t="str">
        <f>IFERROR(IF(AVERAGE(AT350:AU350)&lt;&gt;0,AVERAGE(AT350:AU350),""),"")</f>
        <v/>
      </c>
      <c r="BI350" s="272" t="str">
        <f>IFERROR(IF(AVERAGE(AV350:AW350)&lt;&gt;0,AVERAGE(AV350:AW350),""),"")</f>
        <v/>
      </c>
      <c r="BJ350" s="272" t="str">
        <f>IFERROR(IF(AVERAGE(AX350:AY350)&lt;&gt;0,AVERAGE(AX350:AY350),""),"")</f>
        <v/>
      </c>
      <c r="BK350" s="272" t="str">
        <f>IFERROR(IF(AVERAGE(AZ350:BA350)&lt;&gt;0,AVERAGE(AZ350:BA350),""),"")</f>
        <v/>
      </c>
      <c r="BL350" s="272" t="str">
        <f>IFERROR(IF(AVERAGE(BB350:BC350)&lt;&gt;0,AVERAGE(BB350:BC350),""),"")</f>
        <v/>
      </c>
      <c r="BM350" s="272" t="str">
        <f>IFERROR(IF(AVERAGE(BD350:BE350)&lt;&gt;0,AVERAGE(BD350:BE350),""),"")</f>
        <v/>
      </c>
    </row>
    <row r="351" spans="1:65" s="102" customFormat="1" ht="15" customHeight="1" outlineLevel="2" thickBot="1" x14ac:dyDescent="0.25">
      <c r="A351" s="320" t="s">
        <v>226</v>
      </c>
      <c r="B351" s="347"/>
      <c r="C351" s="350"/>
      <c r="D351" s="344"/>
      <c r="E351" s="278" t="s">
        <v>30</v>
      </c>
      <c r="F351" s="55"/>
      <c r="G351" s="56"/>
      <c r="H351" s="56"/>
      <c r="I351" s="56"/>
      <c r="J351" s="56"/>
      <c r="K351" s="56"/>
      <c r="L351" s="56"/>
      <c r="M351" s="56"/>
      <c r="N351" s="56"/>
      <c r="O351" s="56"/>
      <c r="P351" s="56"/>
      <c r="Q351" s="57"/>
      <c r="R351" s="55"/>
      <c r="S351" s="56"/>
      <c r="T351" s="56"/>
      <c r="U351" s="56"/>
      <c r="V351" s="56"/>
      <c r="W351" s="56"/>
      <c r="X351" s="56"/>
      <c r="Y351" s="56"/>
      <c r="Z351" s="56"/>
      <c r="AA351" s="56"/>
      <c r="AB351" s="56"/>
      <c r="AC351" s="57"/>
      <c r="AD351" s="55"/>
      <c r="AE351" s="56"/>
      <c r="AF351" s="56"/>
      <c r="AG351" s="56"/>
      <c r="AH351" s="56"/>
      <c r="AI351" s="56"/>
      <c r="AJ351" s="56"/>
      <c r="AK351" s="56"/>
      <c r="AL351" s="56"/>
      <c r="AM351" s="56"/>
      <c r="AN351" s="56"/>
      <c r="AO351" s="57"/>
      <c r="AP351" s="227" t="str">
        <f>IFERROR(IF(AVERAGE(F351:K351)&lt;&gt;0,AVERAGE(F351:K351),""),"")</f>
        <v/>
      </c>
      <c r="AQ351" s="228" t="str">
        <f>IFERROR(IF(AVERAGE(L351:Q351)&lt;&gt;0,AVERAGE(L351:Q351),""),"")</f>
        <v/>
      </c>
      <c r="AR351" s="227" t="str">
        <f>IFERROR(IF(AVERAGE(R351:W351)&lt;&gt;0,AVERAGE(R351:W351),""),"")</f>
        <v/>
      </c>
      <c r="AS351" s="228" t="str">
        <f>IFERROR(IF(AVERAGE(X351:AC351)&lt;&gt;0,AVERAGE(X351:AC351),""),"")</f>
        <v/>
      </c>
      <c r="AT351" s="227" t="str">
        <f>IFERROR(IF(AVERAGE(AD351:AI351)&lt;&gt;0,AVERAGE(AD351:AI351),""),"")</f>
        <v/>
      </c>
      <c r="AU351" s="228" t="str">
        <f>IFERROR(IF(AVERAGE(AJ351:AO351)&lt;&gt;0,AVERAGE(AJ351:AO351),""),"")</f>
        <v/>
      </c>
      <c r="AV351" s="71"/>
      <c r="AW351" s="56"/>
      <c r="AX351" s="71"/>
      <c r="AY351" s="56"/>
      <c r="AZ351" s="71"/>
      <c r="BA351" s="56"/>
      <c r="BB351" s="71"/>
      <c r="BC351" s="56"/>
      <c r="BD351" s="71"/>
      <c r="BE351" s="265"/>
      <c r="BF351" s="273" t="str">
        <f>IFERROR(IF(AVERAGE(AP351:AQ351)&lt;&gt;0,AVERAGE(AP351:AQ351),""),"")</f>
        <v/>
      </c>
      <c r="BG351" s="273" t="str">
        <f>IFERROR(IF(AVERAGE(AR351:AS351)&lt;&gt;0,AVERAGE(AR351:AS351),""),"")</f>
        <v/>
      </c>
      <c r="BH351" s="273" t="str">
        <f>IFERROR(IF(AVERAGE(AT351:AU351)&lt;&gt;0,AVERAGE(AT351:AU351),""),"")</f>
        <v/>
      </c>
      <c r="BI351" s="273" t="str">
        <f>IFERROR(IF(AVERAGE(AV351:AW351)&lt;&gt;0,AVERAGE(AV351:AW351),""),"")</f>
        <v/>
      </c>
      <c r="BJ351" s="273" t="str">
        <f>IFERROR(IF(AVERAGE(AX351:AY351)&lt;&gt;0,AVERAGE(AX351:AY351),""),"")</f>
        <v/>
      </c>
      <c r="BK351" s="273" t="str">
        <f>IFERROR(IF(AVERAGE(AZ351:BA351)&lt;&gt;0,AVERAGE(AZ351:BA351),""),"")</f>
        <v/>
      </c>
      <c r="BL351" s="273" t="str">
        <f>IFERROR(IF(AVERAGE(BB351:BC351)&lt;&gt;0,AVERAGE(BB351:BC351),""),"")</f>
        <v/>
      </c>
      <c r="BM351" s="273" t="str">
        <f>IFERROR(IF(AVERAGE(BD351:BE351)&lt;&gt;0,AVERAGE(BD351:BE351),""),"")</f>
        <v/>
      </c>
    </row>
    <row r="352" spans="1:65" s="102" customFormat="1" ht="14.25" customHeight="1" outlineLevel="2" x14ac:dyDescent="0.2">
      <c r="A352" s="320" t="s">
        <v>226</v>
      </c>
      <c r="B352" s="347"/>
      <c r="C352" s="350"/>
      <c r="D352" s="344"/>
      <c r="E352" s="279" t="s">
        <v>25</v>
      </c>
      <c r="F352" s="58"/>
      <c r="G352" s="50"/>
      <c r="H352" s="50"/>
      <c r="I352" s="50"/>
      <c r="J352" s="50"/>
      <c r="K352" s="50"/>
      <c r="L352" s="50"/>
      <c r="M352" s="50"/>
      <c r="N352" s="50"/>
      <c r="O352" s="50"/>
      <c r="P352" s="50"/>
      <c r="Q352" s="59"/>
      <c r="R352" s="58"/>
      <c r="S352" s="50"/>
      <c r="T352" s="50"/>
      <c r="U352" s="50"/>
      <c r="V352" s="50"/>
      <c r="W352" s="50"/>
      <c r="X352" s="50"/>
      <c r="Y352" s="50"/>
      <c r="Z352" s="50"/>
      <c r="AA352" s="50"/>
      <c r="AB352" s="50"/>
      <c r="AC352" s="59"/>
      <c r="AD352" s="58"/>
      <c r="AE352" s="50"/>
      <c r="AF352" s="50"/>
      <c r="AG352" s="50"/>
      <c r="AH352" s="50"/>
      <c r="AI352" s="50"/>
      <c r="AJ352" s="50"/>
      <c r="AK352" s="50"/>
      <c r="AL352" s="50"/>
      <c r="AM352" s="50"/>
      <c r="AN352" s="50"/>
      <c r="AO352" s="59"/>
      <c r="AP352" s="229" t="str">
        <f>IFERROR(IF(SUM(F352:K352)&lt;&gt;0,SUM(F352:K352),""),"")</f>
        <v/>
      </c>
      <c r="AQ352" s="230" t="str">
        <f>IFERROR(IF(SUM(L352:Q352)&lt;&gt;0,SUM(L352:Q352),""),"")</f>
        <v/>
      </c>
      <c r="AR352" s="229" t="str">
        <f>IFERROR(IF(SUM(R352:W352)&lt;&gt;0,SUM(R352:W352),""),"")</f>
        <v/>
      </c>
      <c r="AS352" s="230" t="str">
        <f>IFERROR(IF(SUM(X352:AC352)&lt;&gt;0,SUM(X352:AC352),""),"")</f>
        <v/>
      </c>
      <c r="AT352" s="229" t="str">
        <f>IFERROR(IF(SUM(AD352:AI352)&lt;&gt;0,SUM(AD352:AI352),""),"")</f>
        <v/>
      </c>
      <c r="AU352" s="230" t="str">
        <f>IFERROR(IF(SUM(AJ352:AO352)&lt;&gt;0,SUM(AJ352:AO352),""),"")</f>
        <v/>
      </c>
      <c r="AV352" s="72"/>
      <c r="AW352" s="73"/>
      <c r="AX352" s="72"/>
      <c r="AY352" s="73"/>
      <c r="AZ352" s="72"/>
      <c r="BA352" s="73"/>
      <c r="BB352" s="72"/>
      <c r="BC352" s="73"/>
      <c r="BD352" s="72"/>
      <c r="BE352" s="266"/>
      <c r="BF352" s="286" t="e">
        <f t="shared" ref="BF352:BF355" si="1277">IF(SUM(AP352,AQ352)&lt;&gt;0,SUM(AP352,AQ352),#N/A)</f>
        <v>#N/A</v>
      </c>
      <c r="BG352" s="286" t="e">
        <f t="shared" ref="BG352:BG355" si="1278">IF(SUM(AR352,AS352)&lt;&gt;0,SUM(AR352,AS352),#N/A)</f>
        <v>#N/A</v>
      </c>
      <c r="BH352" s="286" t="e">
        <f t="shared" ref="BH352:BH355" si="1279">IF(SUM(AT352,AU352)&lt;&gt;0,SUM(AT352,AU352),#N/A)</f>
        <v>#N/A</v>
      </c>
      <c r="BI352" s="286" t="e">
        <f t="shared" ref="BI352:BI355" si="1280">IF(SUM(AV352,AW352)&lt;&gt;0,SUM(AV352,AW352),#N/A)</f>
        <v>#N/A</v>
      </c>
      <c r="BJ352" s="286" t="e">
        <f t="shared" ref="BJ352:BJ355" si="1281">IF(SUM(AX352,AY352)&lt;&gt;0,SUM(AX352,AY352),#N/A)</f>
        <v>#N/A</v>
      </c>
      <c r="BK352" s="286" t="e">
        <f t="shared" ref="BK352:BK355" si="1282">IF(SUM(AZ352,BA352)&lt;&gt;0,SUM(AZ352,BA352),#N/A)</f>
        <v>#N/A</v>
      </c>
      <c r="BL352" s="286" t="e">
        <f t="shared" ref="BL352:BL355" si="1283">IF(SUM(BB352,BC352)&lt;&gt;0,SUM(BB352,BC352),#N/A)</f>
        <v>#N/A</v>
      </c>
      <c r="BM352" s="286" t="e">
        <f t="shared" ref="BM352:BM355" si="1284">IF(SUM(BD352,BE352)&lt;&gt;0,SUM(BD352,BE352),#N/A)</f>
        <v>#N/A</v>
      </c>
    </row>
    <row r="353" spans="1:65" s="102" customFormat="1" ht="14.25" customHeight="1" outlineLevel="2" x14ac:dyDescent="0.2">
      <c r="A353" s="320" t="s">
        <v>226</v>
      </c>
      <c r="B353" s="347"/>
      <c r="C353" s="350"/>
      <c r="D353" s="344"/>
      <c r="E353" s="280" t="s">
        <v>26</v>
      </c>
      <c r="F353" s="60"/>
      <c r="G353" s="61"/>
      <c r="H353" s="61"/>
      <c r="I353" s="61"/>
      <c r="J353" s="61"/>
      <c r="K353" s="61"/>
      <c r="L353" s="61"/>
      <c r="M353" s="61"/>
      <c r="N353" s="61"/>
      <c r="O353" s="61"/>
      <c r="P353" s="61"/>
      <c r="Q353" s="62"/>
      <c r="R353" s="60"/>
      <c r="S353" s="61"/>
      <c r="T353" s="61"/>
      <c r="U353" s="61"/>
      <c r="V353" s="61"/>
      <c r="W353" s="61"/>
      <c r="X353" s="61"/>
      <c r="Y353" s="61"/>
      <c r="Z353" s="61"/>
      <c r="AA353" s="61"/>
      <c r="AB353" s="61"/>
      <c r="AC353" s="62"/>
      <c r="AD353" s="60"/>
      <c r="AE353" s="61"/>
      <c r="AF353" s="61"/>
      <c r="AG353" s="61"/>
      <c r="AH353" s="61"/>
      <c r="AI353" s="61"/>
      <c r="AJ353" s="61"/>
      <c r="AK353" s="61"/>
      <c r="AL353" s="61"/>
      <c r="AM353" s="61"/>
      <c r="AN353" s="61"/>
      <c r="AO353" s="62"/>
      <c r="AP353" s="231" t="str">
        <f>IFERROR(IF(SUM(F353:K353)&lt;&gt;0,SUM(F353:K353),""),"")</f>
        <v/>
      </c>
      <c r="AQ353" s="232" t="str">
        <f>IFERROR(IF(SUM(L353:Q353)&lt;&gt;0,SUM(L353:Q353),""),"")</f>
        <v/>
      </c>
      <c r="AR353" s="231" t="str">
        <f>IFERROR(IF(SUM(R353:W353)&lt;&gt;0,SUM(R353:W353),""),"")</f>
        <v/>
      </c>
      <c r="AS353" s="232" t="str">
        <f>IFERROR(IF(SUM(X353:AC353)&lt;&gt;0,SUM(X353:AC353),""),"")</f>
        <v/>
      </c>
      <c r="AT353" s="231" t="str">
        <f>IFERROR(IF(SUM(AD353:AI353)&lt;&gt;0,SUM(AD353:AI353),""),"")</f>
        <v/>
      </c>
      <c r="AU353" s="232" t="str">
        <f>IFERROR(IF(SUM(AJ353:AO353)&lt;&gt;0,SUM(AJ353:AO353),""),"")</f>
        <v/>
      </c>
      <c r="AV353" s="74"/>
      <c r="AW353" s="61"/>
      <c r="AX353" s="74"/>
      <c r="AY353" s="61"/>
      <c r="AZ353" s="74"/>
      <c r="BA353" s="61"/>
      <c r="BB353" s="74"/>
      <c r="BC353" s="61"/>
      <c r="BD353" s="74"/>
      <c r="BE353" s="267"/>
      <c r="BF353" s="287" t="e">
        <f t="shared" si="1277"/>
        <v>#N/A</v>
      </c>
      <c r="BG353" s="287" t="e">
        <f t="shared" si="1278"/>
        <v>#N/A</v>
      </c>
      <c r="BH353" s="287" t="e">
        <f t="shared" si="1279"/>
        <v>#N/A</v>
      </c>
      <c r="BI353" s="287" t="e">
        <f t="shared" si="1280"/>
        <v>#N/A</v>
      </c>
      <c r="BJ353" s="287" t="e">
        <f t="shared" si="1281"/>
        <v>#N/A</v>
      </c>
      <c r="BK353" s="287" t="e">
        <f t="shared" si="1282"/>
        <v>#N/A</v>
      </c>
      <c r="BL353" s="287" t="e">
        <f t="shared" si="1283"/>
        <v>#N/A</v>
      </c>
      <c r="BM353" s="287" t="e">
        <f t="shared" si="1284"/>
        <v>#N/A</v>
      </c>
    </row>
    <row r="354" spans="1:65" s="102" customFormat="1" ht="14.25" customHeight="1" outlineLevel="2" x14ac:dyDescent="0.2">
      <c r="A354" s="320" t="s">
        <v>226</v>
      </c>
      <c r="B354" s="347"/>
      <c r="C354" s="350"/>
      <c r="D354" s="344"/>
      <c r="E354" s="280" t="s">
        <v>27</v>
      </c>
      <c r="F354" s="60"/>
      <c r="G354" s="61"/>
      <c r="H354" s="61"/>
      <c r="I354" s="61"/>
      <c r="J354" s="61"/>
      <c r="K354" s="61"/>
      <c r="L354" s="61"/>
      <c r="M354" s="61"/>
      <c r="N354" s="61"/>
      <c r="O354" s="61"/>
      <c r="P354" s="61"/>
      <c r="Q354" s="62"/>
      <c r="R354" s="60"/>
      <c r="S354" s="61"/>
      <c r="T354" s="61"/>
      <c r="U354" s="61"/>
      <c r="V354" s="61"/>
      <c r="W354" s="61"/>
      <c r="X354" s="61"/>
      <c r="Y354" s="61"/>
      <c r="Z354" s="61"/>
      <c r="AA354" s="61"/>
      <c r="AB354" s="61"/>
      <c r="AC354" s="62"/>
      <c r="AD354" s="60"/>
      <c r="AE354" s="61"/>
      <c r="AF354" s="61"/>
      <c r="AG354" s="61"/>
      <c r="AH354" s="61"/>
      <c r="AI354" s="61"/>
      <c r="AJ354" s="61"/>
      <c r="AK354" s="61"/>
      <c r="AL354" s="61"/>
      <c r="AM354" s="61"/>
      <c r="AN354" s="61"/>
      <c r="AO354" s="62"/>
      <c r="AP354" s="231" t="str">
        <f>IFERROR(IF(SUM(F354:K354)&lt;&gt;0,SUM(F354:K354),""),"")</f>
        <v/>
      </c>
      <c r="AQ354" s="232" t="str">
        <f>IFERROR(IF(SUM(L354:Q354)&lt;&gt;0,SUM(L354:Q354),""),"")</f>
        <v/>
      </c>
      <c r="AR354" s="231" t="str">
        <f>IFERROR(IF(SUM(R354:W354)&lt;&gt;0,SUM(R354:W354),""),"")</f>
        <v/>
      </c>
      <c r="AS354" s="232" t="str">
        <f>IFERROR(IF(SUM(X354:AC354)&lt;&gt;0,SUM(X354:AC354),""),"")</f>
        <v/>
      </c>
      <c r="AT354" s="231" t="str">
        <f>IFERROR(IF(SUM(AD354:AI354)&lt;&gt;0,SUM(AD354:AI354),""),"")</f>
        <v/>
      </c>
      <c r="AU354" s="232" t="str">
        <f>IFERROR(IF(SUM(AJ354:AO354)&lt;&gt;0,SUM(AJ354:AO354),""),"")</f>
        <v/>
      </c>
      <c r="AV354" s="74"/>
      <c r="AW354" s="61"/>
      <c r="AX354" s="74"/>
      <c r="AY354" s="61"/>
      <c r="AZ354" s="74"/>
      <c r="BA354" s="61"/>
      <c r="BB354" s="74"/>
      <c r="BC354" s="61"/>
      <c r="BD354" s="74"/>
      <c r="BE354" s="267"/>
      <c r="BF354" s="287" t="e">
        <f t="shared" si="1277"/>
        <v>#N/A</v>
      </c>
      <c r="BG354" s="287" t="e">
        <f t="shared" si="1278"/>
        <v>#N/A</v>
      </c>
      <c r="BH354" s="287" t="e">
        <f t="shared" si="1279"/>
        <v>#N/A</v>
      </c>
      <c r="BI354" s="287" t="e">
        <f t="shared" si="1280"/>
        <v>#N/A</v>
      </c>
      <c r="BJ354" s="287" t="e">
        <f t="shared" si="1281"/>
        <v>#N/A</v>
      </c>
      <c r="BK354" s="287" t="e">
        <f t="shared" si="1282"/>
        <v>#N/A</v>
      </c>
      <c r="BL354" s="287" t="e">
        <f t="shared" si="1283"/>
        <v>#N/A</v>
      </c>
      <c r="BM354" s="287" t="e">
        <f t="shared" si="1284"/>
        <v>#N/A</v>
      </c>
    </row>
    <row r="355" spans="1:65" s="102" customFormat="1" ht="15" customHeight="1" outlineLevel="2" thickBot="1" x14ac:dyDescent="0.25">
      <c r="A355" s="320" t="s">
        <v>226</v>
      </c>
      <c r="B355" s="347"/>
      <c r="C355" s="350"/>
      <c r="D355" s="344"/>
      <c r="E355" s="281" t="s">
        <v>88</v>
      </c>
      <c r="F355" s="63"/>
      <c r="G355" s="48"/>
      <c r="H355" s="48"/>
      <c r="I355" s="48"/>
      <c r="J355" s="48"/>
      <c r="K355" s="48"/>
      <c r="L355" s="48"/>
      <c r="M355" s="48"/>
      <c r="N355" s="48"/>
      <c r="O355" s="48"/>
      <c r="P355" s="48"/>
      <c r="Q355" s="51"/>
      <c r="R355" s="63"/>
      <c r="S355" s="48"/>
      <c r="T355" s="48"/>
      <c r="U355" s="48"/>
      <c r="V355" s="48"/>
      <c r="W355" s="48"/>
      <c r="X355" s="48"/>
      <c r="Y355" s="48"/>
      <c r="Z355" s="48"/>
      <c r="AA355" s="48"/>
      <c r="AB355" s="48"/>
      <c r="AC355" s="51"/>
      <c r="AD355" s="63"/>
      <c r="AE355" s="48"/>
      <c r="AF355" s="48"/>
      <c r="AG355" s="48"/>
      <c r="AH355" s="48"/>
      <c r="AI355" s="48"/>
      <c r="AJ355" s="48"/>
      <c r="AK355" s="48"/>
      <c r="AL355" s="48"/>
      <c r="AM355" s="48"/>
      <c r="AN355" s="48"/>
      <c r="AO355" s="51"/>
      <c r="AP355" s="233" t="str">
        <f>IFERROR(IF(SUM(F355:K355)&lt;&gt;0,SUM(F355:K355),""),"")</f>
        <v/>
      </c>
      <c r="AQ355" s="234" t="str">
        <f>IFERROR(IF(SUM(L355:Q355)&lt;&gt;0,SUM(L355:Q355),""),"")</f>
        <v/>
      </c>
      <c r="AR355" s="233" t="str">
        <f>IFERROR(IF(SUM(R355:W355)&lt;&gt;0,SUM(R355:W355),""),"")</f>
        <v/>
      </c>
      <c r="AS355" s="234" t="str">
        <f>IFERROR(IF(SUM(X355:AC355)&lt;&gt;0,SUM(X355:AC355),""),"")</f>
        <v/>
      </c>
      <c r="AT355" s="233" t="str">
        <f>IFERROR(IF(SUM(AD355:AI355)&lt;&gt;0,SUM(AD355:AI355),""),"")</f>
        <v/>
      </c>
      <c r="AU355" s="234" t="str">
        <f>IFERROR(IF(SUM(AJ355:AO355)&lt;&gt;0,SUM(AJ355:AO355),""),"")</f>
        <v/>
      </c>
      <c r="AV355" s="75"/>
      <c r="AW355" s="76"/>
      <c r="AX355" s="75"/>
      <c r="AY355" s="76"/>
      <c r="AZ355" s="75"/>
      <c r="BA355" s="76"/>
      <c r="BB355" s="75"/>
      <c r="BC355" s="76"/>
      <c r="BD355" s="75"/>
      <c r="BE355" s="268"/>
      <c r="BF355" s="271" t="e">
        <f t="shared" si="1277"/>
        <v>#N/A</v>
      </c>
      <c r="BG355" s="271" t="e">
        <f t="shared" si="1278"/>
        <v>#N/A</v>
      </c>
      <c r="BH355" s="271" t="e">
        <f t="shared" si="1279"/>
        <v>#N/A</v>
      </c>
      <c r="BI355" s="271" t="e">
        <f t="shared" si="1280"/>
        <v>#N/A</v>
      </c>
      <c r="BJ355" s="271" t="e">
        <f t="shared" si="1281"/>
        <v>#N/A</v>
      </c>
      <c r="BK355" s="271" t="e">
        <f t="shared" si="1282"/>
        <v>#N/A</v>
      </c>
      <c r="BL355" s="271" t="e">
        <f t="shared" si="1283"/>
        <v>#N/A</v>
      </c>
      <c r="BM355" s="271" t="e">
        <f t="shared" si="1284"/>
        <v>#N/A</v>
      </c>
    </row>
    <row r="356" spans="1:65" s="102" customFormat="1" ht="14.25" customHeight="1" outlineLevel="2" x14ac:dyDescent="0.2">
      <c r="A356" s="320" t="s">
        <v>226</v>
      </c>
      <c r="B356" s="347"/>
      <c r="C356" s="350"/>
      <c r="D356" s="344"/>
      <c r="E356" s="279" t="s">
        <v>32</v>
      </c>
      <c r="F356" s="64"/>
      <c r="G356" s="65"/>
      <c r="H356" s="65"/>
      <c r="I356" s="65"/>
      <c r="J356" s="65"/>
      <c r="K356" s="65"/>
      <c r="L356" s="65"/>
      <c r="M356" s="65"/>
      <c r="N356" s="65"/>
      <c r="O356" s="65"/>
      <c r="P356" s="65"/>
      <c r="Q356" s="66"/>
      <c r="R356" s="64"/>
      <c r="S356" s="65"/>
      <c r="T356" s="65"/>
      <c r="U356" s="65"/>
      <c r="V356" s="65"/>
      <c r="W356" s="65"/>
      <c r="X356" s="65"/>
      <c r="Y356" s="65"/>
      <c r="Z356" s="65"/>
      <c r="AA356" s="65"/>
      <c r="AB356" s="65"/>
      <c r="AC356" s="66"/>
      <c r="AD356" s="64"/>
      <c r="AE356" s="65"/>
      <c r="AF356" s="65"/>
      <c r="AG356" s="65"/>
      <c r="AH356" s="65"/>
      <c r="AI356" s="65"/>
      <c r="AJ356" s="65"/>
      <c r="AK356" s="65"/>
      <c r="AL356" s="65"/>
      <c r="AM356" s="65"/>
      <c r="AN356" s="65"/>
      <c r="AO356" s="66"/>
      <c r="AP356" s="32" t="str">
        <f>IFERROR(IF(AVERAGE(F356:K356)&lt;&gt;0,AVERAGE(F356:K356),""),"")</f>
        <v/>
      </c>
      <c r="AQ356" s="235" t="str">
        <f>IFERROR(IF(AVERAGE(L356:Q356)&lt;&gt;0,AVERAGE(L356:Q356),""),"")</f>
        <v/>
      </c>
      <c r="AR356" s="32" t="str">
        <f>IFERROR(IF(AVERAGE(R356:W356)&lt;&gt;0,AVERAGE(R356:W356),""),"")</f>
        <v/>
      </c>
      <c r="AS356" s="235" t="str">
        <f>IFERROR(IF(AVERAGE(X356:AC356)&lt;&gt;0,AVERAGE(X356:AC356),""),"")</f>
        <v/>
      </c>
      <c r="AT356" s="32" t="str">
        <f>IFERROR(IF(AVERAGE(AD356:AI356)&lt;&gt;0,AVERAGE(AD356:AI356),""),"")</f>
        <v/>
      </c>
      <c r="AU356" s="235" t="str">
        <f>IFERROR(IF(AVERAGE(AJ356:AO356)&lt;&gt;0,AVERAGE(AJ356:AO356),""),"")</f>
        <v/>
      </c>
      <c r="AV356" s="77"/>
      <c r="AW356" s="65"/>
      <c r="AX356" s="77"/>
      <c r="AY356" s="65"/>
      <c r="AZ356" s="77"/>
      <c r="BA356" s="65"/>
      <c r="BB356" s="77"/>
      <c r="BC356" s="65"/>
      <c r="BD356" s="77"/>
      <c r="BE356" s="269"/>
      <c r="BF356" s="272" t="str">
        <f>IFERROR(IF(AVERAGE(AP356:AQ356)&lt;&gt;0,AVERAGE(AP356:AQ356),""),"")</f>
        <v/>
      </c>
      <c r="BG356" s="272" t="str">
        <f>IFERROR(IF(AVERAGE(AR356:AS356)&lt;&gt;0,AVERAGE(AR356:AS356),""),"")</f>
        <v/>
      </c>
      <c r="BH356" s="272" t="str">
        <f>IFERROR(IF(AVERAGE(AT356:AU356)&lt;&gt;0,AVERAGE(AT356:AU356),""),"")</f>
        <v/>
      </c>
      <c r="BI356" s="272" t="str">
        <f>IFERROR(IF(AVERAGE(AV356:AW356)&lt;&gt;0,AVERAGE(AV356:AW356),""),"")</f>
        <v/>
      </c>
      <c r="BJ356" s="272" t="str">
        <f>IFERROR(IF(AVERAGE(AX356:AY356)&lt;&gt;0,AVERAGE(AX356:AY356),""),"")</f>
        <v/>
      </c>
      <c r="BK356" s="272" t="str">
        <f>IFERROR(IF(AVERAGE(AZ356:BA356)&lt;&gt;0,AVERAGE(AZ356:BA356),""),"")</f>
        <v/>
      </c>
      <c r="BL356" s="272" t="str">
        <f>IFERROR(IF(AVERAGE(BB356:BC356)&lt;&gt;0,AVERAGE(BB356:BC356),""),"")</f>
        <v/>
      </c>
      <c r="BM356" s="272" t="str">
        <f>IFERROR(IF(AVERAGE(BD356:BE356)&lt;&gt;0,AVERAGE(BD356:BE356),""),"")</f>
        <v/>
      </c>
    </row>
    <row r="357" spans="1:65" s="102" customFormat="1" ht="15" customHeight="1" outlineLevel="2" thickBot="1" x14ac:dyDescent="0.25">
      <c r="A357" s="320" t="s">
        <v>226</v>
      </c>
      <c r="B357" s="347"/>
      <c r="C357" s="350"/>
      <c r="D357" s="344"/>
      <c r="E357" s="281" t="s">
        <v>2</v>
      </c>
      <c r="F357" s="67"/>
      <c r="G357" s="68"/>
      <c r="H357" s="68"/>
      <c r="I357" s="68"/>
      <c r="J357" s="68"/>
      <c r="K357" s="68"/>
      <c r="L357" s="68"/>
      <c r="M357" s="68"/>
      <c r="N357" s="68"/>
      <c r="O357" s="68"/>
      <c r="P357" s="68"/>
      <c r="Q357" s="69"/>
      <c r="R357" s="67"/>
      <c r="S357" s="68"/>
      <c r="T357" s="68"/>
      <c r="U357" s="68"/>
      <c r="V357" s="68"/>
      <c r="W357" s="68"/>
      <c r="X357" s="68"/>
      <c r="Y357" s="68"/>
      <c r="Z357" s="68"/>
      <c r="AA357" s="68"/>
      <c r="AB357" s="68"/>
      <c r="AC357" s="69"/>
      <c r="AD357" s="67"/>
      <c r="AE357" s="68"/>
      <c r="AF357" s="68"/>
      <c r="AG357" s="68"/>
      <c r="AH357" s="68"/>
      <c r="AI357" s="68"/>
      <c r="AJ357" s="68"/>
      <c r="AK357" s="68"/>
      <c r="AL357" s="68"/>
      <c r="AM357" s="68"/>
      <c r="AN357" s="68"/>
      <c r="AO357" s="69"/>
      <c r="AP357" s="236" t="str">
        <f>IFERROR(IF(AVERAGE(F357:K357)&lt;&gt;0,AVERAGE(F357:K357),""),"")</f>
        <v/>
      </c>
      <c r="AQ357" s="237" t="str">
        <f>IFERROR(IF(AVERAGE(L357:Q357)&lt;&gt;0,AVERAGE(L357:Q357),""),"")</f>
        <v/>
      </c>
      <c r="AR357" s="236" t="str">
        <f>IFERROR(IF(AVERAGE(R357:W357)&lt;&gt;0,AVERAGE(R357:W357),""),"")</f>
        <v/>
      </c>
      <c r="AS357" s="237" t="str">
        <f>IFERROR(IF(AVERAGE(X357:AC357)&lt;&gt;0,AVERAGE(X357:AC357),""),"")</f>
        <v/>
      </c>
      <c r="AT357" s="236" t="str">
        <f>IFERROR(IF(AVERAGE(AD357:AI357)&lt;&gt;0,AVERAGE(AD357:AI357),""),"")</f>
        <v/>
      </c>
      <c r="AU357" s="237" t="str">
        <f>IFERROR(IF(AVERAGE(AJ357:AO357)&lt;&gt;0,AVERAGE(AJ357:AO357),""),"")</f>
        <v/>
      </c>
      <c r="AV357" s="78"/>
      <c r="AW357" s="68"/>
      <c r="AX357" s="78"/>
      <c r="AY357" s="68"/>
      <c r="AZ357" s="78"/>
      <c r="BA357" s="68"/>
      <c r="BB357" s="78"/>
      <c r="BC357" s="68"/>
      <c r="BD357" s="78"/>
      <c r="BE357" s="270"/>
      <c r="BF357" s="288" t="str">
        <f>IFERROR(IF(AVERAGE(AP357:AQ357)&lt;&gt;0,AVERAGE(AP357:AQ357),""),"")</f>
        <v/>
      </c>
      <c r="BG357" s="288" t="str">
        <f>IFERROR(IF(AVERAGE(AR357:AS357)&lt;&gt;0,AVERAGE(AR357:AS357),""),"")</f>
        <v/>
      </c>
      <c r="BH357" s="288" t="str">
        <f>IFERROR(IF(AVERAGE(AT357:AU357)&lt;&gt;0,AVERAGE(AT357:AU357),""),"")</f>
        <v/>
      </c>
      <c r="BI357" s="288" t="str">
        <f>IFERROR(IF(AVERAGE(AV357:AW357)&lt;&gt;0,AVERAGE(AV357:AW357),""),"")</f>
        <v/>
      </c>
      <c r="BJ357" s="288" t="str">
        <f>IFERROR(IF(AVERAGE(AX357:AY357)&lt;&gt;0,AVERAGE(AX357:AY357),""),"")</f>
        <v/>
      </c>
      <c r="BK357" s="288" t="str">
        <f>IFERROR(IF(AVERAGE(AZ357:BA357)&lt;&gt;0,AVERAGE(AZ357:BA357),""),"")</f>
        <v/>
      </c>
      <c r="BL357" s="288" t="str">
        <f>IFERROR(IF(AVERAGE(BB357:BC357)&lt;&gt;0,AVERAGE(BB357:BC357),""),"")</f>
        <v/>
      </c>
      <c r="BM357" s="288" t="str">
        <f>IFERROR(IF(AVERAGE(BD357:BE357)&lt;&gt;0,AVERAGE(BD357:BE357),""),"")</f>
        <v/>
      </c>
    </row>
    <row r="358" spans="1:65" s="102" customFormat="1" ht="14.25" customHeight="1" outlineLevel="1" x14ac:dyDescent="0.2">
      <c r="A358" s="320" t="s">
        <v>226</v>
      </c>
      <c r="B358" s="347"/>
      <c r="C358" s="350"/>
      <c r="D358" s="344"/>
      <c r="E358" s="282" t="s">
        <v>228</v>
      </c>
      <c r="F358" s="283" t="str">
        <f ca="1">IF(IFERROR((F$11*(F350-SUM(F352:F355)/F$11)*F357*3600)/(F356),"")&gt;0,IFERROR((F$11*(F350-SUM(F352:F355)/F$11)*F357*3600)/(F356),""),"")</f>
        <v/>
      </c>
      <c r="G358" s="284" t="str">
        <f t="shared" ref="G358:AO358" ca="1" si="1285">IF(IFERROR((G$11*(G350-SUM(G352:G355)/G$11)*G357*3600)/(G356),"")&gt;0,IFERROR((G$11*(G350-SUM(G352:G355)/G$11)*G357*3600)/(G356),""),"")</f>
        <v/>
      </c>
      <c r="H358" s="284" t="str">
        <f t="shared" ca="1" si="1285"/>
        <v/>
      </c>
      <c r="I358" s="284" t="str">
        <f t="shared" ca="1" si="1285"/>
        <v/>
      </c>
      <c r="J358" s="284" t="str">
        <f t="shared" ca="1" si="1285"/>
        <v/>
      </c>
      <c r="K358" s="284" t="str">
        <f t="shared" ca="1" si="1285"/>
        <v/>
      </c>
      <c r="L358" s="284" t="str">
        <f t="shared" ca="1" si="1285"/>
        <v/>
      </c>
      <c r="M358" s="284" t="str">
        <f t="shared" ca="1" si="1285"/>
        <v/>
      </c>
      <c r="N358" s="284" t="str">
        <f t="shared" ca="1" si="1285"/>
        <v/>
      </c>
      <c r="O358" s="284" t="str">
        <f t="shared" ca="1" si="1285"/>
        <v/>
      </c>
      <c r="P358" s="284" t="str">
        <f t="shared" ca="1" si="1285"/>
        <v/>
      </c>
      <c r="Q358" s="284" t="str">
        <f t="shared" ca="1" si="1285"/>
        <v/>
      </c>
      <c r="R358" s="283" t="str">
        <f t="shared" ca="1" si="1285"/>
        <v/>
      </c>
      <c r="S358" s="284" t="str">
        <f t="shared" ca="1" si="1285"/>
        <v/>
      </c>
      <c r="T358" s="284" t="str">
        <f t="shared" ca="1" si="1285"/>
        <v/>
      </c>
      <c r="U358" s="284" t="str">
        <f t="shared" ca="1" si="1285"/>
        <v/>
      </c>
      <c r="V358" s="284" t="str">
        <f t="shared" ca="1" si="1285"/>
        <v/>
      </c>
      <c r="W358" s="284" t="str">
        <f t="shared" ca="1" si="1285"/>
        <v/>
      </c>
      <c r="X358" s="284" t="str">
        <f t="shared" ca="1" si="1285"/>
        <v/>
      </c>
      <c r="Y358" s="284" t="str">
        <f t="shared" ca="1" si="1285"/>
        <v/>
      </c>
      <c r="Z358" s="284" t="str">
        <f t="shared" ca="1" si="1285"/>
        <v/>
      </c>
      <c r="AA358" s="284" t="str">
        <f t="shared" ca="1" si="1285"/>
        <v/>
      </c>
      <c r="AB358" s="284" t="str">
        <f t="shared" ca="1" si="1285"/>
        <v/>
      </c>
      <c r="AC358" s="284" t="str">
        <f t="shared" ca="1" si="1285"/>
        <v/>
      </c>
      <c r="AD358" s="283" t="str">
        <f t="shared" ca="1" si="1285"/>
        <v/>
      </c>
      <c r="AE358" s="284" t="str">
        <f t="shared" ca="1" si="1285"/>
        <v/>
      </c>
      <c r="AF358" s="284" t="str">
        <f t="shared" ca="1" si="1285"/>
        <v/>
      </c>
      <c r="AG358" s="284" t="str">
        <f t="shared" ca="1" si="1285"/>
        <v/>
      </c>
      <c r="AH358" s="284" t="str">
        <f t="shared" ca="1" si="1285"/>
        <v/>
      </c>
      <c r="AI358" s="284" t="str">
        <f t="shared" ca="1" si="1285"/>
        <v/>
      </c>
      <c r="AJ358" s="284" t="str">
        <f t="shared" ca="1" si="1285"/>
        <v/>
      </c>
      <c r="AK358" s="284" t="str">
        <f t="shared" ca="1" si="1285"/>
        <v/>
      </c>
      <c r="AL358" s="284" t="str">
        <f t="shared" ca="1" si="1285"/>
        <v/>
      </c>
      <c r="AM358" s="284" t="str">
        <f t="shared" ca="1" si="1285"/>
        <v/>
      </c>
      <c r="AN358" s="284" t="str">
        <f t="shared" ca="1" si="1285"/>
        <v/>
      </c>
      <c r="AO358" s="284" t="str">
        <f t="shared" ca="1" si="1285"/>
        <v/>
      </c>
      <c r="AP358" s="283" t="e">
        <f t="shared" ref="AP358:AP359" ca="1" si="1286">IF(SUM(F358:K358)&lt;&gt;0,SUM(F358:K358),#N/A)</f>
        <v>#N/A</v>
      </c>
      <c r="AQ358" s="284" t="e">
        <f t="shared" ref="AQ358:AQ359" ca="1" si="1287">IF(SUM(L358:Q358)&lt;&gt;0,SUM(L358:Q358),#N/A)</f>
        <v>#N/A</v>
      </c>
      <c r="AR358" s="283" t="e">
        <f t="shared" ref="AR358:AR359" ca="1" si="1288">IF(SUM(R358:W358)&lt;&gt;0,SUM(R358:W358),#N/A)</f>
        <v>#N/A</v>
      </c>
      <c r="AS358" s="284" t="e">
        <f t="shared" ref="AS358:AS359" ca="1" si="1289">IF(SUM(X358:AC358)&lt;&gt;0,SUM(X358:AC358),#N/A)</f>
        <v>#N/A</v>
      </c>
      <c r="AT358" s="283" t="e">
        <f t="shared" ref="AT358:AT359" ca="1" si="1290">IF(SUM(AD358:AI358)&lt;&gt;0,SUM(AD358:AI358),#N/A)</f>
        <v>#N/A</v>
      </c>
      <c r="AU358" s="284" t="e">
        <f t="shared" ref="AU358:AU359" ca="1" si="1291">IF(SUM(AJ358:AO358)&lt;&gt;0,SUM(AJ358:AO358),#N/A)</f>
        <v>#N/A</v>
      </c>
      <c r="AV358" s="283" t="str">
        <f ca="1">IF(IFERROR((AV$11*(AV350-SUM(AV352:AV355)/AV$11)*AV357*3600)/(AV356),"")&lt;&gt;0,IFERROR((AV$11*(AV350-SUM(AV352:AV355)/AV$11)*AV357*3600)/(AV356),""),"")</f>
        <v/>
      </c>
      <c r="AW358" s="284" t="str">
        <f t="shared" ref="AW358:BE358" ca="1" si="1292">IF(IFERROR((AW$11*(AW350-SUM(AW352:AW355)/AW$11)*AW357*3600)/(AW356),"")&lt;&gt;0,IFERROR((AW$11*(AW350-SUM(AW352:AW355)/AW$11)*AW357*3600)/(AW356),""),"")</f>
        <v/>
      </c>
      <c r="AX358" s="283" t="str">
        <f t="shared" ca="1" si="1292"/>
        <v/>
      </c>
      <c r="AY358" s="284" t="str">
        <f t="shared" ca="1" si="1292"/>
        <v/>
      </c>
      <c r="AZ358" s="283" t="str">
        <f t="shared" ca="1" si="1292"/>
        <v/>
      </c>
      <c r="BA358" s="284" t="str">
        <f t="shared" ca="1" si="1292"/>
        <v/>
      </c>
      <c r="BB358" s="283" t="str">
        <f t="shared" ca="1" si="1292"/>
        <v/>
      </c>
      <c r="BC358" s="284" t="str">
        <f t="shared" ca="1" si="1292"/>
        <v/>
      </c>
      <c r="BD358" s="283" t="str">
        <f t="shared" ca="1" si="1292"/>
        <v/>
      </c>
      <c r="BE358" s="285" t="str">
        <f t="shared" ca="1" si="1292"/>
        <v/>
      </c>
      <c r="BF358" s="285" t="e">
        <f t="shared" ref="BF358:BF360" ca="1" si="1293">IF(SUM(AP358,AQ358)&lt;&gt;0,SUM(AP358,AQ358),#N/A)</f>
        <v>#N/A</v>
      </c>
      <c r="BG358" s="285" t="e">
        <f t="shared" ref="BG358:BG360" ca="1" si="1294">IF(SUM(AR358,AS358)&lt;&gt;0,SUM(AR358,AS358),#N/A)</f>
        <v>#N/A</v>
      </c>
      <c r="BH358" s="285" t="e">
        <f t="shared" ref="BH358:BH360" ca="1" si="1295">IF(SUM(AT358,AU358)&lt;&gt;0,SUM(AT358,AU358),#N/A)</f>
        <v>#N/A</v>
      </c>
      <c r="BI358" s="285" t="e">
        <f t="shared" ref="BI358:BI360" ca="1" si="1296">IF(SUM(AV358,AW358)&lt;&gt;0,SUM(AV358,AW358),#N/A)</f>
        <v>#N/A</v>
      </c>
      <c r="BJ358" s="285" t="e">
        <f t="shared" ref="BJ358:BJ360" ca="1" si="1297">IF(SUM(AX358,AY358)&lt;&gt;0,SUM(AX358,AY358),#N/A)</f>
        <v>#N/A</v>
      </c>
      <c r="BK358" s="285" t="e">
        <f t="shared" ref="BK358:BK360" ca="1" si="1298">IF(SUM(AZ358,BA358)&lt;&gt;0,SUM(AZ358,BA358),#N/A)</f>
        <v>#N/A</v>
      </c>
      <c r="BL358" s="285" t="e">
        <f t="shared" ref="BL358:BL360" ca="1" si="1299">IF(SUM(BB358,BC358)&lt;&gt;0,SUM(BB358,BC358),#N/A)</f>
        <v>#N/A</v>
      </c>
      <c r="BM358" s="285" t="e">
        <f t="shared" ref="BM358:BM360" ca="1" si="1300">IF(SUM(BD358,BE358)&lt;&gt;0,SUM(BD358,BE358),#N/A)</f>
        <v>#N/A</v>
      </c>
    </row>
    <row r="359" spans="1:65" s="102" customFormat="1" ht="15" customHeight="1" outlineLevel="1" thickBot="1" x14ac:dyDescent="0.25">
      <c r="A359" s="320" t="s">
        <v>226</v>
      </c>
      <c r="B359" s="348"/>
      <c r="C359" s="351"/>
      <c r="D359" s="345"/>
      <c r="E359" s="104" t="s">
        <v>225</v>
      </c>
      <c r="F359" s="36" t="str">
        <f ca="1">IFERROR(F358+((F349*F351*F357*3600)/(F356)),"")</f>
        <v/>
      </c>
      <c r="G359" s="37" t="str">
        <f t="shared" ref="G359:AO359" ca="1" si="1301">IFERROR(G358+((G349*G351*G357*3600)/(G356)),"")</f>
        <v/>
      </c>
      <c r="H359" s="37" t="str">
        <f t="shared" ca="1" si="1301"/>
        <v/>
      </c>
      <c r="I359" s="37" t="str">
        <f t="shared" ca="1" si="1301"/>
        <v/>
      </c>
      <c r="J359" s="37" t="str">
        <f t="shared" ca="1" si="1301"/>
        <v/>
      </c>
      <c r="K359" s="37" t="str">
        <f t="shared" ca="1" si="1301"/>
        <v/>
      </c>
      <c r="L359" s="37" t="str">
        <f t="shared" ca="1" si="1301"/>
        <v/>
      </c>
      <c r="M359" s="37" t="str">
        <f t="shared" ca="1" si="1301"/>
        <v/>
      </c>
      <c r="N359" s="37" t="str">
        <f t="shared" ca="1" si="1301"/>
        <v/>
      </c>
      <c r="O359" s="37" t="str">
        <f t="shared" ca="1" si="1301"/>
        <v/>
      </c>
      <c r="P359" s="37" t="str">
        <f t="shared" ca="1" si="1301"/>
        <v/>
      </c>
      <c r="Q359" s="37" t="str">
        <f t="shared" ca="1" si="1301"/>
        <v/>
      </c>
      <c r="R359" s="36" t="str">
        <f t="shared" ca="1" si="1301"/>
        <v/>
      </c>
      <c r="S359" s="37" t="str">
        <f t="shared" ca="1" si="1301"/>
        <v/>
      </c>
      <c r="T359" s="37" t="str">
        <f t="shared" ca="1" si="1301"/>
        <v/>
      </c>
      <c r="U359" s="37" t="str">
        <f t="shared" ca="1" si="1301"/>
        <v/>
      </c>
      <c r="V359" s="37" t="str">
        <f t="shared" ca="1" si="1301"/>
        <v/>
      </c>
      <c r="W359" s="37" t="str">
        <f t="shared" ca="1" si="1301"/>
        <v/>
      </c>
      <c r="X359" s="37" t="str">
        <f t="shared" ca="1" si="1301"/>
        <v/>
      </c>
      <c r="Y359" s="37" t="str">
        <f t="shared" ca="1" si="1301"/>
        <v/>
      </c>
      <c r="Z359" s="37" t="str">
        <f t="shared" ca="1" si="1301"/>
        <v/>
      </c>
      <c r="AA359" s="37" t="str">
        <f t="shared" ca="1" si="1301"/>
        <v/>
      </c>
      <c r="AB359" s="37" t="str">
        <f t="shared" ca="1" si="1301"/>
        <v/>
      </c>
      <c r="AC359" s="37" t="str">
        <f t="shared" ca="1" si="1301"/>
        <v/>
      </c>
      <c r="AD359" s="36" t="str">
        <f t="shared" ca="1" si="1301"/>
        <v/>
      </c>
      <c r="AE359" s="37" t="str">
        <f t="shared" ca="1" si="1301"/>
        <v/>
      </c>
      <c r="AF359" s="37" t="str">
        <f t="shared" ca="1" si="1301"/>
        <v/>
      </c>
      <c r="AG359" s="37" t="str">
        <f t="shared" ca="1" si="1301"/>
        <v/>
      </c>
      <c r="AH359" s="37" t="str">
        <f t="shared" ca="1" si="1301"/>
        <v/>
      </c>
      <c r="AI359" s="37" t="str">
        <f t="shared" ca="1" si="1301"/>
        <v/>
      </c>
      <c r="AJ359" s="37" t="str">
        <f t="shared" ca="1" si="1301"/>
        <v/>
      </c>
      <c r="AK359" s="37" t="str">
        <f t="shared" ca="1" si="1301"/>
        <v/>
      </c>
      <c r="AL359" s="37" t="str">
        <f t="shared" ca="1" si="1301"/>
        <v/>
      </c>
      <c r="AM359" s="37" t="str">
        <f t="shared" ca="1" si="1301"/>
        <v/>
      </c>
      <c r="AN359" s="37" t="str">
        <f t="shared" ca="1" si="1301"/>
        <v/>
      </c>
      <c r="AO359" s="37" t="str">
        <f t="shared" ca="1" si="1301"/>
        <v/>
      </c>
      <c r="AP359" s="36" t="e">
        <f t="shared" ca="1" si="1286"/>
        <v>#N/A</v>
      </c>
      <c r="AQ359" s="37" t="e">
        <f t="shared" ca="1" si="1287"/>
        <v>#N/A</v>
      </c>
      <c r="AR359" s="36" t="e">
        <f t="shared" ca="1" si="1288"/>
        <v>#N/A</v>
      </c>
      <c r="AS359" s="37" t="e">
        <f t="shared" ca="1" si="1289"/>
        <v>#N/A</v>
      </c>
      <c r="AT359" s="36" t="e">
        <f t="shared" ca="1" si="1290"/>
        <v>#N/A</v>
      </c>
      <c r="AU359" s="37" t="e">
        <f t="shared" ca="1" si="1291"/>
        <v>#N/A</v>
      </c>
      <c r="AV359" s="36" t="str">
        <f t="shared" ref="AV359:BE359" ca="1" si="1302">IFERROR(AV358+((AV349*AV351*AV357*3600)/(AV356)),"")</f>
        <v/>
      </c>
      <c r="AW359" s="37" t="str">
        <f t="shared" ca="1" si="1302"/>
        <v/>
      </c>
      <c r="AX359" s="36" t="str">
        <f t="shared" ca="1" si="1302"/>
        <v/>
      </c>
      <c r="AY359" s="37" t="str">
        <f t="shared" ca="1" si="1302"/>
        <v/>
      </c>
      <c r="AZ359" s="36" t="str">
        <f t="shared" ca="1" si="1302"/>
        <v/>
      </c>
      <c r="BA359" s="37" t="str">
        <f t="shared" ca="1" si="1302"/>
        <v/>
      </c>
      <c r="BB359" s="36" t="str">
        <f t="shared" ca="1" si="1302"/>
        <v/>
      </c>
      <c r="BC359" s="37" t="str">
        <f t="shared" ca="1" si="1302"/>
        <v/>
      </c>
      <c r="BD359" s="36" t="str">
        <f t="shared" ca="1" si="1302"/>
        <v/>
      </c>
      <c r="BE359" s="43" t="str">
        <f t="shared" ca="1" si="1302"/>
        <v/>
      </c>
      <c r="BF359" s="43" t="e">
        <f t="shared" ca="1" si="1293"/>
        <v>#N/A</v>
      </c>
      <c r="BG359" s="43" t="e">
        <f t="shared" ca="1" si="1294"/>
        <v>#N/A</v>
      </c>
      <c r="BH359" s="43" t="e">
        <f t="shared" ca="1" si="1295"/>
        <v>#N/A</v>
      </c>
      <c r="BI359" s="43" t="e">
        <f t="shared" ca="1" si="1296"/>
        <v>#N/A</v>
      </c>
      <c r="BJ359" s="43" t="e">
        <f t="shared" ca="1" si="1297"/>
        <v>#N/A</v>
      </c>
      <c r="BK359" s="43" t="e">
        <f t="shared" ca="1" si="1298"/>
        <v>#N/A</v>
      </c>
      <c r="BL359" s="43" t="e">
        <f t="shared" ca="1" si="1299"/>
        <v>#N/A</v>
      </c>
      <c r="BM359" s="43" t="e">
        <f t="shared" ca="1" si="1300"/>
        <v>#N/A</v>
      </c>
    </row>
    <row r="360" spans="1:65" s="102" customFormat="1" ht="22.5" outlineLevel="2" x14ac:dyDescent="0.2">
      <c r="A360" s="320" t="s">
        <v>226</v>
      </c>
      <c r="B360" s="346"/>
      <c r="C360" s="349" t="str">
        <f t="shared" ref="C360" si="1303">IF(AND($B360&lt;&gt;0,$C$9&lt;&gt;0),$C$9,"")</f>
        <v/>
      </c>
      <c r="D360" s="343"/>
      <c r="E360" s="277" t="s">
        <v>40</v>
      </c>
      <c r="F360" s="33">
        <f ca="1">IF(F$11-(SUM(F364:F367)/24)=0,"",F$11-(SUM(F364:F367)/24))</f>
        <v>27</v>
      </c>
      <c r="G360" s="34">
        <f t="shared" ref="G360:AO360" ca="1" si="1304">IF(G$11-(SUM(G364:G367)/24)=0,"",G$11-(SUM(G364:G367)/24))</f>
        <v>24</v>
      </c>
      <c r="H360" s="34">
        <f t="shared" ca="1" si="1304"/>
        <v>26</v>
      </c>
      <c r="I360" s="34">
        <f t="shared" ca="1" si="1304"/>
        <v>26</v>
      </c>
      <c r="J360" s="34">
        <f t="shared" ca="1" si="1304"/>
        <v>27</v>
      </c>
      <c r="K360" s="34">
        <f t="shared" ca="1" si="1304"/>
        <v>25</v>
      </c>
      <c r="L360" s="34">
        <f t="shared" ca="1" si="1304"/>
        <v>27</v>
      </c>
      <c r="M360" s="34">
        <f t="shared" ca="1" si="1304"/>
        <v>26</v>
      </c>
      <c r="N360" s="34">
        <f t="shared" ca="1" si="1304"/>
        <v>26</v>
      </c>
      <c r="O360" s="34">
        <f t="shared" ca="1" si="1304"/>
        <v>27</v>
      </c>
      <c r="P360" s="34">
        <f t="shared" ca="1" si="1304"/>
        <v>25</v>
      </c>
      <c r="Q360" s="34">
        <f t="shared" ca="1" si="1304"/>
        <v>27</v>
      </c>
      <c r="R360" s="32">
        <f t="shared" ca="1" si="1304"/>
        <v>27</v>
      </c>
      <c r="S360" s="29">
        <f t="shared" ca="1" si="1304"/>
        <v>24</v>
      </c>
      <c r="T360" s="29">
        <f t="shared" ca="1" si="1304"/>
        <v>26</v>
      </c>
      <c r="U360" s="29">
        <f t="shared" ca="1" si="1304"/>
        <v>26</v>
      </c>
      <c r="V360" s="29">
        <f t="shared" ca="1" si="1304"/>
        <v>26</v>
      </c>
      <c r="W360" s="29">
        <f t="shared" ca="1" si="1304"/>
        <v>26</v>
      </c>
      <c r="X360" s="29">
        <f t="shared" ca="1" si="1304"/>
        <v>27</v>
      </c>
      <c r="Y360" s="29">
        <f t="shared" ca="1" si="1304"/>
        <v>26</v>
      </c>
      <c r="Z360" s="29">
        <f t="shared" ca="1" si="1304"/>
        <v>26</v>
      </c>
      <c r="AA360" s="29">
        <f t="shared" ca="1" si="1304"/>
        <v>27</v>
      </c>
      <c r="AB360" s="29">
        <f t="shared" ca="1" si="1304"/>
        <v>25</v>
      </c>
      <c r="AC360" s="29">
        <f t="shared" ca="1" si="1304"/>
        <v>27</v>
      </c>
      <c r="AD360" s="32">
        <f t="shared" ca="1" si="1304"/>
        <v>26</v>
      </c>
      <c r="AE360" s="29">
        <f t="shared" ca="1" si="1304"/>
        <v>24</v>
      </c>
      <c r="AF360" s="29">
        <f t="shared" ca="1" si="1304"/>
        <v>27</v>
      </c>
      <c r="AG360" s="29">
        <f t="shared" ca="1" si="1304"/>
        <v>26</v>
      </c>
      <c r="AH360" s="29">
        <f t="shared" ca="1" si="1304"/>
        <v>26</v>
      </c>
      <c r="AI360" s="29">
        <f t="shared" ca="1" si="1304"/>
        <v>26</v>
      </c>
      <c r="AJ360" s="29">
        <f t="shared" ca="1" si="1304"/>
        <v>27</v>
      </c>
      <c r="AK360" s="29">
        <f t="shared" ca="1" si="1304"/>
        <v>26</v>
      </c>
      <c r="AL360" s="29">
        <f t="shared" ca="1" si="1304"/>
        <v>26</v>
      </c>
      <c r="AM360" s="29">
        <f t="shared" ca="1" si="1304"/>
        <v>26</v>
      </c>
      <c r="AN360" s="29">
        <f t="shared" ca="1" si="1304"/>
        <v>26</v>
      </c>
      <c r="AO360" s="29">
        <f t="shared" ca="1" si="1304"/>
        <v>27</v>
      </c>
      <c r="AP360" s="32">
        <f ca="1">IF(SUM(F360:K360)&lt;&gt;0,SUM(F360:K360),"")</f>
        <v>155</v>
      </c>
      <c r="AQ360" s="29">
        <f ca="1">IF(SUM(L360:Q360)&lt;&gt;0,SUM(L360:Q360),"")</f>
        <v>158</v>
      </c>
      <c r="AR360" s="32">
        <f ca="1">IF(SUM(R360:W360)&lt;&gt;0,SUM(R360:W360),"")</f>
        <v>155</v>
      </c>
      <c r="AS360" s="29">
        <f ca="1">IF(SUM(X360:AC360)&lt;&gt;0,SUM(X360:AC360),"")</f>
        <v>158</v>
      </c>
      <c r="AT360" s="32">
        <f ca="1">IF(SUM(AD360:AI360)&lt;&gt;0,SUM(AD360:AI360),"")</f>
        <v>155</v>
      </c>
      <c r="AU360" s="296">
        <f ca="1">SUM(AJ360:AO360)</f>
        <v>158</v>
      </c>
      <c r="AV360" s="32">
        <f t="shared" ref="AV360:BE360" ca="1" si="1305">IF(AV$11-(SUM(AV364:AV367)/24)=0,"",AV$11-(SUM(AV364:AV367)/24))</f>
        <v>156</v>
      </c>
      <c r="AW360" s="29">
        <f t="shared" ca="1" si="1305"/>
        <v>157</v>
      </c>
      <c r="AX360" s="32">
        <f t="shared" ca="1" si="1305"/>
        <v>156</v>
      </c>
      <c r="AY360" s="29">
        <f t="shared" ca="1" si="1305"/>
        <v>158</v>
      </c>
      <c r="AZ360" s="32">
        <f t="shared" ca="1" si="1305"/>
        <v>155</v>
      </c>
      <c r="BA360" s="29">
        <f t="shared" ca="1" si="1305"/>
        <v>158</v>
      </c>
      <c r="BB360" s="32">
        <f t="shared" ca="1" si="1305"/>
        <v>155</v>
      </c>
      <c r="BC360" s="29">
        <f t="shared" ca="1" si="1305"/>
        <v>158</v>
      </c>
      <c r="BD360" s="32">
        <f t="shared" ca="1" si="1305"/>
        <v>156</v>
      </c>
      <c r="BE360" s="262">
        <f t="shared" ca="1" si="1305"/>
        <v>158</v>
      </c>
      <c r="BF360" s="286">
        <f t="shared" ca="1" si="1293"/>
        <v>313</v>
      </c>
      <c r="BG360" s="286">
        <f t="shared" ca="1" si="1294"/>
        <v>313</v>
      </c>
      <c r="BH360" s="286">
        <f t="shared" ca="1" si="1295"/>
        <v>313</v>
      </c>
      <c r="BI360" s="286">
        <f t="shared" ca="1" si="1296"/>
        <v>313</v>
      </c>
      <c r="BJ360" s="286">
        <f t="shared" ca="1" si="1297"/>
        <v>314</v>
      </c>
      <c r="BK360" s="286">
        <f t="shared" ca="1" si="1298"/>
        <v>313</v>
      </c>
      <c r="BL360" s="286">
        <f t="shared" ca="1" si="1299"/>
        <v>313</v>
      </c>
      <c r="BM360" s="286">
        <f t="shared" ca="1" si="1300"/>
        <v>314</v>
      </c>
    </row>
    <row r="361" spans="1:65" s="102" customFormat="1" ht="15" customHeight="1" outlineLevel="2" thickBot="1" x14ac:dyDescent="0.25">
      <c r="A361" s="320" t="s">
        <v>226</v>
      </c>
      <c r="B361" s="347"/>
      <c r="C361" s="350"/>
      <c r="D361" s="344"/>
      <c r="E361" s="278" t="s">
        <v>29</v>
      </c>
      <c r="F361" s="47"/>
      <c r="G361" s="48"/>
      <c r="H361" s="48"/>
      <c r="I361" s="48"/>
      <c r="J361" s="48"/>
      <c r="K361" s="48"/>
      <c r="L361" s="48"/>
      <c r="M361" s="48"/>
      <c r="N361" s="48"/>
      <c r="O361" s="48"/>
      <c r="P361" s="48"/>
      <c r="Q361" s="51"/>
      <c r="R361" s="47"/>
      <c r="S361" s="48"/>
      <c r="T361" s="48"/>
      <c r="U361" s="48"/>
      <c r="V361" s="48"/>
      <c r="W361" s="48"/>
      <c r="X361" s="48"/>
      <c r="Y361" s="48"/>
      <c r="Z361" s="48"/>
      <c r="AA361" s="48"/>
      <c r="AB361" s="48"/>
      <c r="AC361" s="51"/>
      <c r="AD361" s="47"/>
      <c r="AE361" s="48"/>
      <c r="AF361" s="48"/>
      <c r="AG361" s="48"/>
      <c r="AH361" s="48"/>
      <c r="AI361" s="48"/>
      <c r="AJ361" s="48"/>
      <c r="AK361" s="48"/>
      <c r="AL361" s="48"/>
      <c r="AM361" s="48"/>
      <c r="AN361" s="48"/>
      <c r="AO361" s="51"/>
      <c r="AP361" s="294" t="str">
        <f>IFERROR(IF(SUM(F361:K361)&lt;&gt;0,SUM(F361:K361),""),"")</f>
        <v/>
      </c>
      <c r="AQ361" s="295" t="str">
        <f>IFERROR(IF(SUM(L361:Q361)&lt;&gt;0,SUM(L361:Q361),""),"")</f>
        <v/>
      </c>
      <c r="AR361" s="294" t="str">
        <f>IFERROR(IF(SUM(R361:W361)&lt;&gt;0,SUM(R361:W361),""),"")</f>
        <v/>
      </c>
      <c r="AS361" s="295" t="str">
        <f>IFERROR(IF(SUM(X361:AC361)&lt;&gt;0,SUM(X361:AC361),""),"")</f>
        <v/>
      </c>
      <c r="AT361" s="294" t="str">
        <f>IFERROR(IF(SUM(AD361:AI361)&lt;&gt;0,SUM(AD361:AI361),""),"")</f>
        <v/>
      </c>
      <c r="AU361" s="295" t="str">
        <f>IFERROR(IF(SUM(AJ361:AO361)&lt;&gt;0,SUM(AJ361:AO361),""),"")</f>
        <v/>
      </c>
      <c r="AV361" s="47"/>
      <c r="AW361" s="51"/>
      <c r="AX361" s="47"/>
      <c r="AY361" s="51"/>
      <c r="AZ361" s="47"/>
      <c r="BA361" s="51"/>
      <c r="BB361" s="47"/>
      <c r="BC361" s="51"/>
      <c r="BD361" s="47"/>
      <c r="BE361" s="263"/>
      <c r="BF361" s="271" t="str">
        <f>IFERROR(IF(AVERAGE(AP361:AQ361)&lt;&gt;0,AVERAGE(AP361:AQ361),""),"")</f>
        <v/>
      </c>
      <c r="BG361" s="271" t="str">
        <f>IFERROR(IF(AVERAGE(AR361:AS361)&lt;&gt;0,AVERAGE(AR361:AS361),""),"")</f>
        <v/>
      </c>
      <c r="BH361" s="271" t="str">
        <f>IFERROR(IF(AVERAGE(AT361:AU361)&lt;&gt;0,AVERAGE(AT361:AU361),""),"")</f>
        <v/>
      </c>
      <c r="BI361" s="271" t="str">
        <f>IFERROR(IF(AVERAGE(AV361:AW361)&lt;&gt;0,AVERAGE(AV361:AW361),""),"")</f>
        <v/>
      </c>
      <c r="BJ361" s="271" t="str">
        <f>IFERROR(IF(AVERAGE(AX361:AY361)&lt;&gt;0,AVERAGE(AX361:AY361),""),"")</f>
        <v/>
      </c>
      <c r="BK361" s="271" t="str">
        <f>IFERROR(IF(AVERAGE(AZ361:BA361)&lt;&gt;0,AVERAGE(AZ361:BA361),""),"")</f>
        <v/>
      </c>
      <c r="BL361" s="271" t="str">
        <f>IFERROR(IF(AVERAGE(BB361:BC361)&lt;&gt;0,AVERAGE(BB361:BC361),""),"")</f>
        <v/>
      </c>
      <c r="BM361" s="271" t="str">
        <f>IFERROR(IF(AVERAGE(BD361:BE361)&lt;&gt;0,AVERAGE(BD361:BE361),""),"")</f>
        <v/>
      </c>
    </row>
    <row r="362" spans="1:65" s="102" customFormat="1" ht="14.25" customHeight="1" outlineLevel="2" x14ac:dyDescent="0.2">
      <c r="A362" s="320" t="s">
        <v>226</v>
      </c>
      <c r="B362" s="347"/>
      <c r="C362" s="350"/>
      <c r="D362" s="344"/>
      <c r="E362" s="279" t="s">
        <v>28</v>
      </c>
      <c r="F362" s="52"/>
      <c r="G362" s="53"/>
      <c r="H362" s="53"/>
      <c r="I362" s="53"/>
      <c r="J362" s="53"/>
      <c r="K362" s="53"/>
      <c r="L362" s="53"/>
      <c r="M362" s="53"/>
      <c r="N362" s="53"/>
      <c r="O362" s="53"/>
      <c r="P362" s="53"/>
      <c r="Q362" s="54"/>
      <c r="R362" s="52"/>
      <c r="S362" s="53"/>
      <c r="T362" s="53"/>
      <c r="U362" s="53"/>
      <c r="V362" s="53"/>
      <c r="W362" s="53"/>
      <c r="X362" s="53"/>
      <c r="Y362" s="53"/>
      <c r="Z362" s="53"/>
      <c r="AA362" s="53"/>
      <c r="AB362" s="53"/>
      <c r="AC362" s="54"/>
      <c r="AD362" s="52"/>
      <c r="AE362" s="53"/>
      <c r="AF362" s="53"/>
      <c r="AG362" s="53"/>
      <c r="AH362" s="53"/>
      <c r="AI362" s="53"/>
      <c r="AJ362" s="53"/>
      <c r="AK362" s="53"/>
      <c r="AL362" s="53"/>
      <c r="AM362" s="53"/>
      <c r="AN362" s="53"/>
      <c r="AO362" s="54"/>
      <c r="AP362" s="225" t="str">
        <f>IFERROR(IF(AVERAGE(F362:K362)&lt;&gt;0,AVERAGE(F362:K362),""),"")</f>
        <v/>
      </c>
      <c r="AQ362" s="226" t="str">
        <f>IFERROR(IF(AVERAGE(L362:Q362)&lt;&gt;0,AVERAGE(L362:Q362),""),"")</f>
        <v/>
      </c>
      <c r="AR362" s="225" t="str">
        <f>IFERROR(IF(AVERAGE(R362:W362)&lt;&gt;0,AVERAGE(R362:W362),""),"")</f>
        <v/>
      </c>
      <c r="AS362" s="226" t="str">
        <f>IFERROR(IF(AVERAGE(X362:AC362)&lt;&gt;0,AVERAGE(X362:AC362),""),"")</f>
        <v/>
      </c>
      <c r="AT362" s="225" t="str">
        <f>IFERROR(IF(AVERAGE(AD362:AI362)&lt;&gt;0,AVERAGE(AD362:AI362),""),"")</f>
        <v/>
      </c>
      <c r="AU362" s="226" t="str">
        <f>IFERROR(IF(AVERAGE(AJ362:AO362)&lt;&gt;0,AVERAGE(AJ362:AO362),""),"")</f>
        <v/>
      </c>
      <c r="AV362" s="70"/>
      <c r="AW362" s="53"/>
      <c r="AX362" s="70"/>
      <c r="AY362" s="53"/>
      <c r="AZ362" s="70"/>
      <c r="BA362" s="53"/>
      <c r="BB362" s="70"/>
      <c r="BC362" s="53"/>
      <c r="BD362" s="70"/>
      <c r="BE362" s="264"/>
      <c r="BF362" s="272" t="str">
        <f>IFERROR(IF(AVERAGE(AP362:AQ362)&lt;&gt;0,AVERAGE(AP362:AQ362),""),"")</f>
        <v/>
      </c>
      <c r="BG362" s="272" t="str">
        <f>IFERROR(IF(AVERAGE(AR362:AS362)&lt;&gt;0,AVERAGE(AR362:AS362),""),"")</f>
        <v/>
      </c>
      <c r="BH362" s="272" t="str">
        <f>IFERROR(IF(AVERAGE(AT362:AU362)&lt;&gt;0,AVERAGE(AT362:AU362),""),"")</f>
        <v/>
      </c>
      <c r="BI362" s="272" t="str">
        <f>IFERROR(IF(AVERAGE(AV362:AW362)&lt;&gt;0,AVERAGE(AV362:AW362),""),"")</f>
        <v/>
      </c>
      <c r="BJ362" s="272" t="str">
        <f>IFERROR(IF(AVERAGE(AX362:AY362)&lt;&gt;0,AVERAGE(AX362:AY362),""),"")</f>
        <v/>
      </c>
      <c r="BK362" s="272" t="str">
        <f>IFERROR(IF(AVERAGE(AZ362:BA362)&lt;&gt;0,AVERAGE(AZ362:BA362),""),"")</f>
        <v/>
      </c>
      <c r="BL362" s="272" t="str">
        <f>IFERROR(IF(AVERAGE(BB362:BC362)&lt;&gt;0,AVERAGE(BB362:BC362),""),"")</f>
        <v/>
      </c>
      <c r="BM362" s="272" t="str">
        <f>IFERROR(IF(AVERAGE(BD362:BE362)&lt;&gt;0,AVERAGE(BD362:BE362),""),"")</f>
        <v/>
      </c>
    </row>
    <row r="363" spans="1:65" s="102" customFormat="1" ht="15" customHeight="1" outlineLevel="2" thickBot="1" x14ac:dyDescent="0.25">
      <c r="A363" s="320" t="s">
        <v>226</v>
      </c>
      <c r="B363" s="347"/>
      <c r="C363" s="350"/>
      <c r="D363" s="344"/>
      <c r="E363" s="278" t="s">
        <v>30</v>
      </c>
      <c r="F363" s="55"/>
      <c r="G363" s="56"/>
      <c r="H363" s="56"/>
      <c r="I363" s="56"/>
      <c r="J363" s="56"/>
      <c r="K363" s="56"/>
      <c r="L363" s="56"/>
      <c r="M363" s="56"/>
      <c r="N363" s="56"/>
      <c r="O363" s="56"/>
      <c r="P363" s="56"/>
      <c r="Q363" s="57"/>
      <c r="R363" s="55"/>
      <c r="S363" s="56"/>
      <c r="T363" s="56"/>
      <c r="U363" s="56"/>
      <c r="V363" s="56"/>
      <c r="W363" s="56"/>
      <c r="X363" s="56"/>
      <c r="Y363" s="56"/>
      <c r="Z363" s="56"/>
      <c r="AA363" s="56"/>
      <c r="AB363" s="56"/>
      <c r="AC363" s="57"/>
      <c r="AD363" s="55"/>
      <c r="AE363" s="56"/>
      <c r="AF363" s="56"/>
      <c r="AG363" s="56"/>
      <c r="AH363" s="56"/>
      <c r="AI363" s="56"/>
      <c r="AJ363" s="56"/>
      <c r="AK363" s="56"/>
      <c r="AL363" s="56"/>
      <c r="AM363" s="56"/>
      <c r="AN363" s="56"/>
      <c r="AO363" s="57"/>
      <c r="AP363" s="227" t="str">
        <f>IFERROR(IF(AVERAGE(F363:K363)&lt;&gt;0,AVERAGE(F363:K363),""),"")</f>
        <v/>
      </c>
      <c r="AQ363" s="228" t="str">
        <f>IFERROR(IF(AVERAGE(L363:Q363)&lt;&gt;0,AVERAGE(L363:Q363),""),"")</f>
        <v/>
      </c>
      <c r="AR363" s="227" t="str">
        <f>IFERROR(IF(AVERAGE(R363:W363)&lt;&gt;0,AVERAGE(R363:W363),""),"")</f>
        <v/>
      </c>
      <c r="AS363" s="228" t="str">
        <f>IFERROR(IF(AVERAGE(X363:AC363)&lt;&gt;0,AVERAGE(X363:AC363),""),"")</f>
        <v/>
      </c>
      <c r="AT363" s="227" t="str">
        <f>IFERROR(IF(AVERAGE(AD363:AI363)&lt;&gt;0,AVERAGE(AD363:AI363),""),"")</f>
        <v/>
      </c>
      <c r="AU363" s="228" t="str">
        <f>IFERROR(IF(AVERAGE(AJ363:AO363)&lt;&gt;0,AVERAGE(AJ363:AO363),""),"")</f>
        <v/>
      </c>
      <c r="AV363" s="71"/>
      <c r="AW363" s="56"/>
      <c r="AX363" s="71"/>
      <c r="AY363" s="56"/>
      <c r="AZ363" s="71"/>
      <c r="BA363" s="56"/>
      <c r="BB363" s="71"/>
      <c r="BC363" s="56"/>
      <c r="BD363" s="71"/>
      <c r="BE363" s="265"/>
      <c r="BF363" s="273" t="str">
        <f>IFERROR(IF(AVERAGE(AP363:AQ363)&lt;&gt;0,AVERAGE(AP363:AQ363),""),"")</f>
        <v/>
      </c>
      <c r="BG363" s="273" t="str">
        <f>IFERROR(IF(AVERAGE(AR363:AS363)&lt;&gt;0,AVERAGE(AR363:AS363),""),"")</f>
        <v/>
      </c>
      <c r="BH363" s="273" t="str">
        <f>IFERROR(IF(AVERAGE(AT363:AU363)&lt;&gt;0,AVERAGE(AT363:AU363),""),"")</f>
        <v/>
      </c>
      <c r="BI363" s="273" t="str">
        <f>IFERROR(IF(AVERAGE(AV363:AW363)&lt;&gt;0,AVERAGE(AV363:AW363),""),"")</f>
        <v/>
      </c>
      <c r="BJ363" s="273" t="str">
        <f>IFERROR(IF(AVERAGE(AX363:AY363)&lt;&gt;0,AVERAGE(AX363:AY363),""),"")</f>
        <v/>
      </c>
      <c r="BK363" s="273" t="str">
        <f>IFERROR(IF(AVERAGE(AZ363:BA363)&lt;&gt;0,AVERAGE(AZ363:BA363),""),"")</f>
        <v/>
      </c>
      <c r="BL363" s="273" t="str">
        <f>IFERROR(IF(AVERAGE(BB363:BC363)&lt;&gt;0,AVERAGE(BB363:BC363),""),"")</f>
        <v/>
      </c>
      <c r="BM363" s="273" t="str">
        <f>IFERROR(IF(AVERAGE(BD363:BE363)&lt;&gt;0,AVERAGE(BD363:BE363),""),"")</f>
        <v/>
      </c>
    </row>
    <row r="364" spans="1:65" s="102" customFormat="1" ht="14.25" customHeight="1" outlineLevel="2" x14ac:dyDescent="0.2">
      <c r="A364" s="320" t="s">
        <v>226</v>
      </c>
      <c r="B364" s="347"/>
      <c r="C364" s="350"/>
      <c r="D364" s="344"/>
      <c r="E364" s="279" t="s">
        <v>25</v>
      </c>
      <c r="F364" s="58"/>
      <c r="G364" s="50"/>
      <c r="H364" s="50"/>
      <c r="I364" s="50"/>
      <c r="J364" s="50"/>
      <c r="K364" s="50"/>
      <c r="L364" s="50"/>
      <c r="M364" s="50"/>
      <c r="N364" s="50"/>
      <c r="O364" s="50"/>
      <c r="P364" s="50"/>
      <c r="Q364" s="59"/>
      <c r="R364" s="58"/>
      <c r="S364" s="50"/>
      <c r="T364" s="50"/>
      <c r="U364" s="50"/>
      <c r="V364" s="50"/>
      <c r="W364" s="50"/>
      <c r="X364" s="50"/>
      <c r="Y364" s="50"/>
      <c r="Z364" s="50"/>
      <c r="AA364" s="50"/>
      <c r="AB364" s="50"/>
      <c r="AC364" s="59"/>
      <c r="AD364" s="58"/>
      <c r="AE364" s="50"/>
      <c r="AF364" s="50"/>
      <c r="AG364" s="50"/>
      <c r="AH364" s="50"/>
      <c r="AI364" s="50"/>
      <c r="AJ364" s="50"/>
      <c r="AK364" s="50"/>
      <c r="AL364" s="50"/>
      <c r="AM364" s="50"/>
      <c r="AN364" s="50"/>
      <c r="AO364" s="59"/>
      <c r="AP364" s="229" t="str">
        <f>IFERROR(IF(SUM(F364:K364)&lt;&gt;0,SUM(F364:K364),""),"")</f>
        <v/>
      </c>
      <c r="AQ364" s="230" t="str">
        <f>IFERROR(IF(SUM(L364:Q364)&lt;&gt;0,SUM(L364:Q364),""),"")</f>
        <v/>
      </c>
      <c r="AR364" s="229" t="str">
        <f>IFERROR(IF(SUM(R364:W364)&lt;&gt;0,SUM(R364:W364),""),"")</f>
        <v/>
      </c>
      <c r="AS364" s="230" t="str">
        <f>IFERROR(IF(SUM(X364:AC364)&lt;&gt;0,SUM(X364:AC364),""),"")</f>
        <v/>
      </c>
      <c r="AT364" s="229" t="str">
        <f>IFERROR(IF(SUM(AD364:AI364)&lt;&gt;0,SUM(AD364:AI364),""),"")</f>
        <v/>
      </c>
      <c r="AU364" s="230" t="str">
        <f>IFERROR(IF(SUM(AJ364:AO364)&lt;&gt;0,SUM(AJ364:AO364),""),"")</f>
        <v/>
      </c>
      <c r="AV364" s="72"/>
      <c r="AW364" s="73"/>
      <c r="AX364" s="72"/>
      <c r="AY364" s="73"/>
      <c r="AZ364" s="72"/>
      <c r="BA364" s="73"/>
      <c r="BB364" s="72"/>
      <c r="BC364" s="73"/>
      <c r="BD364" s="72"/>
      <c r="BE364" s="266"/>
      <c r="BF364" s="286" t="e">
        <f t="shared" ref="BF364:BF367" si="1306">IF(SUM(AP364,AQ364)&lt;&gt;0,SUM(AP364,AQ364),#N/A)</f>
        <v>#N/A</v>
      </c>
      <c r="BG364" s="286" t="e">
        <f t="shared" ref="BG364:BG367" si="1307">IF(SUM(AR364,AS364)&lt;&gt;0,SUM(AR364,AS364),#N/A)</f>
        <v>#N/A</v>
      </c>
      <c r="BH364" s="286" t="e">
        <f t="shared" ref="BH364:BH367" si="1308">IF(SUM(AT364,AU364)&lt;&gt;0,SUM(AT364,AU364),#N/A)</f>
        <v>#N/A</v>
      </c>
      <c r="BI364" s="286" t="e">
        <f t="shared" ref="BI364:BI367" si="1309">IF(SUM(AV364,AW364)&lt;&gt;0,SUM(AV364,AW364),#N/A)</f>
        <v>#N/A</v>
      </c>
      <c r="BJ364" s="286" t="e">
        <f t="shared" ref="BJ364:BJ367" si="1310">IF(SUM(AX364,AY364)&lt;&gt;0,SUM(AX364,AY364),#N/A)</f>
        <v>#N/A</v>
      </c>
      <c r="BK364" s="286" t="e">
        <f t="shared" ref="BK364:BK367" si="1311">IF(SUM(AZ364,BA364)&lt;&gt;0,SUM(AZ364,BA364),#N/A)</f>
        <v>#N/A</v>
      </c>
      <c r="BL364" s="286" t="e">
        <f t="shared" ref="BL364:BL367" si="1312">IF(SUM(BB364,BC364)&lt;&gt;0,SUM(BB364,BC364),#N/A)</f>
        <v>#N/A</v>
      </c>
      <c r="BM364" s="286" t="e">
        <f t="shared" ref="BM364:BM367" si="1313">IF(SUM(BD364,BE364)&lt;&gt;0,SUM(BD364,BE364),#N/A)</f>
        <v>#N/A</v>
      </c>
    </row>
    <row r="365" spans="1:65" s="102" customFormat="1" ht="14.25" customHeight="1" outlineLevel="2" x14ac:dyDescent="0.2">
      <c r="A365" s="320" t="s">
        <v>226</v>
      </c>
      <c r="B365" s="347"/>
      <c r="C365" s="350"/>
      <c r="D365" s="344"/>
      <c r="E365" s="280" t="s">
        <v>26</v>
      </c>
      <c r="F365" s="60"/>
      <c r="G365" s="61"/>
      <c r="H365" s="61"/>
      <c r="I365" s="61"/>
      <c r="J365" s="61"/>
      <c r="K365" s="61"/>
      <c r="L365" s="61"/>
      <c r="M365" s="61"/>
      <c r="N365" s="61"/>
      <c r="O365" s="61"/>
      <c r="P365" s="61"/>
      <c r="Q365" s="62"/>
      <c r="R365" s="60"/>
      <c r="S365" s="61"/>
      <c r="T365" s="61"/>
      <c r="U365" s="61"/>
      <c r="V365" s="61"/>
      <c r="W365" s="61"/>
      <c r="X365" s="61"/>
      <c r="Y365" s="61"/>
      <c r="Z365" s="61"/>
      <c r="AA365" s="61"/>
      <c r="AB365" s="61"/>
      <c r="AC365" s="62"/>
      <c r="AD365" s="60"/>
      <c r="AE365" s="61"/>
      <c r="AF365" s="61"/>
      <c r="AG365" s="61"/>
      <c r="AH365" s="61"/>
      <c r="AI365" s="61"/>
      <c r="AJ365" s="61"/>
      <c r="AK365" s="61"/>
      <c r="AL365" s="61"/>
      <c r="AM365" s="61"/>
      <c r="AN365" s="61"/>
      <c r="AO365" s="62"/>
      <c r="AP365" s="231" t="str">
        <f>IFERROR(IF(SUM(F365:K365)&lt;&gt;0,SUM(F365:K365),""),"")</f>
        <v/>
      </c>
      <c r="AQ365" s="232" t="str">
        <f>IFERROR(IF(SUM(L365:Q365)&lt;&gt;0,SUM(L365:Q365),""),"")</f>
        <v/>
      </c>
      <c r="AR365" s="231" t="str">
        <f>IFERROR(IF(SUM(R365:W365)&lt;&gt;0,SUM(R365:W365),""),"")</f>
        <v/>
      </c>
      <c r="AS365" s="232" t="str">
        <f>IFERROR(IF(SUM(X365:AC365)&lt;&gt;0,SUM(X365:AC365),""),"")</f>
        <v/>
      </c>
      <c r="AT365" s="231" t="str">
        <f>IFERROR(IF(SUM(AD365:AI365)&lt;&gt;0,SUM(AD365:AI365),""),"")</f>
        <v/>
      </c>
      <c r="AU365" s="232" t="str">
        <f>IFERROR(IF(SUM(AJ365:AO365)&lt;&gt;0,SUM(AJ365:AO365),""),"")</f>
        <v/>
      </c>
      <c r="AV365" s="74"/>
      <c r="AW365" s="61"/>
      <c r="AX365" s="74"/>
      <c r="AY365" s="61"/>
      <c r="AZ365" s="74"/>
      <c r="BA365" s="61"/>
      <c r="BB365" s="74"/>
      <c r="BC365" s="61"/>
      <c r="BD365" s="74"/>
      <c r="BE365" s="267"/>
      <c r="BF365" s="287" t="e">
        <f t="shared" si="1306"/>
        <v>#N/A</v>
      </c>
      <c r="BG365" s="287" t="e">
        <f t="shared" si="1307"/>
        <v>#N/A</v>
      </c>
      <c r="BH365" s="287" t="e">
        <f t="shared" si="1308"/>
        <v>#N/A</v>
      </c>
      <c r="BI365" s="287" t="e">
        <f t="shared" si="1309"/>
        <v>#N/A</v>
      </c>
      <c r="BJ365" s="287" t="e">
        <f t="shared" si="1310"/>
        <v>#N/A</v>
      </c>
      <c r="BK365" s="287" t="e">
        <f t="shared" si="1311"/>
        <v>#N/A</v>
      </c>
      <c r="BL365" s="287" t="e">
        <f t="shared" si="1312"/>
        <v>#N/A</v>
      </c>
      <c r="BM365" s="287" t="e">
        <f t="shared" si="1313"/>
        <v>#N/A</v>
      </c>
    </row>
    <row r="366" spans="1:65" s="102" customFormat="1" ht="14.25" customHeight="1" outlineLevel="2" x14ac:dyDescent="0.2">
      <c r="A366" s="320" t="s">
        <v>226</v>
      </c>
      <c r="B366" s="347"/>
      <c r="C366" s="350"/>
      <c r="D366" s="344"/>
      <c r="E366" s="280" t="s">
        <v>27</v>
      </c>
      <c r="F366" s="60"/>
      <c r="G366" s="61"/>
      <c r="H366" s="61"/>
      <c r="I366" s="61"/>
      <c r="J366" s="61"/>
      <c r="K366" s="61"/>
      <c r="L366" s="61"/>
      <c r="M366" s="61"/>
      <c r="N366" s="61"/>
      <c r="O366" s="61"/>
      <c r="P366" s="61"/>
      <c r="Q366" s="62"/>
      <c r="R366" s="60"/>
      <c r="S366" s="61"/>
      <c r="T366" s="61"/>
      <c r="U366" s="61"/>
      <c r="V366" s="61"/>
      <c r="W366" s="61"/>
      <c r="X366" s="61"/>
      <c r="Y366" s="61"/>
      <c r="Z366" s="61"/>
      <c r="AA366" s="61"/>
      <c r="AB366" s="61"/>
      <c r="AC366" s="62"/>
      <c r="AD366" s="60"/>
      <c r="AE366" s="61"/>
      <c r="AF366" s="61"/>
      <c r="AG366" s="61"/>
      <c r="AH366" s="61"/>
      <c r="AI366" s="61"/>
      <c r="AJ366" s="61"/>
      <c r="AK366" s="61"/>
      <c r="AL366" s="61"/>
      <c r="AM366" s="61"/>
      <c r="AN366" s="61"/>
      <c r="AO366" s="62"/>
      <c r="AP366" s="231" t="str">
        <f>IFERROR(IF(SUM(F366:K366)&lt;&gt;0,SUM(F366:K366),""),"")</f>
        <v/>
      </c>
      <c r="AQ366" s="232" t="str">
        <f>IFERROR(IF(SUM(L366:Q366)&lt;&gt;0,SUM(L366:Q366),""),"")</f>
        <v/>
      </c>
      <c r="AR366" s="231" t="str">
        <f>IFERROR(IF(SUM(R366:W366)&lt;&gt;0,SUM(R366:W366),""),"")</f>
        <v/>
      </c>
      <c r="AS366" s="232" t="str">
        <f>IFERROR(IF(SUM(X366:AC366)&lt;&gt;0,SUM(X366:AC366),""),"")</f>
        <v/>
      </c>
      <c r="AT366" s="231" t="str">
        <f>IFERROR(IF(SUM(AD366:AI366)&lt;&gt;0,SUM(AD366:AI366),""),"")</f>
        <v/>
      </c>
      <c r="AU366" s="232" t="str">
        <f>IFERROR(IF(SUM(AJ366:AO366)&lt;&gt;0,SUM(AJ366:AO366),""),"")</f>
        <v/>
      </c>
      <c r="AV366" s="74"/>
      <c r="AW366" s="61"/>
      <c r="AX366" s="74"/>
      <c r="AY366" s="61"/>
      <c r="AZ366" s="74"/>
      <c r="BA366" s="61"/>
      <c r="BB366" s="74"/>
      <c r="BC366" s="61"/>
      <c r="BD366" s="74"/>
      <c r="BE366" s="267"/>
      <c r="BF366" s="287" t="e">
        <f t="shared" si="1306"/>
        <v>#N/A</v>
      </c>
      <c r="BG366" s="287" t="e">
        <f t="shared" si="1307"/>
        <v>#N/A</v>
      </c>
      <c r="BH366" s="287" t="e">
        <f t="shared" si="1308"/>
        <v>#N/A</v>
      </c>
      <c r="BI366" s="287" t="e">
        <f t="shared" si="1309"/>
        <v>#N/A</v>
      </c>
      <c r="BJ366" s="287" t="e">
        <f t="shared" si="1310"/>
        <v>#N/A</v>
      </c>
      <c r="BK366" s="287" t="e">
        <f t="shared" si="1311"/>
        <v>#N/A</v>
      </c>
      <c r="BL366" s="287" t="e">
        <f t="shared" si="1312"/>
        <v>#N/A</v>
      </c>
      <c r="BM366" s="287" t="e">
        <f t="shared" si="1313"/>
        <v>#N/A</v>
      </c>
    </row>
    <row r="367" spans="1:65" s="102" customFormat="1" ht="15" customHeight="1" outlineLevel="2" thickBot="1" x14ac:dyDescent="0.25">
      <c r="A367" s="320" t="s">
        <v>226</v>
      </c>
      <c r="B367" s="347"/>
      <c r="C367" s="350"/>
      <c r="D367" s="344"/>
      <c r="E367" s="281" t="s">
        <v>88</v>
      </c>
      <c r="F367" s="63"/>
      <c r="G367" s="48"/>
      <c r="H367" s="48"/>
      <c r="I367" s="48"/>
      <c r="J367" s="48"/>
      <c r="K367" s="48"/>
      <c r="L367" s="48"/>
      <c r="M367" s="48"/>
      <c r="N367" s="48"/>
      <c r="O367" s="48"/>
      <c r="P367" s="48"/>
      <c r="Q367" s="51"/>
      <c r="R367" s="63"/>
      <c r="S367" s="48"/>
      <c r="T367" s="48"/>
      <c r="U367" s="48"/>
      <c r="V367" s="48"/>
      <c r="W367" s="48"/>
      <c r="X367" s="48"/>
      <c r="Y367" s="48"/>
      <c r="Z367" s="48"/>
      <c r="AA367" s="48"/>
      <c r="AB367" s="48"/>
      <c r="AC367" s="51"/>
      <c r="AD367" s="63"/>
      <c r="AE367" s="48"/>
      <c r="AF367" s="48"/>
      <c r="AG367" s="48"/>
      <c r="AH367" s="48"/>
      <c r="AI367" s="48"/>
      <c r="AJ367" s="48"/>
      <c r="AK367" s="48"/>
      <c r="AL367" s="48"/>
      <c r="AM367" s="48"/>
      <c r="AN367" s="48"/>
      <c r="AO367" s="51"/>
      <c r="AP367" s="233" t="str">
        <f>IFERROR(IF(SUM(F367:K367)&lt;&gt;0,SUM(F367:K367),""),"")</f>
        <v/>
      </c>
      <c r="AQ367" s="234" t="str">
        <f>IFERROR(IF(SUM(L367:Q367)&lt;&gt;0,SUM(L367:Q367),""),"")</f>
        <v/>
      </c>
      <c r="AR367" s="233" t="str">
        <f>IFERROR(IF(SUM(R367:W367)&lt;&gt;0,SUM(R367:W367),""),"")</f>
        <v/>
      </c>
      <c r="AS367" s="234" t="str">
        <f>IFERROR(IF(SUM(X367:AC367)&lt;&gt;0,SUM(X367:AC367),""),"")</f>
        <v/>
      </c>
      <c r="AT367" s="233" t="str">
        <f>IFERROR(IF(SUM(AD367:AI367)&lt;&gt;0,SUM(AD367:AI367),""),"")</f>
        <v/>
      </c>
      <c r="AU367" s="234" t="str">
        <f>IFERROR(IF(SUM(AJ367:AO367)&lt;&gt;0,SUM(AJ367:AO367),""),"")</f>
        <v/>
      </c>
      <c r="AV367" s="75"/>
      <c r="AW367" s="76"/>
      <c r="AX367" s="75"/>
      <c r="AY367" s="76"/>
      <c r="AZ367" s="75"/>
      <c r="BA367" s="76"/>
      <c r="BB367" s="75"/>
      <c r="BC367" s="76"/>
      <c r="BD367" s="75"/>
      <c r="BE367" s="268"/>
      <c r="BF367" s="271" t="e">
        <f t="shared" si="1306"/>
        <v>#N/A</v>
      </c>
      <c r="BG367" s="271" t="e">
        <f t="shared" si="1307"/>
        <v>#N/A</v>
      </c>
      <c r="BH367" s="271" t="e">
        <f t="shared" si="1308"/>
        <v>#N/A</v>
      </c>
      <c r="BI367" s="271" t="e">
        <f t="shared" si="1309"/>
        <v>#N/A</v>
      </c>
      <c r="BJ367" s="271" t="e">
        <f t="shared" si="1310"/>
        <v>#N/A</v>
      </c>
      <c r="BK367" s="271" t="e">
        <f t="shared" si="1311"/>
        <v>#N/A</v>
      </c>
      <c r="BL367" s="271" t="e">
        <f t="shared" si="1312"/>
        <v>#N/A</v>
      </c>
      <c r="BM367" s="271" t="e">
        <f t="shared" si="1313"/>
        <v>#N/A</v>
      </c>
    </row>
    <row r="368" spans="1:65" s="102" customFormat="1" ht="14.25" customHeight="1" outlineLevel="2" x14ac:dyDescent="0.2">
      <c r="A368" s="320" t="s">
        <v>226</v>
      </c>
      <c r="B368" s="347"/>
      <c r="C368" s="350"/>
      <c r="D368" s="344"/>
      <c r="E368" s="279" t="s">
        <v>32</v>
      </c>
      <c r="F368" s="64"/>
      <c r="G368" s="65"/>
      <c r="H368" s="65"/>
      <c r="I368" s="65"/>
      <c r="J368" s="65"/>
      <c r="K368" s="65"/>
      <c r="L368" s="65"/>
      <c r="M368" s="65"/>
      <c r="N368" s="65"/>
      <c r="O368" s="65"/>
      <c r="P368" s="65"/>
      <c r="Q368" s="66"/>
      <c r="R368" s="64"/>
      <c r="S368" s="65"/>
      <c r="T368" s="65"/>
      <c r="U368" s="65"/>
      <c r="V368" s="65"/>
      <c r="W368" s="65"/>
      <c r="X368" s="65"/>
      <c r="Y368" s="65"/>
      <c r="Z368" s="65"/>
      <c r="AA368" s="65"/>
      <c r="AB368" s="65"/>
      <c r="AC368" s="66"/>
      <c r="AD368" s="64"/>
      <c r="AE368" s="65"/>
      <c r="AF368" s="65"/>
      <c r="AG368" s="65"/>
      <c r="AH368" s="65"/>
      <c r="AI368" s="65"/>
      <c r="AJ368" s="65"/>
      <c r="AK368" s="65"/>
      <c r="AL368" s="65"/>
      <c r="AM368" s="65"/>
      <c r="AN368" s="65"/>
      <c r="AO368" s="66"/>
      <c r="AP368" s="32" t="str">
        <f>IFERROR(IF(AVERAGE(F368:K368)&lt;&gt;0,AVERAGE(F368:K368),""),"")</f>
        <v/>
      </c>
      <c r="AQ368" s="235" t="str">
        <f>IFERROR(IF(AVERAGE(L368:Q368)&lt;&gt;0,AVERAGE(L368:Q368),""),"")</f>
        <v/>
      </c>
      <c r="AR368" s="32" t="str">
        <f>IFERROR(IF(AVERAGE(R368:W368)&lt;&gt;0,AVERAGE(R368:W368),""),"")</f>
        <v/>
      </c>
      <c r="AS368" s="235" t="str">
        <f>IFERROR(IF(AVERAGE(X368:AC368)&lt;&gt;0,AVERAGE(X368:AC368),""),"")</f>
        <v/>
      </c>
      <c r="AT368" s="32" t="str">
        <f>IFERROR(IF(AVERAGE(AD368:AI368)&lt;&gt;0,AVERAGE(AD368:AI368),""),"")</f>
        <v/>
      </c>
      <c r="AU368" s="235" t="str">
        <f>IFERROR(IF(AVERAGE(AJ368:AO368)&lt;&gt;0,AVERAGE(AJ368:AO368),""),"")</f>
        <v/>
      </c>
      <c r="AV368" s="77"/>
      <c r="AW368" s="65"/>
      <c r="AX368" s="77"/>
      <c r="AY368" s="65"/>
      <c r="AZ368" s="77"/>
      <c r="BA368" s="65"/>
      <c r="BB368" s="77"/>
      <c r="BC368" s="65"/>
      <c r="BD368" s="77"/>
      <c r="BE368" s="269"/>
      <c r="BF368" s="272" t="str">
        <f>IFERROR(IF(AVERAGE(AP368:AQ368)&lt;&gt;0,AVERAGE(AP368:AQ368),""),"")</f>
        <v/>
      </c>
      <c r="BG368" s="272" t="str">
        <f>IFERROR(IF(AVERAGE(AR368:AS368)&lt;&gt;0,AVERAGE(AR368:AS368),""),"")</f>
        <v/>
      </c>
      <c r="BH368" s="272" t="str">
        <f>IFERROR(IF(AVERAGE(AT368:AU368)&lt;&gt;0,AVERAGE(AT368:AU368),""),"")</f>
        <v/>
      </c>
      <c r="BI368" s="272" t="str">
        <f>IFERROR(IF(AVERAGE(AV368:AW368)&lt;&gt;0,AVERAGE(AV368:AW368),""),"")</f>
        <v/>
      </c>
      <c r="BJ368" s="272" t="str">
        <f>IFERROR(IF(AVERAGE(AX368:AY368)&lt;&gt;0,AVERAGE(AX368:AY368),""),"")</f>
        <v/>
      </c>
      <c r="BK368" s="272" t="str">
        <f>IFERROR(IF(AVERAGE(AZ368:BA368)&lt;&gt;0,AVERAGE(AZ368:BA368),""),"")</f>
        <v/>
      </c>
      <c r="BL368" s="272" t="str">
        <f>IFERROR(IF(AVERAGE(BB368:BC368)&lt;&gt;0,AVERAGE(BB368:BC368),""),"")</f>
        <v/>
      </c>
      <c r="BM368" s="272" t="str">
        <f>IFERROR(IF(AVERAGE(BD368:BE368)&lt;&gt;0,AVERAGE(BD368:BE368),""),"")</f>
        <v/>
      </c>
    </row>
    <row r="369" spans="1:65" s="102" customFormat="1" ht="15" customHeight="1" outlineLevel="2" thickBot="1" x14ac:dyDescent="0.25">
      <c r="A369" s="320" t="s">
        <v>226</v>
      </c>
      <c r="B369" s="347"/>
      <c r="C369" s="350"/>
      <c r="D369" s="344"/>
      <c r="E369" s="281" t="s">
        <v>2</v>
      </c>
      <c r="F369" s="67"/>
      <c r="G369" s="68"/>
      <c r="H369" s="68"/>
      <c r="I369" s="68"/>
      <c r="J369" s="68"/>
      <c r="K369" s="68"/>
      <c r="L369" s="68"/>
      <c r="M369" s="68"/>
      <c r="N369" s="68"/>
      <c r="O369" s="68"/>
      <c r="P369" s="68"/>
      <c r="Q369" s="69"/>
      <c r="R369" s="67"/>
      <c r="S369" s="68"/>
      <c r="T369" s="68"/>
      <c r="U369" s="68"/>
      <c r="V369" s="68"/>
      <c r="W369" s="68"/>
      <c r="X369" s="68"/>
      <c r="Y369" s="68"/>
      <c r="Z369" s="68"/>
      <c r="AA369" s="68"/>
      <c r="AB369" s="68"/>
      <c r="AC369" s="69"/>
      <c r="AD369" s="67"/>
      <c r="AE369" s="68"/>
      <c r="AF369" s="68"/>
      <c r="AG369" s="68"/>
      <c r="AH369" s="68"/>
      <c r="AI369" s="68"/>
      <c r="AJ369" s="68"/>
      <c r="AK369" s="68"/>
      <c r="AL369" s="68"/>
      <c r="AM369" s="68"/>
      <c r="AN369" s="68"/>
      <c r="AO369" s="69"/>
      <c r="AP369" s="236" t="str">
        <f>IFERROR(IF(AVERAGE(F369:K369)&lt;&gt;0,AVERAGE(F369:K369),""),"")</f>
        <v/>
      </c>
      <c r="AQ369" s="237" t="str">
        <f>IFERROR(IF(AVERAGE(L369:Q369)&lt;&gt;0,AVERAGE(L369:Q369),""),"")</f>
        <v/>
      </c>
      <c r="AR369" s="236" t="str">
        <f>IFERROR(IF(AVERAGE(R369:W369)&lt;&gt;0,AVERAGE(R369:W369),""),"")</f>
        <v/>
      </c>
      <c r="AS369" s="237" t="str">
        <f>IFERROR(IF(AVERAGE(X369:AC369)&lt;&gt;0,AVERAGE(X369:AC369),""),"")</f>
        <v/>
      </c>
      <c r="AT369" s="236" t="str">
        <f>IFERROR(IF(AVERAGE(AD369:AI369)&lt;&gt;0,AVERAGE(AD369:AI369),""),"")</f>
        <v/>
      </c>
      <c r="AU369" s="237" t="str">
        <f>IFERROR(IF(AVERAGE(AJ369:AO369)&lt;&gt;0,AVERAGE(AJ369:AO369),""),"")</f>
        <v/>
      </c>
      <c r="AV369" s="78"/>
      <c r="AW369" s="68"/>
      <c r="AX369" s="78"/>
      <c r="AY369" s="68"/>
      <c r="AZ369" s="78"/>
      <c r="BA369" s="68"/>
      <c r="BB369" s="78"/>
      <c r="BC369" s="68"/>
      <c r="BD369" s="78"/>
      <c r="BE369" s="270"/>
      <c r="BF369" s="288" t="str">
        <f>IFERROR(IF(AVERAGE(AP369:AQ369)&lt;&gt;0,AVERAGE(AP369:AQ369),""),"")</f>
        <v/>
      </c>
      <c r="BG369" s="288" t="str">
        <f>IFERROR(IF(AVERAGE(AR369:AS369)&lt;&gt;0,AVERAGE(AR369:AS369),""),"")</f>
        <v/>
      </c>
      <c r="BH369" s="288" t="str">
        <f>IFERROR(IF(AVERAGE(AT369:AU369)&lt;&gt;0,AVERAGE(AT369:AU369),""),"")</f>
        <v/>
      </c>
      <c r="BI369" s="288" t="str">
        <f>IFERROR(IF(AVERAGE(AV369:AW369)&lt;&gt;0,AVERAGE(AV369:AW369),""),"")</f>
        <v/>
      </c>
      <c r="BJ369" s="288" t="str">
        <f>IFERROR(IF(AVERAGE(AX369:AY369)&lt;&gt;0,AVERAGE(AX369:AY369),""),"")</f>
        <v/>
      </c>
      <c r="BK369" s="288" t="str">
        <f>IFERROR(IF(AVERAGE(AZ369:BA369)&lt;&gt;0,AVERAGE(AZ369:BA369),""),"")</f>
        <v/>
      </c>
      <c r="BL369" s="288" t="str">
        <f>IFERROR(IF(AVERAGE(BB369:BC369)&lt;&gt;0,AVERAGE(BB369:BC369),""),"")</f>
        <v/>
      </c>
      <c r="BM369" s="288" t="str">
        <f>IFERROR(IF(AVERAGE(BD369:BE369)&lt;&gt;0,AVERAGE(BD369:BE369),""),"")</f>
        <v/>
      </c>
    </row>
    <row r="370" spans="1:65" s="102" customFormat="1" ht="14.25" customHeight="1" outlineLevel="1" x14ac:dyDescent="0.2">
      <c r="A370" s="320" t="s">
        <v>226</v>
      </c>
      <c r="B370" s="347"/>
      <c r="C370" s="350"/>
      <c r="D370" s="344"/>
      <c r="E370" s="282" t="s">
        <v>228</v>
      </c>
      <c r="F370" s="283" t="str">
        <f ca="1">IF(IFERROR((F$11*(F362-SUM(F364:F367)/F$11)*F369*3600)/(F368),"")&gt;0,IFERROR((F$11*(F362-SUM(F364:F367)/F$11)*F369*3600)/(F368),""),"")</f>
        <v/>
      </c>
      <c r="G370" s="284" t="str">
        <f t="shared" ref="G370:AO370" ca="1" si="1314">IF(IFERROR((G$11*(G362-SUM(G364:G367)/G$11)*G369*3600)/(G368),"")&gt;0,IFERROR((G$11*(G362-SUM(G364:G367)/G$11)*G369*3600)/(G368),""),"")</f>
        <v/>
      </c>
      <c r="H370" s="284" t="str">
        <f t="shared" ca="1" si="1314"/>
        <v/>
      </c>
      <c r="I370" s="284" t="str">
        <f t="shared" ca="1" si="1314"/>
        <v/>
      </c>
      <c r="J370" s="284" t="str">
        <f t="shared" ca="1" si="1314"/>
        <v/>
      </c>
      <c r="K370" s="284" t="str">
        <f t="shared" ca="1" si="1314"/>
        <v/>
      </c>
      <c r="L370" s="284" t="str">
        <f t="shared" ca="1" si="1314"/>
        <v/>
      </c>
      <c r="M370" s="284" t="str">
        <f t="shared" ca="1" si="1314"/>
        <v/>
      </c>
      <c r="N370" s="284" t="str">
        <f t="shared" ca="1" si="1314"/>
        <v/>
      </c>
      <c r="O370" s="284" t="str">
        <f t="shared" ca="1" si="1314"/>
        <v/>
      </c>
      <c r="P370" s="284" t="str">
        <f t="shared" ca="1" si="1314"/>
        <v/>
      </c>
      <c r="Q370" s="284" t="str">
        <f t="shared" ca="1" si="1314"/>
        <v/>
      </c>
      <c r="R370" s="283" t="str">
        <f t="shared" ca="1" si="1314"/>
        <v/>
      </c>
      <c r="S370" s="284" t="str">
        <f t="shared" ca="1" si="1314"/>
        <v/>
      </c>
      <c r="T370" s="284" t="str">
        <f t="shared" ca="1" si="1314"/>
        <v/>
      </c>
      <c r="U370" s="284" t="str">
        <f t="shared" ca="1" si="1314"/>
        <v/>
      </c>
      <c r="V370" s="284" t="str">
        <f t="shared" ca="1" si="1314"/>
        <v/>
      </c>
      <c r="W370" s="284" t="str">
        <f t="shared" ca="1" si="1314"/>
        <v/>
      </c>
      <c r="X370" s="284" t="str">
        <f t="shared" ca="1" si="1314"/>
        <v/>
      </c>
      <c r="Y370" s="284" t="str">
        <f t="shared" ca="1" si="1314"/>
        <v/>
      </c>
      <c r="Z370" s="284" t="str">
        <f t="shared" ca="1" si="1314"/>
        <v/>
      </c>
      <c r="AA370" s="284" t="str">
        <f t="shared" ca="1" si="1314"/>
        <v/>
      </c>
      <c r="AB370" s="284" t="str">
        <f t="shared" ca="1" si="1314"/>
        <v/>
      </c>
      <c r="AC370" s="284" t="str">
        <f t="shared" ca="1" si="1314"/>
        <v/>
      </c>
      <c r="AD370" s="283" t="str">
        <f t="shared" ca="1" si="1314"/>
        <v/>
      </c>
      <c r="AE370" s="284" t="str">
        <f t="shared" ca="1" si="1314"/>
        <v/>
      </c>
      <c r="AF370" s="284" t="str">
        <f t="shared" ca="1" si="1314"/>
        <v/>
      </c>
      <c r="AG370" s="284" t="str">
        <f t="shared" ca="1" si="1314"/>
        <v/>
      </c>
      <c r="AH370" s="284" t="str">
        <f t="shared" ca="1" si="1314"/>
        <v/>
      </c>
      <c r="AI370" s="284" t="str">
        <f t="shared" ca="1" si="1314"/>
        <v/>
      </c>
      <c r="AJ370" s="284" t="str">
        <f t="shared" ca="1" si="1314"/>
        <v/>
      </c>
      <c r="AK370" s="284" t="str">
        <f t="shared" ca="1" si="1314"/>
        <v/>
      </c>
      <c r="AL370" s="284" t="str">
        <f t="shared" ca="1" si="1314"/>
        <v/>
      </c>
      <c r="AM370" s="284" t="str">
        <f t="shared" ca="1" si="1314"/>
        <v/>
      </c>
      <c r="AN370" s="284" t="str">
        <f t="shared" ca="1" si="1314"/>
        <v/>
      </c>
      <c r="AO370" s="284" t="str">
        <f t="shared" ca="1" si="1314"/>
        <v/>
      </c>
      <c r="AP370" s="283" t="e">
        <f t="shared" ref="AP370:AP371" ca="1" si="1315">IF(SUM(F370:K370)&lt;&gt;0,SUM(F370:K370),#N/A)</f>
        <v>#N/A</v>
      </c>
      <c r="AQ370" s="284" t="e">
        <f t="shared" ref="AQ370:AQ371" ca="1" si="1316">IF(SUM(L370:Q370)&lt;&gt;0,SUM(L370:Q370),#N/A)</f>
        <v>#N/A</v>
      </c>
      <c r="AR370" s="283" t="e">
        <f t="shared" ref="AR370:AR371" ca="1" si="1317">IF(SUM(R370:W370)&lt;&gt;0,SUM(R370:W370),#N/A)</f>
        <v>#N/A</v>
      </c>
      <c r="AS370" s="284" t="e">
        <f t="shared" ref="AS370:AS371" ca="1" si="1318">IF(SUM(X370:AC370)&lt;&gt;0,SUM(X370:AC370),#N/A)</f>
        <v>#N/A</v>
      </c>
      <c r="AT370" s="283" t="e">
        <f t="shared" ref="AT370:AT371" ca="1" si="1319">IF(SUM(AD370:AI370)&lt;&gt;0,SUM(AD370:AI370),#N/A)</f>
        <v>#N/A</v>
      </c>
      <c r="AU370" s="284" t="e">
        <f t="shared" ref="AU370:AU371" ca="1" si="1320">IF(SUM(AJ370:AO370)&lt;&gt;0,SUM(AJ370:AO370),#N/A)</f>
        <v>#N/A</v>
      </c>
      <c r="AV370" s="283" t="str">
        <f ca="1">IF(IFERROR((AV$11*(AV362-SUM(AV364:AV367)/AV$11)*AV369*3600)/(AV368),"")&lt;&gt;0,IFERROR((AV$11*(AV362-SUM(AV364:AV367)/AV$11)*AV369*3600)/(AV368),""),"")</f>
        <v/>
      </c>
      <c r="AW370" s="284" t="str">
        <f t="shared" ref="AW370:BE370" ca="1" si="1321">IF(IFERROR((AW$11*(AW362-SUM(AW364:AW367)/AW$11)*AW369*3600)/(AW368),"")&lt;&gt;0,IFERROR((AW$11*(AW362-SUM(AW364:AW367)/AW$11)*AW369*3600)/(AW368),""),"")</f>
        <v/>
      </c>
      <c r="AX370" s="283" t="str">
        <f t="shared" ca="1" si="1321"/>
        <v/>
      </c>
      <c r="AY370" s="284" t="str">
        <f t="shared" ca="1" si="1321"/>
        <v/>
      </c>
      <c r="AZ370" s="283" t="str">
        <f t="shared" ca="1" si="1321"/>
        <v/>
      </c>
      <c r="BA370" s="284" t="str">
        <f t="shared" ca="1" si="1321"/>
        <v/>
      </c>
      <c r="BB370" s="283" t="str">
        <f t="shared" ca="1" si="1321"/>
        <v/>
      </c>
      <c r="BC370" s="284" t="str">
        <f t="shared" ca="1" si="1321"/>
        <v/>
      </c>
      <c r="BD370" s="283" t="str">
        <f t="shared" ca="1" si="1321"/>
        <v/>
      </c>
      <c r="BE370" s="285" t="str">
        <f t="shared" ca="1" si="1321"/>
        <v/>
      </c>
      <c r="BF370" s="285" t="e">
        <f t="shared" ref="BF370:BF371" ca="1" si="1322">IF(SUM(AP370,AQ370)&lt;&gt;0,SUM(AP370,AQ370),#N/A)</f>
        <v>#N/A</v>
      </c>
      <c r="BG370" s="285" t="e">
        <f t="shared" ref="BG370:BG371" ca="1" si="1323">IF(SUM(AR370,AS370)&lt;&gt;0,SUM(AR370,AS370),#N/A)</f>
        <v>#N/A</v>
      </c>
      <c r="BH370" s="285" t="e">
        <f t="shared" ref="BH370:BH371" ca="1" si="1324">IF(SUM(AT370,AU370)&lt;&gt;0,SUM(AT370,AU370),#N/A)</f>
        <v>#N/A</v>
      </c>
      <c r="BI370" s="285" t="e">
        <f t="shared" ref="BI370:BI371" ca="1" si="1325">IF(SUM(AV370,AW370)&lt;&gt;0,SUM(AV370,AW370),#N/A)</f>
        <v>#N/A</v>
      </c>
      <c r="BJ370" s="285" t="e">
        <f t="shared" ref="BJ370:BJ371" ca="1" si="1326">IF(SUM(AX370,AY370)&lt;&gt;0,SUM(AX370,AY370),#N/A)</f>
        <v>#N/A</v>
      </c>
      <c r="BK370" s="285" t="e">
        <f t="shared" ref="BK370:BK371" ca="1" si="1327">IF(SUM(AZ370,BA370)&lt;&gt;0,SUM(AZ370,BA370),#N/A)</f>
        <v>#N/A</v>
      </c>
      <c r="BL370" s="285" t="e">
        <f t="shared" ref="BL370:BL371" ca="1" si="1328">IF(SUM(BB370,BC370)&lt;&gt;0,SUM(BB370,BC370),#N/A)</f>
        <v>#N/A</v>
      </c>
      <c r="BM370" s="285" t="e">
        <f t="shared" ref="BM370:BM371" ca="1" si="1329">IF(SUM(BD370,BE370)&lt;&gt;0,SUM(BD370,BE370),#N/A)</f>
        <v>#N/A</v>
      </c>
    </row>
    <row r="371" spans="1:65" s="102" customFormat="1" ht="15" customHeight="1" outlineLevel="1" thickBot="1" x14ac:dyDescent="0.25">
      <c r="A371" s="320" t="s">
        <v>226</v>
      </c>
      <c r="B371" s="348"/>
      <c r="C371" s="351"/>
      <c r="D371" s="345"/>
      <c r="E371" s="290" t="s">
        <v>225</v>
      </c>
      <c r="F371" s="317" t="str">
        <f ca="1">IFERROR(F370+((F361*F363*F369*3600)/(F368)),"")</f>
        <v/>
      </c>
      <c r="G371" s="318" t="str">
        <f t="shared" ref="G371:AO371" ca="1" si="1330">IFERROR(G370+((G361*G363*G369*3600)/(G368)),"")</f>
        <v/>
      </c>
      <c r="H371" s="318" t="str">
        <f t="shared" ca="1" si="1330"/>
        <v/>
      </c>
      <c r="I371" s="318" t="str">
        <f t="shared" ca="1" si="1330"/>
        <v/>
      </c>
      <c r="J371" s="318" t="str">
        <f t="shared" ca="1" si="1330"/>
        <v/>
      </c>
      <c r="K371" s="318" t="str">
        <f t="shared" ca="1" si="1330"/>
        <v/>
      </c>
      <c r="L371" s="318" t="str">
        <f t="shared" ca="1" si="1330"/>
        <v/>
      </c>
      <c r="M371" s="318" t="str">
        <f t="shared" ca="1" si="1330"/>
        <v/>
      </c>
      <c r="N371" s="318" t="str">
        <f t="shared" ca="1" si="1330"/>
        <v/>
      </c>
      <c r="O371" s="318" t="str">
        <f t="shared" ca="1" si="1330"/>
        <v/>
      </c>
      <c r="P371" s="318" t="str">
        <f t="shared" ca="1" si="1330"/>
        <v/>
      </c>
      <c r="Q371" s="318" t="str">
        <f t="shared" ca="1" si="1330"/>
        <v/>
      </c>
      <c r="R371" s="317" t="str">
        <f t="shared" ca="1" si="1330"/>
        <v/>
      </c>
      <c r="S371" s="318" t="str">
        <f t="shared" ca="1" si="1330"/>
        <v/>
      </c>
      <c r="T371" s="318" t="str">
        <f t="shared" ca="1" si="1330"/>
        <v/>
      </c>
      <c r="U371" s="318" t="str">
        <f t="shared" ca="1" si="1330"/>
        <v/>
      </c>
      <c r="V371" s="318" t="str">
        <f t="shared" ca="1" si="1330"/>
        <v/>
      </c>
      <c r="W371" s="318" t="str">
        <f t="shared" ca="1" si="1330"/>
        <v/>
      </c>
      <c r="X371" s="318" t="str">
        <f t="shared" ca="1" si="1330"/>
        <v/>
      </c>
      <c r="Y371" s="318" t="str">
        <f t="shared" ca="1" si="1330"/>
        <v/>
      </c>
      <c r="Z371" s="318" t="str">
        <f t="shared" ca="1" si="1330"/>
        <v/>
      </c>
      <c r="AA371" s="318" t="str">
        <f t="shared" ca="1" si="1330"/>
        <v/>
      </c>
      <c r="AB371" s="318" t="str">
        <f t="shared" ca="1" si="1330"/>
        <v/>
      </c>
      <c r="AC371" s="318" t="str">
        <f t="shared" ca="1" si="1330"/>
        <v/>
      </c>
      <c r="AD371" s="317" t="str">
        <f t="shared" ca="1" si="1330"/>
        <v/>
      </c>
      <c r="AE371" s="318" t="str">
        <f t="shared" ca="1" si="1330"/>
        <v/>
      </c>
      <c r="AF371" s="318" t="str">
        <f t="shared" ca="1" si="1330"/>
        <v/>
      </c>
      <c r="AG371" s="318" t="str">
        <f t="shared" ca="1" si="1330"/>
        <v/>
      </c>
      <c r="AH371" s="318" t="str">
        <f t="shared" ca="1" si="1330"/>
        <v/>
      </c>
      <c r="AI371" s="318" t="str">
        <f t="shared" ca="1" si="1330"/>
        <v/>
      </c>
      <c r="AJ371" s="318" t="str">
        <f t="shared" ca="1" si="1330"/>
        <v/>
      </c>
      <c r="AK371" s="318" t="str">
        <f t="shared" ca="1" si="1330"/>
        <v/>
      </c>
      <c r="AL371" s="318" t="str">
        <f t="shared" ca="1" si="1330"/>
        <v/>
      </c>
      <c r="AM371" s="318" t="str">
        <f t="shared" ca="1" si="1330"/>
        <v/>
      </c>
      <c r="AN371" s="318" t="str">
        <f t="shared" ca="1" si="1330"/>
        <v/>
      </c>
      <c r="AO371" s="318" t="str">
        <f t="shared" ca="1" si="1330"/>
        <v/>
      </c>
      <c r="AP371" s="317" t="e">
        <f t="shared" ca="1" si="1315"/>
        <v>#N/A</v>
      </c>
      <c r="AQ371" s="318" t="e">
        <f t="shared" ca="1" si="1316"/>
        <v>#N/A</v>
      </c>
      <c r="AR371" s="317" t="e">
        <f t="shared" ca="1" si="1317"/>
        <v>#N/A</v>
      </c>
      <c r="AS371" s="318" t="e">
        <f t="shared" ca="1" si="1318"/>
        <v>#N/A</v>
      </c>
      <c r="AT371" s="317" t="e">
        <f t="shared" ca="1" si="1319"/>
        <v>#N/A</v>
      </c>
      <c r="AU371" s="318" t="e">
        <f t="shared" ca="1" si="1320"/>
        <v>#N/A</v>
      </c>
      <c r="AV371" s="317" t="str">
        <f t="shared" ref="AV371:BE371" ca="1" si="1331">IFERROR(AV370+((AV361*AV363*AV369*3600)/(AV368)),"")</f>
        <v/>
      </c>
      <c r="AW371" s="318" t="str">
        <f t="shared" ca="1" si="1331"/>
        <v/>
      </c>
      <c r="AX371" s="317" t="str">
        <f t="shared" ca="1" si="1331"/>
        <v/>
      </c>
      <c r="AY371" s="318" t="str">
        <f t="shared" ca="1" si="1331"/>
        <v/>
      </c>
      <c r="AZ371" s="317" t="str">
        <f t="shared" ca="1" si="1331"/>
        <v/>
      </c>
      <c r="BA371" s="318" t="str">
        <f t="shared" ca="1" si="1331"/>
        <v/>
      </c>
      <c r="BB371" s="317" t="str">
        <f t="shared" ca="1" si="1331"/>
        <v/>
      </c>
      <c r="BC371" s="318" t="str">
        <f t="shared" ca="1" si="1331"/>
        <v/>
      </c>
      <c r="BD371" s="317" t="str">
        <f t="shared" ca="1" si="1331"/>
        <v/>
      </c>
      <c r="BE371" s="291" t="str">
        <f t="shared" ca="1" si="1331"/>
        <v/>
      </c>
      <c r="BF371" s="291" t="e">
        <f t="shared" ca="1" si="1322"/>
        <v>#N/A</v>
      </c>
      <c r="BG371" s="291" t="e">
        <f t="shared" ca="1" si="1323"/>
        <v>#N/A</v>
      </c>
      <c r="BH371" s="291" t="e">
        <f t="shared" ca="1" si="1324"/>
        <v>#N/A</v>
      </c>
      <c r="BI371" s="291" t="e">
        <f t="shared" ca="1" si="1325"/>
        <v>#N/A</v>
      </c>
      <c r="BJ371" s="291" t="e">
        <f t="shared" ca="1" si="1326"/>
        <v>#N/A</v>
      </c>
      <c r="BK371" s="291" t="e">
        <f t="shared" ca="1" si="1327"/>
        <v>#N/A</v>
      </c>
      <c r="BL371" s="291" t="e">
        <f t="shared" ca="1" si="1328"/>
        <v>#N/A</v>
      </c>
      <c r="BM371" s="291" t="e">
        <f t="shared" ca="1" si="1329"/>
        <v>#N/A</v>
      </c>
    </row>
  </sheetData>
  <sheetProtection formatCells="0" formatColumns="0" formatRows="0" insertColumns="0" insertRows="0" insertHyperlinks="0" deleteColumns="0" deleteRows="0"/>
  <mergeCells count="109">
    <mergeCell ref="C264:C275"/>
    <mergeCell ref="D264:D275"/>
    <mergeCell ref="B276:B287"/>
    <mergeCell ref="C276:C287"/>
    <mergeCell ref="D276:D287"/>
    <mergeCell ref="B132:B143"/>
    <mergeCell ref="C132:C143"/>
    <mergeCell ref="D132:D143"/>
    <mergeCell ref="B144:B155"/>
    <mergeCell ref="C144:C155"/>
    <mergeCell ref="D144:D155"/>
    <mergeCell ref="B156:B167"/>
    <mergeCell ref="C156:C167"/>
    <mergeCell ref="D156:D167"/>
    <mergeCell ref="B192:B203"/>
    <mergeCell ref="C192:C203"/>
    <mergeCell ref="D192:D203"/>
    <mergeCell ref="B204:B215"/>
    <mergeCell ref="C204:C215"/>
    <mergeCell ref="D204:D215"/>
    <mergeCell ref="B216:B227"/>
    <mergeCell ref="C216:C227"/>
    <mergeCell ref="D216:D227"/>
    <mergeCell ref="G1:L2"/>
    <mergeCell ref="AQ1:AV2"/>
    <mergeCell ref="BG1:BL2"/>
    <mergeCell ref="B300:B311"/>
    <mergeCell ref="C300:C311"/>
    <mergeCell ref="B312:B323"/>
    <mergeCell ref="C312:C323"/>
    <mergeCell ref="B324:B335"/>
    <mergeCell ref="C324:C335"/>
    <mergeCell ref="B240:B251"/>
    <mergeCell ref="C240:C251"/>
    <mergeCell ref="D240:D251"/>
    <mergeCell ref="B228:B239"/>
    <mergeCell ref="C228:C239"/>
    <mergeCell ref="D228:D239"/>
    <mergeCell ref="B168:B179"/>
    <mergeCell ref="C168:C179"/>
    <mergeCell ref="D168:D179"/>
    <mergeCell ref="B180:B191"/>
    <mergeCell ref="C180:C191"/>
    <mergeCell ref="D180:D191"/>
    <mergeCell ref="B3:C4"/>
    <mergeCell ref="B12:B23"/>
    <mergeCell ref="C12:C23"/>
    <mergeCell ref="C48:C59"/>
    <mergeCell ref="B60:B71"/>
    <mergeCell ref="C60:C71"/>
    <mergeCell ref="B72:B83"/>
    <mergeCell ref="C72:C83"/>
    <mergeCell ref="B336:B347"/>
    <mergeCell ref="B360:B371"/>
    <mergeCell ref="C360:C371"/>
    <mergeCell ref="D360:D371"/>
    <mergeCell ref="C336:C347"/>
    <mergeCell ref="B348:B359"/>
    <mergeCell ref="C348:C359"/>
    <mergeCell ref="B288:B299"/>
    <mergeCell ref="C288:C299"/>
    <mergeCell ref="D324:D335"/>
    <mergeCell ref="D336:D347"/>
    <mergeCell ref="D348:D359"/>
    <mergeCell ref="D288:D299"/>
    <mergeCell ref="D300:D311"/>
    <mergeCell ref="D312:D323"/>
    <mergeCell ref="B252:B263"/>
    <mergeCell ref="C252:C263"/>
    <mergeCell ref="D252:D263"/>
    <mergeCell ref="B264:B275"/>
    <mergeCell ref="F4:AO4"/>
    <mergeCell ref="AP4:BE4"/>
    <mergeCell ref="BF4:BM4"/>
    <mergeCell ref="F5:Q5"/>
    <mergeCell ref="R5:AC5"/>
    <mergeCell ref="AD5:AO5"/>
    <mergeCell ref="AP5:AQ5"/>
    <mergeCell ref="AR5:AS5"/>
    <mergeCell ref="AT5:AU5"/>
    <mergeCell ref="AV5:AW5"/>
    <mergeCell ref="AX5:AY5"/>
    <mergeCell ref="AZ5:BA5"/>
    <mergeCell ref="BD5:BE5"/>
    <mergeCell ref="BB5:BC5"/>
    <mergeCell ref="A1:C2"/>
    <mergeCell ref="D72:D83"/>
    <mergeCell ref="B84:B95"/>
    <mergeCell ref="C84:C95"/>
    <mergeCell ref="D84:D95"/>
    <mergeCell ref="B120:B131"/>
    <mergeCell ref="C120:C131"/>
    <mergeCell ref="D120:D131"/>
    <mergeCell ref="B96:B107"/>
    <mergeCell ref="C96:C107"/>
    <mergeCell ref="D96:D107"/>
    <mergeCell ref="B108:B119"/>
    <mergeCell ref="C108:C119"/>
    <mergeCell ref="D108:D119"/>
    <mergeCell ref="D12:D23"/>
    <mergeCell ref="D24:D35"/>
    <mergeCell ref="D36:D47"/>
    <mergeCell ref="D48:D59"/>
    <mergeCell ref="D60:D71"/>
    <mergeCell ref="B24:B35"/>
    <mergeCell ref="C24:C35"/>
    <mergeCell ref="B36:B47"/>
    <mergeCell ref="C36:C47"/>
    <mergeCell ref="B48:B59"/>
  </mergeCells>
  <conditionalFormatting sqref="B12 D1:F2 A1 BM1:XFD2 A3:XFD8 A372:XFD1048576 E12:XFD371 A10:XFD11 A9:B9 D9:XFD9 D12 D24 D60 D72 D84 D96 D108 D120 D132 D144 D156 D168 D180 D192 D204 D216 D228 D240 D252 D264 D276 D288 D300 D312 D324 D336 D348 B24 B36 B48 B60 B72 B84 B96 B108 B120 B132 B144 B156 B168 B180 B192 B204 B216 B228 B240 B252 B264 B276 B288 B300 B312 B324 B336 B348 B360 D36 D48 D360">
    <cfRule type="containsErrors" dxfId="10" priority="10">
      <formula>ISERROR(A1)</formula>
    </cfRule>
  </conditionalFormatting>
  <conditionalFormatting sqref="G1 M1:AP2 AW1:BF2 AQ1 BG1">
    <cfRule type="containsErrors" dxfId="9" priority="5">
      <formula>ISERROR(G1)</formula>
    </cfRule>
  </conditionalFormatting>
  <conditionalFormatting sqref="C9">
    <cfRule type="containsErrors" dxfId="8" priority="2">
      <formula>ISERROR(C9)</formula>
    </cfRule>
  </conditionalFormatting>
  <conditionalFormatting sqref="C12 C24 C36 C48 C60 C72 C84 C96 C108 C120 C132 C144 C156 C168 C180 C192 C204 C216 C228 C240 C252 C264 C276 C288 C300 C312 C324 C336 C348 C360">
    <cfRule type="containsErrors" dxfId="7" priority="1">
      <formula>ISERROR(C12)</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1274" r:id="rId4" name="CB_clearsheet">
          <controlPr defaultSize="0" autoLine="0" r:id="rId5">
            <anchor moveWithCells="1">
              <from>
                <xdr:col>4</xdr:col>
                <xdr:colOff>133350</xdr:colOff>
                <xdr:row>0</xdr:row>
                <xdr:rowOff>142875</xdr:rowOff>
              </from>
              <to>
                <xdr:col>4</xdr:col>
                <xdr:colOff>1533525</xdr:colOff>
                <xdr:row>1</xdr:row>
                <xdr:rowOff>190500</xdr:rowOff>
              </to>
            </anchor>
          </controlPr>
        </control>
      </mc:Choice>
      <mc:Fallback>
        <control shapeId="11274" r:id="rId4" name="CB_clearsheet"/>
      </mc:Fallback>
    </mc:AlternateContent>
    <mc:AlternateContent xmlns:mc="http://schemas.openxmlformats.org/markup-compatibility/2006">
      <mc:Choice Requires="x14">
        <control shapeId="11273" r:id="rId6" name="ToggleButton_8Y">
          <controlPr defaultSize="0" autoLine="0" r:id="rId7">
            <anchor moveWithCells="1">
              <from>
                <xdr:col>4</xdr:col>
                <xdr:colOff>638175</xdr:colOff>
                <xdr:row>2</xdr:row>
                <xdr:rowOff>47625</xdr:rowOff>
              </from>
              <to>
                <xdr:col>4</xdr:col>
                <xdr:colOff>1524000</xdr:colOff>
                <xdr:row>3</xdr:row>
                <xdr:rowOff>209550</xdr:rowOff>
              </to>
            </anchor>
          </controlPr>
        </control>
      </mc:Choice>
      <mc:Fallback>
        <control shapeId="11273" r:id="rId6" name="ToggleButton_8Y"/>
      </mc:Fallback>
    </mc:AlternateContent>
    <mc:AlternateContent xmlns:mc="http://schemas.openxmlformats.org/markup-compatibility/2006">
      <mc:Choice Requires="x14">
        <control shapeId="11272" r:id="rId8" name="ToggleButton_8HY">
          <controlPr defaultSize="0" autoLine="0" r:id="rId9">
            <anchor moveWithCells="1">
              <from>
                <xdr:col>3</xdr:col>
                <xdr:colOff>1095375</xdr:colOff>
                <xdr:row>2</xdr:row>
                <xdr:rowOff>47625</xdr:rowOff>
              </from>
              <to>
                <xdr:col>4</xdr:col>
                <xdr:colOff>533400</xdr:colOff>
                <xdr:row>3</xdr:row>
                <xdr:rowOff>209550</xdr:rowOff>
              </to>
            </anchor>
          </controlPr>
        </control>
      </mc:Choice>
      <mc:Fallback>
        <control shapeId="11272" r:id="rId8" name="ToggleButton_8HY"/>
      </mc:Fallback>
    </mc:AlternateContent>
    <mc:AlternateContent xmlns:mc="http://schemas.openxmlformats.org/markup-compatibility/2006">
      <mc:Choice Requires="x14">
        <control shapeId="11271" r:id="rId10" name="ToggleButton_24m">
          <controlPr defaultSize="0" autoLine="0" r:id="rId11">
            <anchor moveWithCells="1">
              <from>
                <xdr:col>3</xdr:col>
                <xdr:colOff>104775</xdr:colOff>
                <xdr:row>2</xdr:row>
                <xdr:rowOff>47625</xdr:rowOff>
              </from>
              <to>
                <xdr:col>3</xdr:col>
                <xdr:colOff>990600</xdr:colOff>
                <xdr:row>3</xdr:row>
                <xdr:rowOff>209550</xdr:rowOff>
              </to>
            </anchor>
          </controlPr>
        </control>
      </mc:Choice>
      <mc:Fallback>
        <control shapeId="11271" r:id="rId10" name="ToggleButton_24m"/>
      </mc:Fallback>
    </mc:AlternateContent>
    <mc:AlternateContent xmlns:mc="http://schemas.openxmlformats.org/markup-compatibility/2006">
      <mc:Choice Requires="x14">
        <control shapeId="11266" r:id="rId12" name="CB_unhide_all">
          <controlPr defaultSize="0" autoLine="0" r:id="rId13">
            <anchor moveWithCells="1">
              <from>
                <xdr:col>3</xdr:col>
                <xdr:colOff>104775</xdr:colOff>
                <xdr:row>4</xdr:row>
                <xdr:rowOff>28575</xdr:rowOff>
              </from>
              <to>
                <xdr:col>3</xdr:col>
                <xdr:colOff>990600</xdr:colOff>
                <xdr:row>5</xdr:row>
                <xdr:rowOff>171450</xdr:rowOff>
              </to>
            </anchor>
          </controlPr>
        </control>
      </mc:Choice>
      <mc:Fallback>
        <control shapeId="11266" r:id="rId12" name="CB_unhide_all"/>
      </mc:Fallback>
    </mc:AlternateContent>
    <mc:AlternateContent xmlns:mc="http://schemas.openxmlformats.org/markup-compatibility/2006">
      <mc:Choice Requires="x14">
        <control shapeId="11292" r:id="rId14" name="CB_notusedlines">
          <controlPr defaultSize="0" autoLine="0" r:id="rId15">
            <anchor moveWithCells="1">
              <from>
                <xdr:col>3</xdr:col>
                <xdr:colOff>1095375</xdr:colOff>
                <xdr:row>4</xdr:row>
                <xdr:rowOff>28575</xdr:rowOff>
              </from>
              <to>
                <xdr:col>4</xdr:col>
                <xdr:colOff>1524000</xdr:colOff>
                <xdr:row>5</xdr:row>
                <xdr:rowOff>171450</xdr:rowOff>
              </to>
            </anchor>
          </controlPr>
        </control>
      </mc:Choice>
      <mc:Fallback>
        <control shapeId="11292" r:id="rId14" name="CB_notusedlines"/>
      </mc:Fallback>
    </mc:AlternateContent>
    <mc:AlternateContent xmlns:mc="http://schemas.openxmlformats.org/markup-compatibility/2006">
      <mc:Choice Requires="x14">
        <control shapeId="11293" r:id="rId16" name="CB_deleteaddedrows">
          <controlPr defaultSize="0" autoLine="0" r:id="rId17">
            <anchor moveWithCells="1">
              <from>
                <xdr:col>3</xdr:col>
                <xdr:colOff>104775</xdr:colOff>
                <xdr:row>0</xdr:row>
                <xdr:rowOff>142875</xdr:rowOff>
              </from>
              <to>
                <xdr:col>4</xdr:col>
                <xdr:colOff>57150</xdr:colOff>
                <xdr:row>1</xdr:row>
                <xdr:rowOff>190500</xdr:rowOff>
              </to>
            </anchor>
          </controlPr>
        </control>
      </mc:Choice>
      <mc:Fallback>
        <control shapeId="11293" r:id="rId16" name="CB_deleteaddedrow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F4312-0F2A-4616-BF72-53F60D70E495}">
  <sheetPr codeName="Sheet4"/>
  <dimension ref="B2:O39"/>
  <sheetViews>
    <sheetView showGridLines="0" topLeftCell="A41" zoomScale="90" zoomScaleNormal="90" workbookViewId="0">
      <selection activeCell="H65" sqref="H65"/>
    </sheetView>
  </sheetViews>
  <sheetFormatPr defaultColWidth="9.140625" defaultRowHeight="12.75" x14ac:dyDescent="0.2"/>
  <cols>
    <col min="1" max="1" width="9.140625" style="1"/>
    <col min="2" max="2" width="18.5703125" style="1" customWidth="1"/>
    <col min="3" max="3" width="20.7109375" style="1" customWidth="1"/>
    <col min="4" max="5" width="15.5703125" style="1" customWidth="1"/>
    <col min="6" max="6" width="8.5703125" style="1" customWidth="1"/>
    <col min="7" max="7" width="18.5703125" style="1" customWidth="1"/>
    <col min="8" max="8" width="20.7109375" style="1" customWidth="1"/>
    <col min="9" max="10" width="15.5703125" style="1" customWidth="1"/>
    <col min="11" max="11" width="6.42578125" style="1" customWidth="1"/>
    <col min="12" max="12" width="18.5703125" style="1" customWidth="1"/>
    <col min="13" max="13" width="20.7109375" style="1" customWidth="1"/>
    <col min="14" max="15" width="15.5703125" style="1" customWidth="1"/>
    <col min="16" max="16384" width="9.140625" style="1"/>
  </cols>
  <sheetData>
    <row r="2" spans="2:15" ht="41.45" customHeight="1" x14ac:dyDescent="0.2">
      <c r="B2" s="379" t="s">
        <v>23</v>
      </c>
      <c r="C2" s="380"/>
      <c r="D2" s="380"/>
      <c r="E2" s="380"/>
      <c r="F2" s="380"/>
      <c r="G2" s="380"/>
      <c r="H2" s="380"/>
      <c r="I2" s="380"/>
      <c r="J2" s="381"/>
    </row>
    <row r="4" spans="2:15" x14ac:dyDescent="0.2">
      <c r="B4" s="377" t="s">
        <v>14</v>
      </c>
      <c r="C4" s="377"/>
      <c r="D4" s="377"/>
      <c r="E4" s="377"/>
      <c r="F4" s="377"/>
      <c r="G4" s="377"/>
      <c r="H4" s="377"/>
      <c r="I4" s="377"/>
      <c r="J4" s="377"/>
      <c r="K4" s="4"/>
      <c r="L4" s="4"/>
      <c r="M4" s="4"/>
      <c r="N4" s="4"/>
      <c r="O4" s="4"/>
    </row>
    <row r="5" spans="2:15" x14ac:dyDescent="0.2">
      <c r="B5" s="2"/>
      <c r="C5" s="2"/>
      <c r="D5" s="2"/>
      <c r="E5" s="2"/>
      <c r="F5" s="2"/>
      <c r="G5" s="2"/>
      <c r="H5" s="2"/>
      <c r="I5" s="2"/>
      <c r="J5" s="2"/>
      <c r="K5" s="3"/>
      <c r="L5" s="3"/>
      <c r="M5" s="3"/>
      <c r="N5" s="3"/>
      <c r="O5" s="3"/>
    </row>
    <row r="6" spans="2:15" ht="18" x14ac:dyDescent="0.2">
      <c r="B6" s="382" t="s">
        <v>33</v>
      </c>
      <c r="C6" s="382"/>
      <c r="D6" s="382"/>
      <c r="E6" s="382"/>
      <c r="G6" s="382" t="s">
        <v>34</v>
      </c>
      <c r="H6" s="382"/>
      <c r="I6" s="382"/>
      <c r="J6" s="382"/>
      <c r="L6" s="378" t="s">
        <v>35</v>
      </c>
      <c r="M6" s="378"/>
      <c r="N6" s="378"/>
      <c r="O6" s="378"/>
    </row>
    <row r="7" spans="2:15" s="15" customFormat="1" ht="42.75" customHeight="1" x14ac:dyDescent="0.2">
      <c r="D7" s="16" t="s">
        <v>36</v>
      </c>
      <c r="E7" s="16" t="s">
        <v>37</v>
      </c>
      <c r="I7" s="16" t="s">
        <v>36</v>
      </c>
      <c r="J7" s="16" t="s">
        <v>37</v>
      </c>
      <c r="N7" s="16" t="s">
        <v>36</v>
      </c>
      <c r="O7" s="16" t="s">
        <v>37</v>
      </c>
    </row>
    <row r="8" spans="2:15" x14ac:dyDescent="0.2">
      <c r="D8" s="9" t="s">
        <v>16</v>
      </c>
      <c r="E8" s="9" t="s">
        <v>10</v>
      </c>
      <c r="I8" s="9" t="s">
        <v>16</v>
      </c>
      <c r="J8" s="9" t="s">
        <v>10</v>
      </c>
      <c r="N8" s="9" t="s">
        <v>16</v>
      </c>
      <c r="O8" s="9" t="s">
        <v>10</v>
      </c>
    </row>
    <row r="9" spans="2:15" ht="15" customHeight="1" x14ac:dyDescent="0.2">
      <c r="B9" s="383" t="s">
        <v>11</v>
      </c>
      <c r="C9" s="384"/>
      <c r="D9" s="11">
        <f>D17+D23+D29</f>
        <v>1320</v>
      </c>
      <c r="E9" s="11">
        <f>E17+E23+E29</f>
        <v>1365</v>
      </c>
      <c r="G9" s="17" t="s">
        <v>11</v>
      </c>
      <c r="H9" s="17"/>
      <c r="I9" s="11">
        <f>I17+I23+I29+I35</f>
        <v>1360</v>
      </c>
      <c r="J9" s="11">
        <f>J17+J23+J29+J35</f>
        <v>1400</v>
      </c>
      <c r="L9" s="383" t="s">
        <v>11</v>
      </c>
      <c r="M9" s="384"/>
      <c r="N9" s="11">
        <f>N18+N25+N32</f>
        <v>1310</v>
      </c>
      <c r="O9" s="11">
        <f>O18+O25+O32</f>
        <v>1330</v>
      </c>
    </row>
    <row r="10" spans="2:15" ht="21" customHeight="1" x14ac:dyDescent="0.2">
      <c r="B10" s="383" t="s">
        <v>12</v>
      </c>
      <c r="C10" s="384"/>
      <c r="D10" s="18">
        <f>D9/60</f>
        <v>22</v>
      </c>
      <c r="E10" s="18">
        <f>E9/60</f>
        <v>22.75</v>
      </c>
      <c r="G10" s="17" t="s">
        <v>12</v>
      </c>
      <c r="H10" s="17"/>
      <c r="I10" s="18">
        <f>I9/60</f>
        <v>22.666666666666668</v>
      </c>
      <c r="J10" s="18">
        <f>J9/60</f>
        <v>23.333333333333332</v>
      </c>
      <c r="L10" s="383" t="s">
        <v>12</v>
      </c>
      <c r="M10" s="384"/>
      <c r="N10" s="18">
        <f>N9/60</f>
        <v>21.833333333333332</v>
      </c>
      <c r="O10" s="18">
        <f>O9/60</f>
        <v>22.166666666666668</v>
      </c>
    </row>
    <row r="11" spans="2:15" x14ac:dyDescent="0.2">
      <c r="B11" s="389" t="s">
        <v>3</v>
      </c>
      <c r="C11" s="390"/>
      <c r="D11" s="10" t="s">
        <v>9</v>
      </c>
      <c r="E11" s="9" t="s">
        <v>9</v>
      </c>
      <c r="G11" s="9" t="s">
        <v>3</v>
      </c>
      <c r="H11" s="9"/>
      <c r="I11" s="10" t="s">
        <v>9</v>
      </c>
      <c r="J11" s="9" t="s">
        <v>9</v>
      </c>
      <c r="L11" s="389" t="s">
        <v>3</v>
      </c>
      <c r="M11" s="390"/>
      <c r="N11" s="10" t="s">
        <v>9</v>
      </c>
      <c r="O11" s="9" t="s">
        <v>9</v>
      </c>
    </row>
    <row r="12" spans="2:15" x14ac:dyDescent="0.2">
      <c r="B12" s="385" t="s">
        <v>17</v>
      </c>
      <c r="C12" s="5" t="s">
        <v>4</v>
      </c>
      <c r="D12" s="11">
        <v>540</v>
      </c>
      <c r="E12" s="11">
        <v>540</v>
      </c>
      <c r="G12" s="388" t="s">
        <v>17</v>
      </c>
      <c r="H12" s="5" t="s">
        <v>4</v>
      </c>
      <c r="I12" s="11">
        <v>360</v>
      </c>
      <c r="J12" s="11">
        <v>360</v>
      </c>
      <c r="L12" s="385" t="s">
        <v>17</v>
      </c>
      <c r="M12" s="5" t="s">
        <v>4</v>
      </c>
      <c r="N12" s="11">
        <v>720</v>
      </c>
      <c r="O12" s="11">
        <v>720</v>
      </c>
    </row>
    <row r="13" spans="2:15" x14ac:dyDescent="0.2">
      <c r="B13" s="386"/>
      <c r="C13" s="6" t="s">
        <v>5</v>
      </c>
      <c r="D13" s="12">
        <v>5</v>
      </c>
      <c r="E13" s="12">
        <v>10</v>
      </c>
      <c r="G13" s="388"/>
      <c r="H13" s="6" t="s">
        <v>5</v>
      </c>
      <c r="I13" s="12">
        <v>5</v>
      </c>
      <c r="J13" s="12">
        <v>5</v>
      </c>
      <c r="L13" s="386"/>
      <c r="M13" s="6" t="s">
        <v>5</v>
      </c>
      <c r="N13" s="12">
        <v>5</v>
      </c>
      <c r="O13" s="12">
        <v>5</v>
      </c>
    </row>
    <row r="14" spans="2:15" x14ac:dyDescent="0.2">
      <c r="B14" s="386"/>
      <c r="C14" s="6" t="s">
        <v>20</v>
      </c>
      <c r="D14" s="12">
        <v>30</v>
      </c>
      <c r="E14" s="12">
        <v>0</v>
      </c>
      <c r="G14" s="388"/>
      <c r="H14" s="6"/>
      <c r="I14" s="12"/>
      <c r="J14" s="12"/>
      <c r="L14" s="386"/>
      <c r="M14" s="6" t="s">
        <v>6</v>
      </c>
      <c r="N14" s="12">
        <v>30</v>
      </c>
      <c r="O14" s="12">
        <v>30</v>
      </c>
    </row>
    <row r="15" spans="2:15" x14ac:dyDescent="0.2">
      <c r="B15" s="386"/>
      <c r="C15" s="6" t="s">
        <v>7</v>
      </c>
      <c r="D15" s="12">
        <v>5</v>
      </c>
      <c r="E15" s="12">
        <v>15</v>
      </c>
      <c r="G15" s="388"/>
      <c r="H15" s="6" t="s">
        <v>7</v>
      </c>
      <c r="I15" s="12">
        <v>5</v>
      </c>
      <c r="J15" s="12">
        <v>5</v>
      </c>
      <c r="L15" s="386"/>
      <c r="M15" s="6" t="s">
        <v>8</v>
      </c>
      <c r="N15" s="12">
        <v>15</v>
      </c>
      <c r="O15" s="12">
        <v>15</v>
      </c>
    </row>
    <row r="16" spans="2:15" x14ac:dyDescent="0.2">
      <c r="B16" s="386"/>
      <c r="C16" s="6" t="s">
        <v>13</v>
      </c>
      <c r="D16" s="12">
        <v>10</v>
      </c>
      <c r="E16" s="12"/>
      <c r="G16" s="388"/>
      <c r="H16" s="6" t="s">
        <v>13</v>
      </c>
      <c r="I16" s="12">
        <v>10</v>
      </c>
      <c r="J16" s="12"/>
      <c r="L16" s="386"/>
      <c r="M16" s="6" t="s">
        <v>7</v>
      </c>
      <c r="N16" s="12">
        <v>5</v>
      </c>
      <c r="O16" s="12">
        <v>5</v>
      </c>
    </row>
    <row r="17" spans="2:15" x14ac:dyDescent="0.2">
      <c r="B17" s="387"/>
      <c r="C17" s="7" t="s">
        <v>24</v>
      </c>
      <c r="D17" s="19">
        <f>D12-D13-D14-D15-D16</f>
        <v>490</v>
      </c>
      <c r="E17" s="19">
        <f>E12-E13-E14-E15-E16</f>
        <v>515</v>
      </c>
      <c r="G17" s="388"/>
      <c r="H17" s="7" t="s">
        <v>24</v>
      </c>
      <c r="I17" s="19">
        <f>I12-I13-I15-I16</f>
        <v>340</v>
      </c>
      <c r="J17" s="19">
        <f>J12-J13-J15-J16</f>
        <v>350</v>
      </c>
      <c r="L17" s="386"/>
      <c r="M17" s="6" t="s">
        <v>13</v>
      </c>
      <c r="N17" s="12">
        <v>10</v>
      </c>
      <c r="O17" s="12"/>
    </row>
    <row r="18" spans="2:15" x14ac:dyDescent="0.2">
      <c r="B18" s="385" t="s">
        <v>18</v>
      </c>
      <c r="C18" s="5" t="s">
        <v>4</v>
      </c>
      <c r="D18" s="11">
        <v>510</v>
      </c>
      <c r="E18" s="11">
        <f>D18</f>
        <v>510</v>
      </c>
      <c r="G18" s="388" t="s">
        <v>18</v>
      </c>
      <c r="H18" s="5" t="s">
        <v>4</v>
      </c>
      <c r="I18" s="11">
        <v>360</v>
      </c>
      <c r="J18" s="11">
        <v>360</v>
      </c>
      <c r="L18" s="387"/>
      <c r="M18" s="7" t="s">
        <v>24</v>
      </c>
      <c r="N18" s="19">
        <f>N12-N13-N14-N15-N16-N17</f>
        <v>655</v>
      </c>
      <c r="O18" s="19">
        <f>O12-O13-O14-O15-O16-O17</f>
        <v>665</v>
      </c>
    </row>
    <row r="19" spans="2:15" x14ac:dyDescent="0.2">
      <c r="B19" s="386"/>
      <c r="C19" s="6" t="s">
        <v>5</v>
      </c>
      <c r="D19" s="12">
        <v>5</v>
      </c>
      <c r="E19" s="12">
        <v>5</v>
      </c>
      <c r="G19" s="388"/>
      <c r="H19" s="6" t="s">
        <v>5</v>
      </c>
      <c r="I19" s="12">
        <v>5</v>
      </c>
      <c r="J19" s="12">
        <v>5</v>
      </c>
      <c r="L19" s="385" t="s">
        <v>18</v>
      </c>
      <c r="M19" s="5" t="s">
        <v>4</v>
      </c>
      <c r="N19" s="11">
        <v>720</v>
      </c>
      <c r="O19" s="11">
        <v>720</v>
      </c>
    </row>
    <row r="20" spans="2:15" x14ac:dyDescent="0.2">
      <c r="B20" s="386"/>
      <c r="C20" s="6" t="s">
        <v>20</v>
      </c>
      <c r="D20" s="12">
        <v>30</v>
      </c>
      <c r="E20" s="12">
        <v>30</v>
      </c>
      <c r="G20" s="388"/>
      <c r="H20" s="6"/>
      <c r="I20" s="12"/>
      <c r="J20" s="12"/>
      <c r="L20" s="386"/>
      <c r="M20" s="6" t="s">
        <v>5</v>
      </c>
      <c r="N20" s="12">
        <v>5</v>
      </c>
      <c r="O20" s="12">
        <v>5</v>
      </c>
    </row>
    <row r="21" spans="2:15" x14ac:dyDescent="0.2">
      <c r="B21" s="386"/>
      <c r="C21" s="6" t="s">
        <v>7</v>
      </c>
      <c r="D21" s="12">
        <v>5</v>
      </c>
      <c r="E21" s="12">
        <v>5</v>
      </c>
      <c r="G21" s="388"/>
      <c r="H21" s="6" t="s">
        <v>7</v>
      </c>
      <c r="I21" s="12">
        <v>5</v>
      </c>
      <c r="J21" s="12">
        <v>5</v>
      </c>
      <c r="L21" s="386"/>
      <c r="M21" s="6" t="s">
        <v>6</v>
      </c>
      <c r="N21" s="12">
        <v>30</v>
      </c>
      <c r="O21" s="12">
        <v>30</v>
      </c>
    </row>
    <row r="22" spans="2:15" x14ac:dyDescent="0.2">
      <c r="B22" s="386"/>
      <c r="C22" s="8" t="s">
        <v>15</v>
      </c>
      <c r="D22" s="12">
        <v>10</v>
      </c>
      <c r="E22" s="12"/>
      <c r="G22" s="388"/>
      <c r="H22" s="6" t="s">
        <v>13</v>
      </c>
      <c r="I22" s="12">
        <v>10</v>
      </c>
      <c r="J22" s="12"/>
      <c r="L22" s="386"/>
      <c r="M22" s="6" t="s">
        <v>8</v>
      </c>
      <c r="N22" s="12">
        <v>15</v>
      </c>
      <c r="O22" s="12">
        <v>15</v>
      </c>
    </row>
    <row r="23" spans="2:15" x14ac:dyDescent="0.2">
      <c r="B23" s="387"/>
      <c r="C23" s="7" t="s">
        <v>24</v>
      </c>
      <c r="D23" s="11">
        <f>D18-D19-D20-D21-D22</f>
        <v>460</v>
      </c>
      <c r="E23" s="11">
        <f>E18-E19-E20-E21-E22</f>
        <v>470</v>
      </c>
      <c r="G23" s="388"/>
      <c r="H23" s="7" t="s">
        <v>24</v>
      </c>
      <c r="I23" s="19">
        <f>I18-I19-I21-I22</f>
        <v>340</v>
      </c>
      <c r="J23" s="19">
        <f>J18-J19-J21-J22</f>
        <v>350</v>
      </c>
      <c r="L23" s="386"/>
      <c r="M23" s="6" t="s">
        <v>7</v>
      </c>
      <c r="N23" s="12">
        <v>5</v>
      </c>
      <c r="O23" s="12">
        <v>5</v>
      </c>
    </row>
    <row r="24" spans="2:15" x14ac:dyDescent="0.2">
      <c r="B24" s="385" t="s">
        <v>19</v>
      </c>
      <c r="C24" s="5" t="s">
        <v>4</v>
      </c>
      <c r="D24" s="19">
        <v>390</v>
      </c>
      <c r="E24" s="19">
        <f>D24</f>
        <v>390</v>
      </c>
      <c r="G24" s="388" t="s">
        <v>19</v>
      </c>
      <c r="H24" s="5" t="s">
        <v>4</v>
      </c>
      <c r="I24" s="11">
        <v>330</v>
      </c>
      <c r="J24" s="11">
        <v>330</v>
      </c>
      <c r="L24" s="386"/>
      <c r="M24" s="6" t="s">
        <v>13</v>
      </c>
      <c r="N24" s="12">
        <v>10</v>
      </c>
      <c r="O24" s="12"/>
    </row>
    <row r="25" spans="2:15" x14ac:dyDescent="0.2">
      <c r="B25" s="386"/>
      <c r="C25" s="6" t="s">
        <v>5</v>
      </c>
      <c r="D25" s="12">
        <v>5</v>
      </c>
      <c r="E25" s="12">
        <v>5</v>
      </c>
      <c r="G25" s="388"/>
      <c r="H25" s="6" t="s">
        <v>5</v>
      </c>
      <c r="I25" s="12">
        <v>5</v>
      </c>
      <c r="J25" s="12">
        <v>5</v>
      </c>
      <c r="L25" s="387"/>
      <c r="M25" s="7" t="s">
        <v>24</v>
      </c>
      <c r="N25" s="19">
        <f>N19-N20-N21-N22-N23-N24</f>
        <v>655</v>
      </c>
      <c r="O25" s="19">
        <f>O19-O20-O21-O22-O23-O24</f>
        <v>665</v>
      </c>
    </row>
    <row r="26" spans="2:15" x14ac:dyDescent="0.2">
      <c r="B26" s="386"/>
      <c r="C26" s="6" t="s">
        <v>20</v>
      </c>
      <c r="D26" s="12"/>
      <c r="E26" s="12"/>
      <c r="G26" s="388"/>
      <c r="H26" s="6"/>
      <c r="I26" s="12"/>
      <c r="J26" s="12"/>
      <c r="L26" s="385" t="s">
        <v>19</v>
      </c>
      <c r="M26" s="5" t="s">
        <v>4</v>
      </c>
      <c r="N26" s="11">
        <v>0</v>
      </c>
      <c r="O26" s="11">
        <v>0</v>
      </c>
    </row>
    <row r="27" spans="2:15" x14ac:dyDescent="0.2">
      <c r="B27" s="386"/>
      <c r="C27" s="6" t="s">
        <v>7</v>
      </c>
      <c r="D27" s="12">
        <v>5</v>
      </c>
      <c r="E27" s="12">
        <v>5</v>
      </c>
      <c r="G27" s="388"/>
      <c r="H27" s="6" t="s">
        <v>7</v>
      </c>
      <c r="I27" s="12">
        <v>5</v>
      </c>
      <c r="J27" s="12">
        <v>5</v>
      </c>
      <c r="L27" s="386"/>
      <c r="M27" s="6" t="s">
        <v>5</v>
      </c>
      <c r="N27" s="12"/>
      <c r="O27" s="12"/>
    </row>
    <row r="28" spans="2:15" x14ac:dyDescent="0.2">
      <c r="B28" s="386"/>
      <c r="C28" s="8" t="s">
        <v>15</v>
      </c>
      <c r="D28" s="12">
        <v>10</v>
      </c>
      <c r="E28" s="12"/>
      <c r="G28" s="388"/>
      <c r="H28" s="6" t="s">
        <v>13</v>
      </c>
      <c r="I28" s="12">
        <v>10</v>
      </c>
      <c r="J28" s="12"/>
      <c r="L28" s="386"/>
      <c r="M28" s="6" t="s">
        <v>6</v>
      </c>
      <c r="N28" s="12"/>
      <c r="O28" s="12"/>
    </row>
    <row r="29" spans="2:15" x14ac:dyDescent="0.2">
      <c r="B29" s="387"/>
      <c r="C29" s="7" t="s">
        <v>24</v>
      </c>
      <c r="D29" s="19">
        <f>D24-D25-D26-D27-D28</f>
        <v>370</v>
      </c>
      <c r="E29" s="19">
        <f>E24-E25-E26-E27-E28</f>
        <v>380</v>
      </c>
      <c r="G29" s="388"/>
      <c r="H29" s="7" t="s">
        <v>24</v>
      </c>
      <c r="I29" s="19">
        <f>I24-I25-I27-I28</f>
        <v>310</v>
      </c>
      <c r="J29" s="19">
        <f>J24-J25-J27-J28</f>
        <v>320</v>
      </c>
      <c r="L29" s="386"/>
      <c r="M29" s="6" t="s">
        <v>8</v>
      </c>
      <c r="N29" s="12"/>
      <c r="O29" s="12"/>
    </row>
    <row r="30" spans="2:15" x14ac:dyDescent="0.2">
      <c r="G30" s="388" t="s">
        <v>38</v>
      </c>
      <c r="H30" s="5" t="s">
        <v>4</v>
      </c>
      <c r="I30" s="11">
        <v>390</v>
      </c>
      <c r="J30" s="11">
        <v>390</v>
      </c>
      <c r="L30" s="386"/>
      <c r="M30" s="6" t="s">
        <v>7</v>
      </c>
      <c r="N30" s="12"/>
      <c r="O30" s="12"/>
    </row>
    <row r="31" spans="2:15" x14ac:dyDescent="0.2">
      <c r="G31" s="388"/>
      <c r="H31" s="6" t="s">
        <v>5</v>
      </c>
      <c r="I31" s="12">
        <v>5</v>
      </c>
      <c r="J31" s="12">
        <v>5</v>
      </c>
      <c r="L31" s="386"/>
      <c r="M31" s="6" t="s">
        <v>13</v>
      </c>
      <c r="N31" s="12"/>
      <c r="O31" s="12"/>
    </row>
    <row r="32" spans="2:15" x14ac:dyDescent="0.2">
      <c r="G32" s="388"/>
      <c r="H32" s="6"/>
      <c r="I32" s="12"/>
      <c r="J32" s="12"/>
      <c r="L32" s="387"/>
      <c r="M32" s="7" t="s">
        <v>24</v>
      </c>
      <c r="N32" s="19">
        <f>N26-N27-N28-N29-N30-N31</f>
        <v>0</v>
      </c>
      <c r="O32" s="19">
        <f>O26-O27-O28-O29-O30-O31</f>
        <v>0</v>
      </c>
    </row>
    <row r="33" spans="2:15" x14ac:dyDescent="0.2">
      <c r="G33" s="388"/>
      <c r="H33" s="6" t="s">
        <v>7</v>
      </c>
      <c r="I33" s="12">
        <v>5</v>
      </c>
      <c r="J33" s="12">
        <v>5</v>
      </c>
    </row>
    <row r="34" spans="2:15" x14ac:dyDescent="0.2">
      <c r="G34" s="388"/>
      <c r="H34" s="6" t="s">
        <v>13</v>
      </c>
      <c r="I34" s="12">
        <v>10</v>
      </c>
      <c r="J34" s="12"/>
    </row>
    <row r="35" spans="2:15" x14ac:dyDescent="0.2">
      <c r="G35" s="388"/>
      <c r="H35" s="7" t="s">
        <v>24</v>
      </c>
      <c r="I35" s="19">
        <f>I30-I31-I33-I34</f>
        <v>370</v>
      </c>
      <c r="J35" s="19">
        <f>J30-J31-J33-J34</f>
        <v>380</v>
      </c>
    </row>
    <row r="38" spans="2:15" x14ac:dyDescent="0.2">
      <c r="B38" s="377" t="s">
        <v>21</v>
      </c>
      <c r="C38" s="377"/>
      <c r="D38" s="377"/>
      <c r="E38" s="377"/>
      <c r="F38" s="377"/>
      <c r="G38" s="377"/>
      <c r="H38" s="377"/>
      <c r="I38" s="377"/>
      <c r="J38" s="377"/>
      <c r="K38" s="377"/>
      <c r="L38" s="377"/>
      <c r="M38" s="377"/>
      <c r="N38" s="377"/>
      <c r="O38" s="377"/>
    </row>
    <row r="39" spans="2:15" x14ac:dyDescent="0.2">
      <c r="B39" s="1" t="s">
        <v>22</v>
      </c>
    </row>
  </sheetData>
  <mergeCells count="22">
    <mergeCell ref="B11:C11"/>
    <mergeCell ref="B12:B17"/>
    <mergeCell ref="L12:L18"/>
    <mergeCell ref="B18:B23"/>
    <mergeCell ref="L19:L25"/>
    <mergeCell ref="B24:B29"/>
    <mergeCell ref="B38:O38"/>
    <mergeCell ref="L6:O6"/>
    <mergeCell ref="B4:J4"/>
    <mergeCell ref="B2:J2"/>
    <mergeCell ref="B6:E6"/>
    <mergeCell ref="G6:J6"/>
    <mergeCell ref="L10:M10"/>
    <mergeCell ref="L9:M9"/>
    <mergeCell ref="B10:C10"/>
    <mergeCell ref="B9:C9"/>
    <mergeCell ref="L26:L32"/>
    <mergeCell ref="G30:G35"/>
    <mergeCell ref="G24:G29"/>
    <mergeCell ref="G18:G23"/>
    <mergeCell ref="G12:G17"/>
    <mergeCell ref="L11:M1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4FD1E-CC35-45E1-91D9-3AEA803FBA41}">
  <sheetPr codeName="Sheet5"/>
  <dimension ref="B2:R38"/>
  <sheetViews>
    <sheetView showGridLines="0" zoomScale="130" zoomScaleNormal="130" workbookViewId="0">
      <selection activeCell="D10" sqref="D10"/>
    </sheetView>
  </sheetViews>
  <sheetFormatPr defaultColWidth="9.140625" defaultRowHeight="12.75" x14ac:dyDescent="0.2"/>
  <cols>
    <col min="1" max="1" width="9.140625" style="1"/>
    <col min="2" max="2" width="10.5703125" style="1" customWidth="1"/>
    <col min="3" max="3" width="9.5703125" style="1" bestFit="1" customWidth="1"/>
    <col min="4" max="16" width="8.42578125" style="1" customWidth="1"/>
    <col min="17" max="17" width="9.140625" style="1" hidden="1" customWidth="1"/>
    <col min="18" max="16384" width="9.140625" style="1"/>
  </cols>
  <sheetData>
    <row r="2" spans="2:18" ht="36" customHeight="1" x14ac:dyDescent="0.2">
      <c r="B2" s="391" t="s">
        <v>90</v>
      </c>
      <c r="C2" s="391"/>
      <c r="D2" s="391"/>
      <c r="E2" s="391"/>
      <c r="F2" s="391"/>
      <c r="G2" s="391"/>
      <c r="H2" s="391"/>
      <c r="I2" s="391"/>
      <c r="J2" s="391"/>
      <c r="K2" s="391"/>
      <c r="L2" s="391"/>
      <c r="M2" s="391"/>
      <c r="N2" s="391"/>
      <c r="O2" s="391"/>
      <c r="P2" s="391"/>
    </row>
    <row r="4" spans="2:18" x14ac:dyDescent="0.2">
      <c r="B4" s="377" t="s">
        <v>43</v>
      </c>
      <c r="C4" s="377"/>
      <c r="D4" s="377"/>
      <c r="E4" s="377"/>
      <c r="F4" s="377"/>
      <c r="G4" s="377"/>
      <c r="H4" s="377"/>
      <c r="I4" s="377"/>
      <c r="J4" s="377"/>
      <c r="K4" s="377"/>
      <c r="L4" s="377"/>
      <c r="M4" s="377"/>
      <c r="N4" s="377"/>
      <c r="O4" s="377"/>
      <c r="P4" s="377"/>
    </row>
    <row r="5" spans="2:18" x14ac:dyDescent="0.2">
      <c r="B5" s="1" t="s">
        <v>44</v>
      </c>
      <c r="Q5" s="20" t="s">
        <v>45</v>
      </c>
    </row>
    <row r="6" spans="2:18" x14ac:dyDescent="0.2">
      <c r="B6" s="1" t="s">
        <v>46</v>
      </c>
      <c r="G6" s="21" t="s">
        <v>45</v>
      </c>
      <c r="Q6" s="20" t="s">
        <v>2</v>
      </c>
    </row>
    <row r="8" spans="2:18" x14ac:dyDescent="0.2">
      <c r="E8" s="392" t="s">
        <v>47</v>
      </c>
      <c r="F8" s="393"/>
      <c r="G8" s="393"/>
      <c r="H8" s="393"/>
      <c r="I8" s="393"/>
      <c r="J8" s="393"/>
      <c r="K8" s="393"/>
      <c r="L8" s="393"/>
      <c r="M8" s="393"/>
      <c r="N8" s="393"/>
      <c r="O8" s="393"/>
      <c r="P8" s="393"/>
    </row>
    <row r="9" spans="2:18" ht="12.75" customHeight="1" x14ac:dyDescent="0.2">
      <c r="B9" s="22" t="s">
        <v>0</v>
      </c>
      <c r="C9" s="23" t="s">
        <v>1</v>
      </c>
      <c r="D9" s="31" t="s">
        <v>2</v>
      </c>
      <c r="E9" s="22" t="s">
        <v>48</v>
      </c>
      <c r="F9" s="24" t="s">
        <v>49</v>
      </c>
      <c r="G9" s="24" t="s">
        <v>50</v>
      </c>
      <c r="H9" s="24" t="s">
        <v>51</v>
      </c>
      <c r="I9" s="24" t="s">
        <v>52</v>
      </c>
      <c r="J9" s="24" t="s">
        <v>53</v>
      </c>
      <c r="K9" s="24" t="s">
        <v>54</v>
      </c>
      <c r="L9" s="24" t="s">
        <v>55</v>
      </c>
      <c r="M9" s="24" t="s">
        <v>56</v>
      </c>
      <c r="N9" s="24" t="s">
        <v>57</v>
      </c>
      <c r="O9" s="24" t="s">
        <v>58</v>
      </c>
      <c r="P9" s="24" t="s">
        <v>59</v>
      </c>
    </row>
    <row r="10" spans="2:18" x14ac:dyDescent="0.2">
      <c r="B10" s="25" t="s">
        <v>60</v>
      </c>
      <c r="C10" s="26" t="s">
        <v>61</v>
      </c>
      <c r="D10" s="30">
        <f>IF($G$6="UTrel",(SUM(E10:P10)/Q10)+0.04,SUM(E10:P10)/Q10)</f>
        <v>1.04</v>
      </c>
      <c r="E10" s="27">
        <v>1</v>
      </c>
      <c r="F10" s="27">
        <v>1</v>
      </c>
      <c r="G10" s="27">
        <v>1</v>
      </c>
      <c r="H10" s="27">
        <v>1</v>
      </c>
      <c r="I10" s="27">
        <v>1</v>
      </c>
      <c r="J10" s="27">
        <v>1</v>
      </c>
      <c r="K10" s="27">
        <v>1</v>
      </c>
      <c r="L10" s="27">
        <v>1</v>
      </c>
      <c r="M10" s="27">
        <v>1</v>
      </c>
      <c r="N10" s="27">
        <v>1</v>
      </c>
      <c r="O10" s="27">
        <v>1</v>
      </c>
      <c r="P10" s="27">
        <v>1</v>
      </c>
      <c r="Q10" s="1">
        <f>COUNT(E10:P10)</f>
        <v>12</v>
      </c>
      <c r="R10" s="28"/>
    </row>
    <row r="11" spans="2:18" x14ac:dyDescent="0.2">
      <c r="B11" s="25" t="s">
        <v>62</v>
      </c>
      <c r="C11" s="26" t="s">
        <v>63</v>
      </c>
      <c r="D11" s="30">
        <f t="shared" ref="D11:D33" si="0">IF($G$6="UTrel",(SUM(E11:P11)/Q11)+0.04,SUM(E11:P11)/Q11)</f>
        <v>0.66666666666666663</v>
      </c>
      <c r="E11" s="27">
        <v>0</v>
      </c>
      <c r="F11" s="27">
        <v>0</v>
      </c>
      <c r="G11" s="27">
        <v>0</v>
      </c>
      <c r="H11" s="27">
        <v>0.83</v>
      </c>
      <c r="I11" s="27">
        <v>0.87</v>
      </c>
      <c r="J11" s="27">
        <v>0.87</v>
      </c>
      <c r="K11" s="27">
        <v>0.82</v>
      </c>
      <c r="L11" s="27">
        <v>0.82</v>
      </c>
      <c r="M11" s="27">
        <v>0.79</v>
      </c>
      <c r="N11" s="27">
        <v>0.88</v>
      </c>
      <c r="O11" s="27">
        <v>0.85</v>
      </c>
      <c r="P11" s="27">
        <v>0.79</v>
      </c>
      <c r="Q11" s="1">
        <f t="shared" ref="Q11:Q33" si="1">COUNT(E11:P11)</f>
        <v>12</v>
      </c>
    </row>
    <row r="12" spans="2:18" ht="14.25" customHeight="1" x14ac:dyDescent="0.2">
      <c r="B12" s="25" t="s">
        <v>64</v>
      </c>
      <c r="C12" s="26" t="s">
        <v>65</v>
      </c>
      <c r="D12" s="30">
        <f t="shared" si="0"/>
        <v>0.70000000000000007</v>
      </c>
      <c r="E12" s="27">
        <v>0.62</v>
      </c>
      <c r="F12" s="27">
        <v>0.65</v>
      </c>
      <c r="G12" s="27">
        <v>0.6</v>
      </c>
      <c r="H12" s="27">
        <v>0.7</v>
      </c>
      <c r="I12" s="27">
        <v>0.63</v>
      </c>
      <c r="J12" s="27">
        <v>0.63</v>
      </c>
      <c r="K12" s="27">
        <v>0.71</v>
      </c>
      <c r="L12" s="27">
        <v>0.73</v>
      </c>
      <c r="M12" s="27">
        <v>0.73</v>
      </c>
      <c r="N12" s="27">
        <v>0.76</v>
      </c>
      <c r="O12" s="27">
        <v>0.6</v>
      </c>
      <c r="P12" s="27">
        <v>0.56000000000000005</v>
      </c>
      <c r="Q12" s="1">
        <f t="shared" si="1"/>
        <v>12</v>
      </c>
    </row>
    <row r="13" spans="2:18" x14ac:dyDescent="0.2">
      <c r="B13" s="25" t="s">
        <v>66</v>
      </c>
      <c r="C13" s="26" t="s">
        <v>67</v>
      </c>
      <c r="D13" s="30">
        <f t="shared" si="0"/>
        <v>0.75583333333333336</v>
      </c>
      <c r="E13" s="27">
        <v>0.73</v>
      </c>
      <c r="F13" s="27">
        <v>0.75</v>
      </c>
      <c r="G13" s="27">
        <v>0.66</v>
      </c>
      <c r="H13" s="27">
        <v>0.75</v>
      </c>
      <c r="I13" s="27">
        <v>0.74</v>
      </c>
      <c r="J13" s="27">
        <v>0.74</v>
      </c>
      <c r="K13" s="27">
        <v>0.71</v>
      </c>
      <c r="L13" s="27">
        <v>0.74</v>
      </c>
      <c r="M13" s="27">
        <v>0.68</v>
      </c>
      <c r="N13" s="27">
        <v>0.67</v>
      </c>
      <c r="O13" s="27">
        <v>0.73</v>
      </c>
      <c r="P13" s="27">
        <v>0.69</v>
      </c>
      <c r="Q13" s="1">
        <f t="shared" si="1"/>
        <v>12</v>
      </c>
    </row>
    <row r="14" spans="2:18" x14ac:dyDescent="0.2">
      <c r="B14" s="25" t="s">
        <v>68</v>
      </c>
      <c r="C14" s="26" t="s">
        <v>69</v>
      </c>
      <c r="D14" s="30">
        <f t="shared" si="0"/>
        <v>0.8716666666666667</v>
      </c>
      <c r="E14" s="27">
        <v>0.91</v>
      </c>
      <c r="F14" s="27">
        <v>0.91</v>
      </c>
      <c r="G14" s="27">
        <v>0.91</v>
      </c>
      <c r="H14" s="27">
        <v>0.82</v>
      </c>
      <c r="I14" s="27">
        <v>0.57999999999999996</v>
      </c>
      <c r="J14" s="27">
        <v>0.57999999999999996</v>
      </c>
      <c r="K14" s="27">
        <v>0.9</v>
      </c>
      <c r="L14" s="27">
        <v>0.85</v>
      </c>
      <c r="M14" s="27">
        <v>0.84</v>
      </c>
      <c r="N14" s="27">
        <v>0.79</v>
      </c>
      <c r="O14" s="27">
        <v>0.93</v>
      </c>
      <c r="P14" s="27">
        <v>0.96</v>
      </c>
      <c r="Q14" s="1">
        <f t="shared" si="1"/>
        <v>12</v>
      </c>
    </row>
    <row r="15" spans="2:18" x14ac:dyDescent="0.2">
      <c r="B15" s="25" t="s">
        <v>68</v>
      </c>
      <c r="C15" s="26" t="s">
        <v>70</v>
      </c>
      <c r="D15" s="30">
        <f t="shared" si="0"/>
        <v>0.84666666666666679</v>
      </c>
      <c r="E15" s="27">
        <v>0.81</v>
      </c>
      <c r="F15" s="27">
        <v>0.82</v>
      </c>
      <c r="G15" s="27">
        <v>0.78</v>
      </c>
      <c r="H15" s="27">
        <v>0.67</v>
      </c>
      <c r="I15" s="27">
        <v>0.77</v>
      </c>
      <c r="J15" s="27">
        <v>0.77</v>
      </c>
      <c r="K15" s="27">
        <v>0.77</v>
      </c>
      <c r="L15" s="27">
        <v>0.8</v>
      </c>
      <c r="M15" s="27">
        <v>0.85</v>
      </c>
      <c r="N15" s="27">
        <v>0.86</v>
      </c>
      <c r="O15" s="27">
        <v>0.89</v>
      </c>
      <c r="P15" s="27">
        <v>0.89</v>
      </c>
      <c r="Q15" s="1">
        <f t="shared" si="1"/>
        <v>12</v>
      </c>
    </row>
    <row r="16" spans="2:18" x14ac:dyDescent="0.2">
      <c r="B16" s="25" t="s">
        <v>42</v>
      </c>
      <c r="C16" s="26" t="s">
        <v>41</v>
      </c>
      <c r="D16" s="30">
        <f t="shared" si="0"/>
        <v>0.70916666666666683</v>
      </c>
      <c r="E16" s="27">
        <v>0.69</v>
      </c>
      <c r="F16" s="27">
        <v>0.68</v>
      </c>
      <c r="G16" s="27">
        <v>0.64</v>
      </c>
      <c r="H16" s="27">
        <v>0.67</v>
      </c>
      <c r="I16" s="27">
        <v>0.74</v>
      </c>
      <c r="J16" s="27">
        <v>0.74</v>
      </c>
      <c r="K16" s="27">
        <v>0.78</v>
      </c>
      <c r="L16" s="27">
        <v>0.7</v>
      </c>
      <c r="M16" s="27">
        <v>0.65</v>
      </c>
      <c r="N16" s="27">
        <v>0.71</v>
      </c>
      <c r="O16" s="27">
        <v>0.53</v>
      </c>
      <c r="P16" s="27">
        <v>0.5</v>
      </c>
      <c r="Q16" s="1">
        <f t="shared" si="1"/>
        <v>12</v>
      </c>
    </row>
    <row r="17" spans="2:17" x14ac:dyDescent="0.2">
      <c r="B17" s="25" t="s">
        <v>42</v>
      </c>
      <c r="C17" s="26" t="s">
        <v>71</v>
      </c>
      <c r="D17" s="30">
        <f t="shared" si="0"/>
        <v>0.80216666666666658</v>
      </c>
      <c r="E17" s="27">
        <v>0.75</v>
      </c>
      <c r="F17" s="27">
        <v>0.81599999999999995</v>
      </c>
      <c r="G17" s="27">
        <v>0.75</v>
      </c>
      <c r="H17" s="27">
        <v>0.71</v>
      </c>
      <c r="I17" s="27">
        <v>0.81</v>
      </c>
      <c r="J17" s="27">
        <v>0.81</v>
      </c>
      <c r="K17" s="27">
        <v>0.86</v>
      </c>
      <c r="L17" s="27">
        <v>0.72</v>
      </c>
      <c r="M17" s="27">
        <v>0.73</v>
      </c>
      <c r="N17" s="27">
        <v>0.76</v>
      </c>
      <c r="O17" s="27">
        <v>0.71</v>
      </c>
      <c r="P17" s="27">
        <v>0.72</v>
      </c>
      <c r="Q17" s="1">
        <f t="shared" si="1"/>
        <v>12</v>
      </c>
    </row>
    <row r="18" spans="2:17" x14ac:dyDescent="0.2">
      <c r="B18" s="25" t="s">
        <v>72</v>
      </c>
      <c r="C18" s="26" t="s">
        <v>73</v>
      </c>
      <c r="D18" s="30">
        <f t="shared" si="0"/>
        <v>0.70000000000000007</v>
      </c>
      <c r="E18" s="27">
        <v>0.62</v>
      </c>
      <c r="F18" s="27">
        <v>0.65</v>
      </c>
      <c r="G18" s="27">
        <v>0.6</v>
      </c>
      <c r="H18" s="27">
        <v>0.7</v>
      </c>
      <c r="I18" s="27">
        <v>0.63</v>
      </c>
      <c r="J18" s="27">
        <v>0.63</v>
      </c>
      <c r="K18" s="27">
        <v>0.71</v>
      </c>
      <c r="L18" s="27">
        <v>0.73</v>
      </c>
      <c r="M18" s="27">
        <v>0.73</v>
      </c>
      <c r="N18" s="27">
        <v>0.76</v>
      </c>
      <c r="O18" s="27">
        <v>0.6</v>
      </c>
      <c r="P18" s="27">
        <v>0.56000000000000005</v>
      </c>
      <c r="Q18" s="1">
        <f t="shared" si="1"/>
        <v>12</v>
      </c>
    </row>
    <row r="19" spans="2:17" x14ac:dyDescent="0.2">
      <c r="B19" s="25" t="s">
        <v>42</v>
      </c>
      <c r="C19" s="26" t="s">
        <v>74</v>
      </c>
      <c r="D19" s="30">
        <f t="shared" si="0"/>
        <v>0.70000000000000007</v>
      </c>
      <c r="E19" s="27">
        <v>0.62</v>
      </c>
      <c r="F19" s="27">
        <v>0.65</v>
      </c>
      <c r="G19" s="27">
        <v>0.6</v>
      </c>
      <c r="H19" s="27">
        <v>0.7</v>
      </c>
      <c r="I19" s="27">
        <v>0.63</v>
      </c>
      <c r="J19" s="27">
        <v>0.63</v>
      </c>
      <c r="K19" s="27">
        <v>0.71</v>
      </c>
      <c r="L19" s="27">
        <v>0.73</v>
      </c>
      <c r="M19" s="27">
        <v>0.73</v>
      </c>
      <c r="N19" s="27">
        <v>0.76</v>
      </c>
      <c r="O19" s="27">
        <v>0.6</v>
      </c>
      <c r="P19" s="27">
        <v>0.56000000000000005</v>
      </c>
      <c r="Q19" s="1">
        <f t="shared" si="1"/>
        <v>12</v>
      </c>
    </row>
    <row r="20" spans="2:17" x14ac:dyDescent="0.2">
      <c r="B20" s="25" t="s">
        <v>75</v>
      </c>
      <c r="C20" s="26" t="s">
        <v>76</v>
      </c>
      <c r="D20" s="30">
        <f t="shared" si="0"/>
        <v>0.70000000000000007</v>
      </c>
      <c r="E20" s="27">
        <v>0.62</v>
      </c>
      <c r="F20" s="27">
        <v>0.65</v>
      </c>
      <c r="G20" s="27">
        <v>0.6</v>
      </c>
      <c r="H20" s="27">
        <v>0.7</v>
      </c>
      <c r="I20" s="27">
        <v>0.63</v>
      </c>
      <c r="J20" s="27">
        <v>0.63</v>
      </c>
      <c r="K20" s="27">
        <v>0.71</v>
      </c>
      <c r="L20" s="27">
        <v>0.73</v>
      </c>
      <c r="M20" s="27">
        <v>0.73</v>
      </c>
      <c r="N20" s="27">
        <v>0.76</v>
      </c>
      <c r="O20" s="27">
        <v>0.6</v>
      </c>
      <c r="P20" s="27">
        <v>0.56000000000000005</v>
      </c>
      <c r="Q20" s="1">
        <f t="shared" si="1"/>
        <v>12</v>
      </c>
    </row>
    <row r="21" spans="2:17" x14ac:dyDescent="0.2">
      <c r="B21" s="25" t="s">
        <v>77</v>
      </c>
      <c r="C21" s="26" t="s">
        <v>78</v>
      </c>
      <c r="D21" s="30">
        <f t="shared" si="0"/>
        <v>0.92166666666666652</v>
      </c>
      <c r="E21" s="27">
        <v>0.81</v>
      </c>
      <c r="F21" s="27">
        <v>0.79</v>
      </c>
      <c r="G21" s="27">
        <v>0.82</v>
      </c>
      <c r="H21" s="27">
        <v>0.9</v>
      </c>
      <c r="I21" s="27">
        <v>0.95</v>
      </c>
      <c r="J21" s="27">
        <v>0.95</v>
      </c>
      <c r="K21" s="27">
        <v>0.8</v>
      </c>
      <c r="L21" s="27">
        <v>0.89</v>
      </c>
      <c r="M21" s="27">
        <v>0.96</v>
      </c>
      <c r="N21" s="27">
        <v>0.91</v>
      </c>
      <c r="O21" s="27">
        <v>0.86</v>
      </c>
      <c r="P21" s="27">
        <v>0.94</v>
      </c>
      <c r="Q21" s="1">
        <f t="shared" si="1"/>
        <v>12</v>
      </c>
    </row>
    <row r="22" spans="2:17" x14ac:dyDescent="0.2">
      <c r="B22" s="25" t="s">
        <v>77</v>
      </c>
      <c r="C22" s="26" t="s">
        <v>79</v>
      </c>
      <c r="D22" s="30">
        <f t="shared" si="0"/>
        <v>0.90166666666666673</v>
      </c>
      <c r="E22" s="27">
        <v>0.83</v>
      </c>
      <c r="F22" s="27">
        <v>1</v>
      </c>
      <c r="G22" s="27">
        <v>0.75</v>
      </c>
      <c r="H22" s="27">
        <v>0.89</v>
      </c>
      <c r="I22" s="27">
        <v>1</v>
      </c>
      <c r="J22" s="27">
        <v>1</v>
      </c>
      <c r="K22" s="27">
        <v>0.93</v>
      </c>
      <c r="L22" s="27">
        <v>0.79</v>
      </c>
      <c r="M22" s="27">
        <v>0.82</v>
      </c>
      <c r="N22" s="27">
        <v>0.98</v>
      </c>
      <c r="O22" s="27">
        <v>0.66</v>
      </c>
      <c r="P22" s="27">
        <v>0.69</v>
      </c>
      <c r="Q22" s="1">
        <f t="shared" si="1"/>
        <v>12</v>
      </c>
    </row>
    <row r="23" spans="2:17" x14ac:dyDescent="0.2">
      <c r="B23" s="25" t="s">
        <v>80</v>
      </c>
      <c r="C23" s="26" t="s">
        <v>81</v>
      </c>
      <c r="D23" s="30">
        <f t="shared" si="0"/>
        <v>0.70000000000000007</v>
      </c>
      <c r="E23" s="27">
        <v>0.62</v>
      </c>
      <c r="F23" s="27">
        <v>0.65</v>
      </c>
      <c r="G23" s="27">
        <v>0.6</v>
      </c>
      <c r="H23" s="27">
        <v>0.7</v>
      </c>
      <c r="I23" s="27">
        <v>0.63</v>
      </c>
      <c r="J23" s="27">
        <v>0.63</v>
      </c>
      <c r="K23" s="27">
        <v>0.71</v>
      </c>
      <c r="L23" s="27">
        <v>0.73</v>
      </c>
      <c r="M23" s="27">
        <v>0.73</v>
      </c>
      <c r="N23" s="27">
        <v>0.76</v>
      </c>
      <c r="O23" s="27">
        <v>0.6</v>
      </c>
      <c r="P23" s="27">
        <v>0.56000000000000005</v>
      </c>
      <c r="Q23" s="1">
        <f t="shared" si="1"/>
        <v>12</v>
      </c>
    </row>
    <row r="24" spans="2:17" x14ac:dyDescent="0.2">
      <c r="B24" s="25" t="s">
        <v>82</v>
      </c>
      <c r="C24" s="26" t="s">
        <v>83</v>
      </c>
      <c r="D24" s="30">
        <f t="shared" si="0"/>
        <v>0.87388611111111103</v>
      </c>
      <c r="E24" s="27">
        <v>0.79313333333333302</v>
      </c>
      <c r="F24" s="27">
        <v>0.82666666666666699</v>
      </c>
      <c r="G24" s="27">
        <v>0.86499999999999999</v>
      </c>
      <c r="H24" s="27">
        <v>0.80666666666666698</v>
      </c>
      <c r="I24" s="27">
        <v>0.79833333333333301</v>
      </c>
      <c r="J24" s="27">
        <v>0.79833333333333301</v>
      </c>
      <c r="K24" s="27">
        <v>0.81799999999999995</v>
      </c>
      <c r="L24" s="27">
        <v>0.78200000000000003</v>
      </c>
      <c r="M24" s="27">
        <v>0.91249999999999998</v>
      </c>
      <c r="N24" s="27">
        <v>0.9</v>
      </c>
      <c r="O24" s="27">
        <v>0.83</v>
      </c>
      <c r="P24" s="27">
        <v>0.87599999999999989</v>
      </c>
      <c r="Q24" s="1">
        <f t="shared" si="1"/>
        <v>12</v>
      </c>
    </row>
    <row r="25" spans="2:17" x14ac:dyDescent="0.2">
      <c r="B25" s="25" t="s">
        <v>84</v>
      </c>
      <c r="C25" s="26" t="s">
        <v>85</v>
      </c>
      <c r="D25" s="30">
        <f t="shared" si="0"/>
        <v>0.77442777777777783</v>
      </c>
      <c r="E25" s="27">
        <v>0.79313333333333302</v>
      </c>
      <c r="F25" s="27">
        <v>0.77</v>
      </c>
      <c r="G25" s="27">
        <v>0.71</v>
      </c>
      <c r="H25" s="27">
        <v>0.67</v>
      </c>
      <c r="I25" s="27">
        <v>0.69</v>
      </c>
      <c r="J25" s="27">
        <v>0.69</v>
      </c>
      <c r="K25" s="27">
        <v>0.74</v>
      </c>
      <c r="L25" s="27">
        <v>0.71</v>
      </c>
      <c r="M25" s="27">
        <v>0.75</v>
      </c>
      <c r="N25" s="27">
        <v>0.79</v>
      </c>
      <c r="O25" s="27">
        <v>0.76</v>
      </c>
      <c r="P25" s="27">
        <v>0.74</v>
      </c>
      <c r="Q25" s="1">
        <f t="shared" si="1"/>
        <v>12</v>
      </c>
    </row>
    <row r="26" spans="2:17" x14ac:dyDescent="0.2">
      <c r="B26" s="25" t="s">
        <v>86</v>
      </c>
      <c r="C26" s="26" t="s">
        <v>87</v>
      </c>
      <c r="D26" s="30">
        <f t="shared" si="0"/>
        <v>0.8583333333333335</v>
      </c>
      <c r="E26" s="27">
        <v>0.77</v>
      </c>
      <c r="F26" s="27">
        <v>0.77</v>
      </c>
      <c r="G26" s="27">
        <v>0.71</v>
      </c>
      <c r="H26" s="27">
        <v>0.76</v>
      </c>
      <c r="I26" s="27">
        <v>0.93</v>
      </c>
      <c r="J26" s="27">
        <v>0.93</v>
      </c>
      <c r="K26" s="27">
        <v>0.46</v>
      </c>
      <c r="L26" s="27">
        <v>0.72</v>
      </c>
      <c r="M26" s="27">
        <v>0.94</v>
      </c>
      <c r="N26" s="27">
        <v>0.9</v>
      </c>
      <c r="O26" s="27">
        <v>0.96</v>
      </c>
      <c r="P26" s="27">
        <v>0.97</v>
      </c>
      <c r="Q26" s="1">
        <f t="shared" si="1"/>
        <v>12</v>
      </c>
    </row>
    <row r="27" spans="2:17" x14ac:dyDescent="0.2">
      <c r="B27" s="25" t="s">
        <v>13</v>
      </c>
      <c r="C27" s="26"/>
      <c r="D27" s="30" t="e">
        <f t="shared" si="0"/>
        <v>#DIV/0!</v>
      </c>
      <c r="E27" s="27"/>
      <c r="F27" s="27"/>
      <c r="G27" s="27"/>
      <c r="H27" s="27"/>
      <c r="I27" s="27"/>
      <c r="J27" s="27"/>
      <c r="K27" s="27"/>
      <c r="L27" s="27"/>
      <c r="M27" s="27"/>
      <c r="N27" s="27"/>
      <c r="O27" s="27"/>
      <c r="P27" s="27"/>
      <c r="Q27" s="1">
        <f t="shared" si="1"/>
        <v>0</v>
      </c>
    </row>
    <row r="28" spans="2:17" x14ac:dyDescent="0.2">
      <c r="B28" s="25" t="s">
        <v>13</v>
      </c>
      <c r="C28" s="26"/>
      <c r="D28" s="30" t="e">
        <f t="shared" si="0"/>
        <v>#DIV/0!</v>
      </c>
      <c r="E28" s="27"/>
      <c r="F28" s="27"/>
      <c r="G28" s="27"/>
      <c r="H28" s="27"/>
      <c r="I28" s="27"/>
      <c r="J28" s="27"/>
      <c r="K28" s="27"/>
      <c r="L28" s="27"/>
      <c r="M28" s="27"/>
      <c r="N28" s="27"/>
      <c r="O28" s="27"/>
      <c r="P28" s="27"/>
      <c r="Q28" s="1">
        <f t="shared" si="1"/>
        <v>0</v>
      </c>
    </row>
    <row r="29" spans="2:17" x14ac:dyDescent="0.2">
      <c r="B29" s="25" t="s">
        <v>13</v>
      </c>
      <c r="C29" s="26"/>
      <c r="D29" s="30" t="e">
        <f t="shared" si="0"/>
        <v>#DIV/0!</v>
      </c>
      <c r="E29" s="27"/>
      <c r="F29" s="27"/>
      <c r="G29" s="27"/>
      <c r="H29" s="27"/>
      <c r="I29" s="27"/>
      <c r="J29" s="27"/>
      <c r="K29" s="27"/>
      <c r="L29" s="27"/>
      <c r="M29" s="27"/>
      <c r="N29" s="27"/>
      <c r="O29" s="27"/>
      <c r="P29" s="27"/>
      <c r="Q29" s="1">
        <f t="shared" si="1"/>
        <v>0</v>
      </c>
    </row>
    <row r="30" spans="2:17" x14ac:dyDescent="0.2">
      <c r="B30" s="25" t="s">
        <v>13</v>
      </c>
      <c r="C30" s="26"/>
      <c r="D30" s="30" t="e">
        <f t="shared" si="0"/>
        <v>#DIV/0!</v>
      </c>
      <c r="E30" s="27"/>
      <c r="F30" s="27"/>
      <c r="G30" s="27"/>
      <c r="H30" s="27"/>
      <c r="I30" s="27"/>
      <c r="J30" s="27"/>
      <c r="K30" s="27"/>
      <c r="L30" s="27"/>
      <c r="M30" s="27"/>
      <c r="N30" s="27"/>
      <c r="O30" s="27"/>
      <c r="P30" s="27"/>
      <c r="Q30" s="1">
        <f t="shared" si="1"/>
        <v>0</v>
      </c>
    </row>
    <row r="31" spans="2:17" x14ac:dyDescent="0.2">
      <c r="B31" s="25" t="s">
        <v>13</v>
      </c>
      <c r="C31" s="26"/>
      <c r="D31" s="30" t="e">
        <f t="shared" si="0"/>
        <v>#DIV/0!</v>
      </c>
      <c r="E31" s="27"/>
      <c r="F31" s="27"/>
      <c r="G31" s="27"/>
      <c r="H31" s="27"/>
      <c r="I31" s="27"/>
      <c r="J31" s="27"/>
      <c r="K31" s="27"/>
      <c r="L31" s="27"/>
      <c r="M31" s="27"/>
      <c r="N31" s="27"/>
      <c r="O31" s="27"/>
      <c r="P31" s="27"/>
      <c r="Q31" s="1">
        <f t="shared" si="1"/>
        <v>0</v>
      </c>
    </row>
    <row r="32" spans="2:17" x14ac:dyDescent="0.2">
      <c r="B32" s="25" t="s">
        <v>13</v>
      </c>
      <c r="C32" s="26"/>
      <c r="D32" s="30" t="e">
        <f t="shared" si="0"/>
        <v>#DIV/0!</v>
      </c>
      <c r="E32" s="27"/>
      <c r="F32" s="27"/>
      <c r="G32" s="27"/>
      <c r="H32" s="27"/>
      <c r="I32" s="27"/>
      <c r="J32" s="27"/>
      <c r="K32" s="27"/>
      <c r="L32" s="27"/>
      <c r="M32" s="27"/>
      <c r="N32" s="27"/>
      <c r="O32" s="27"/>
      <c r="P32" s="27"/>
      <c r="Q32" s="1">
        <f t="shared" si="1"/>
        <v>0</v>
      </c>
    </row>
    <row r="33" spans="2:17" x14ac:dyDescent="0.2">
      <c r="B33" s="25" t="s">
        <v>13</v>
      </c>
      <c r="C33" s="26"/>
      <c r="D33" s="30" t="e">
        <f t="shared" si="0"/>
        <v>#DIV/0!</v>
      </c>
      <c r="E33" s="27"/>
      <c r="F33" s="27"/>
      <c r="G33" s="27"/>
      <c r="H33" s="27"/>
      <c r="I33" s="27"/>
      <c r="J33" s="27"/>
      <c r="K33" s="27"/>
      <c r="L33" s="27"/>
      <c r="M33" s="27"/>
      <c r="N33" s="27"/>
      <c r="O33" s="27"/>
      <c r="P33" s="27"/>
      <c r="Q33" s="1">
        <f t="shared" si="1"/>
        <v>0</v>
      </c>
    </row>
    <row r="37" spans="2:17" x14ac:dyDescent="0.2">
      <c r="B37" s="377" t="s">
        <v>21</v>
      </c>
      <c r="C37" s="377"/>
      <c r="D37" s="377"/>
      <c r="E37" s="377"/>
      <c r="F37" s="377"/>
      <c r="G37" s="377"/>
      <c r="H37" s="377"/>
      <c r="I37" s="377"/>
      <c r="J37" s="377"/>
      <c r="K37" s="377"/>
      <c r="L37" s="377"/>
      <c r="M37" s="377"/>
      <c r="N37" s="377"/>
      <c r="O37" s="377"/>
      <c r="P37" s="377"/>
    </row>
    <row r="38" spans="2:17" x14ac:dyDescent="0.2">
      <c r="B38" s="1" t="s">
        <v>22</v>
      </c>
    </row>
  </sheetData>
  <mergeCells count="4">
    <mergeCell ref="B2:P2"/>
    <mergeCell ref="B4:P4"/>
    <mergeCell ref="E8:P8"/>
    <mergeCell ref="B37:P37"/>
  </mergeCells>
  <dataValidations disablePrompts="1" count="1">
    <dataValidation type="list" showInputMessage="1" showErrorMessage="1" promptTitle="KPI" sqref="G6" xr:uid="{DEC53890-4869-497E-AAED-3D32469222E1}">
      <formula1>$Q$5:$Q$6</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D5352-B9E5-46E0-9069-85A57599B76E}">
  <sheetPr codeName="Tabelle2"/>
  <dimension ref="A1:J91"/>
  <sheetViews>
    <sheetView topLeftCell="A52" zoomScale="145" zoomScaleNormal="145" workbookViewId="0">
      <selection activeCell="D73" sqref="D73"/>
    </sheetView>
  </sheetViews>
  <sheetFormatPr defaultColWidth="11.42578125" defaultRowHeight="12.75" x14ac:dyDescent="0.2"/>
  <cols>
    <col min="6" max="6" width="12.140625" customWidth="1"/>
    <col min="7" max="7" width="12.140625" style="1" customWidth="1"/>
    <col min="8" max="8" width="30.7109375" bestFit="1" customWidth="1"/>
  </cols>
  <sheetData>
    <row r="1" spans="1:10" x14ac:dyDescent="0.2">
      <c r="A1" t="s">
        <v>100</v>
      </c>
      <c r="B1" t="s">
        <v>113</v>
      </c>
      <c r="H1" t="s">
        <v>196</v>
      </c>
    </row>
    <row r="2" spans="1:10" x14ac:dyDescent="0.2">
      <c r="A2" t="s">
        <v>101</v>
      </c>
      <c r="B2" t="s">
        <v>111</v>
      </c>
      <c r="H2" t="s">
        <v>198</v>
      </c>
    </row>
    <row r="3" spans="1:10" x14ac:dyDescent="0.2">
      <c r="A3" t="s">
        <v>102</v>
      </c>
      <c r="B3" t="s">
        <v>112</v>
      </c>
      <c r="H3" t="s">
        <v>197</v>
      </c>
    </row>
    <row r="4" spans="1:10" x14ac:dyDescent="0.2">
      <c r="A4" t="s">
        <v>103</v>
      </c>
      <c r="B4" t="s">
        <v>114</v>
      </c>
    </row>
    <row r="5" spans="1:10" x14ac:dyDescent="0.2">
      <c r="A5" t="s">
        <v>115</v>
      </c>
      <c r="B5" t="s">
        <v>116</v>
      </c>
    </row>
    <row r="6" spans="1:10" s="1" customFormat="1" x14ac:dyDescent="0.2"/>
    <row r="7" spans="1:10" s="1" customFormat="1" x14ac:dyDescent="0.2"/>
    <row r="9" spans="1:10" x14ac:dyDescent="0.2">
      <c r="B9" s="38" t="s">
        <v>100</v>
      </c>
      <c r="D9" t="s">
        <v>207</v>
      </c>
      <c r="E9" s="193"/>
      <c r="H9" s="38" t="s">
        <v>195</v>
      </c>
    </row>
    <row r="10" spans="1:10" x14ac:dyDescent="0.2">
      <c r="B10" s="135" t="s">
        <v>159</v>
      </c>
      <c r="C10" s="136" t="s">
        <v>117</v>
      </c>
      <c r="D10" s="136" t="s">
        <v>206</v>
      </c>
      <c r="E10" s="184"/>
      <c r="H10" t="s">
        <v>105</v>
      </c>
      <c r="I10" t="s">
        <v>208</v>
      </c>
      <c r="J10" s="175"/>
    </row>
    <row r="11" spans="1:10" x14ac:dyDescent="0.2">
      <c r="B11" s="138" t="s">
        <v>159</v>
      </c>
      <c r="C11" s="134" t="s">
        <v>119</v>
      </c>
      <c r="D11" s="134" t="s">
        <v>205</v>
      </c>
      <c r="E11" s="185"/>
      <c r="H11" t="s">
        <v>106</v>
      </c>
      <c r="I11" t="s">
        <v>216</v>
      </c>
      <c r="J11" s="195"/>
    </row>
    <row r="12" spans="1:10" x14ac:dyDescent="0.2">
      <c r="B12" s="138" t="s">
        <v>159</v>
      </c>
      <c r="C12" s="134" t="s">
        <v>120</v>
      </c>
      <c r="D12" s="134" t="s">
        <v>204</v>
      </c>
      <c r="E12" s="186"/>
      <c r="H12" t="s">
        <v>107</v>
      </c>
      <c r="I12" t="s">
        <v>210</v>
      </c>
      <c r="J12" s="178"/>
    </row>
    <row r="13" spans="1:10" x14ac:dyDescent="0.2">
      <c r="B13" s="138" t="s">
        <v>159</v>
      </c>
      <c r="C13" s="134" t="s">
        <v>121</v>
      </c>
      <c r="D13" s="134" t="s">
        <v>203</v>
      </c>
      <c r="E13" s="187"/>
      <c r="H13" t="s">
        <v>97</v>
      </c>
      <c r="I13" t="s">
        <v>209</v>
      </c>
      <c r="J13" s="176"/>
    </row>
    <row r="14" spans="1:10" x14ac:dyDescent="0.2">
      <c r="B14" s="138" t="s">
        <v>159</v>
      </c>
      <c r="C14" s="134" t="s">
        <v>122</v>
      </c>
      <c r="D14" s="134" t="s">
        <v>202</v>
      </c>
      <c r="E14" s="188"/>
      <c r="H14" t="s">
        <v>98</v>
      </c>
      <c r="I14" t="s">
        <v>212</v>
      </c>
      <c r="J14" s="180"/>
    </row>
    <row r="15" spans="1:10" x14ac:dyDescent="0.2">
      <c r="B15" s="138" t="s">
        <v>159</v>
      </c>
      <c r="C15" s="134" t="s">
        <v>123</v>
      </c>
      <c r="D15" s="134" t="s">
        <v>201</v>
      </c>
      <c r="E15" s="189"/>
      <c r="H15" t="s">
        <v>99</v>
      </c>
      <c r="I15" t="s">
        <v>211</v>
      </c>
      <c r="J15" s="179"/>
    </row>
    <row r="16" spans="1:10" x14ac:dyDescent="0.2">
      <c r="B16" s="138" t="s">
        <v>159</v>
      </c>
      <c r="C16" s="134" t="s">
        <v>124</v>
      </c>
      <c r="D16" s="134" t="s">
        <v>200</v>
      </c>
      <c r="E16" s="190"/>
      <c r="H16" t="s">
        <v>92</v>
      </c>
      <c r="I16" t="s">
        <v>181</v>
      </c>
      <c r="J16" s="177"/>
    </row>
    <row r="17" spans="2:10" x14ac:dyDescent="0.2">
      <c r="B17" s="138" t="s">
        <v>159</v>
      </c>
      <c r="C17" s="134" t="s">
        <v>125</v>
      </c>
      <c r="D17" s="134" t="s">
        <v>199</v>
      </c>
      <c r="E17" s="191"/>
      <c r="H17" t="s">
        <v>93</v>
      </c>
      <c r="I17" t="s">
        <v>213</v>
      </c>
      <c r="J17" s="194"/>
    </row>
    <row r="18" spans="2:10" x14ac:dyDescent="0.2">
      <c r="B18" s="138" t="s">
        <v>159</v>
      </c>
      <c r="C18" s="134" t="s">
        <v>126</v>
      </c>
      <c r="D18" s="134" t="s">
        <v>130</v>
      </c>
      <c r="E18" s="158"/>
      <c r="H18" t="s">
        <v>95</v>
      </c>
      <c r="I18" t="s">
        <v>214</v>
      </c>
      <c r="J18" s="181"/>
    </row>
    <row r="19" spans="2:10" x14ac:dyDescent="0.2">
      <c r="B19" s="145" t="s">
        <v>159</v>
      </c>
      <c r="C19" s="146" t="s">
        <v>127</v>
      </c>
      <c r="D19" s="146" t="s">
        <v>129</v>
      </c>
      <c r="E19" s="192"/>
      <c r="F19" s="1"/>
      <c r="H19" t="s">
        <v>94</v>
      </c>
      <c r="I19" t="s">
        <v>215</v>
      </c>
      <c r="J19" s="182"/>
    </row>
    <row r="20" spans="2:10" x14ac:dyDescent="0.2">
      <c r="C20" s="1"/>
      <c r="D20" s="183" t="s">
        <v>128</v>
      </c>
      <c r="E20" s="106"/>
      <c r="F20" s="1"/>
    </row>
    <row r="21" spans="2:10" x14ac:dyDescent="0.2">
      <c r="C21" s="1"/>
      <c r="F21" s="1"/>
    </row>
    <row r="23" spans="2:10" x14ac:dyDescent="0.2">
      <c r="D23" t="s">
        <v>141</v>
      </c>
      <c r="E23" s="108"/>
    </row>
    <row r="24" spans="2:10" x14ac:dyDescent="0.2">
      <c r="B24" s="38" t="s">
        <v>101</v>
      </c>
      <c r="D24" t="s">
        <v>140</v>
      </c>
      <c r="E24" s="107"/>
    </row>
    <row r="25" spans="2:10" x14ac:dyDescent="0.2">
      <c r="B25" s="135" t="s">
        <v>118</v>
      </c>
      <c r="C25" s="136" t="s">
        <v>117</v>
      </c>
      <c r="D25" s="136" t="s">
        <v>139</v>
      </c>
      <c r="E25" s="148"/>
    </row>
    <row r="26" spans="2:10" x14ac:dyDescent="0.2">
      <c r="B26" s="138" t="s">
        <v>118</v>
      </c>
      <c r="C26" s="134" t="s">
        <v>119</v>
      </c>
      <c r="D26" s="134" t="s">
        <v>138</v>
      </c>
      <c r="E26" s="149"/>
    </row>
    <row r="27" spans="2:10" x14ac:dyDescent="0.2">
      <c r="B27" s="138" t="s">
        <v>118</v>
      </c>
      <c r="C27" s="134" t="s">
        <v>120</v>
      </c>
      <c r="D27" s="134" t="s">
        <v>137</v>
      </c>
      <c r="E27" s="150"/>
    </row>
    <row r="28" spans="2:10" x14ac:dyDescent="0.2">
      <c r="B28" s="138" t="s">
        <v>118</v>
      </c>
      <c r="C28" s="134" t="s">
        <v>121</v>
      </c>
      <c r="D28" s="134" t="s">
        <v>136</v>
      </c>
      <c r="E28" s="151"/>
    </row>
    <row r="29" spans="2:10" x14ac:dyDescent="0.2">
      <c r="B29" s="138" t="s">
        <v>118</v>
      </c>
      <c r="C29" s="134" t="s">
        <v>122</v>
      </c>
      <c r="D29" s="134" t="s">
        <v>135</v>
      </c>
      <c r="E29" s="152"/>
    </row>
    <row r="30" spans="2:10" x14ac:dyDescent="0.2">
      <c r="B30" s="138" t="s">
        <v>118</v>
      </c>
      <c r="C30" s="134" t="s">
        <v>123</v>
      </c>
      <c r="D30" s="134" t="s">
        <v>134</v>
      </c>
      <c r="E30" s="153"/>
    </row>
    <row r="31" spans="2:10" x14ac:dyDescent="0.2">
      <c r="B31" s="138" t="s">
        <v>118</v>
      </c>
      <c r="C31" s="134" t="s">
        <v>124</v>
      </c>
      <c r="D31" s="134" t="s">
        <v>133</v>
      </c>
      <c r="E31" s="154"/>
    </row>
    <row r="32" spans="2:10" x14ac:dyDescent="0.2">
      <c r="B32" s="138" t="s">
        <v>118</v>
      </c>
      <c r="C32" s="134" t="s">
        <v>125</v>
      </c>
      <c r="D32" s="134" t="s">
        <v>132</v>
      </c>
      <c r="E32" s="155"/>
    </row>
    <row r="33" spans="2:5" x14ac:dyDescent="0.2">
      <c r="B33" s="138" t="s">
        <v>118</v>
      </c>
      <c r="C33" s="134" t="s">
        <v>126</v>
      </c>
      <c r="D33" s="134" t="s">
        <v>142</v>
      </c>
      <c r="E33" s="156"/>
    </row>
    <row r="34" spans="2:5" x14ac:dyDescent="0.2">
      <c r="B34" s="145" t="s">
        <v>118</v>
      </c>
      <c r="C34" s="146" t="s">
        <v>127</v>
      </c>
      <c r="D34" s="146" t="s">
        <v>143</v>
      </c>
      <c r="E34" s="157"/>
    </row>
    <row r="35" spans="2:5" x14ac:dyDescent="0.2">
      <c r="D35" t="s">
        <v>144</v>
      </c>
      <c r="E35" s="109"/>
    </row>
    <row r="38" spans="2:5" x14ac:dyDescent="0.2">
      <c r="B38" s="38" t="s">
        <v>102</v>
      </c>
      <c r="D38" s="1" t="s">
        <v>170</v>
      </c>
      <c r="E38" s="118"/>
    </row>
    <row r="39" spans="2:5" x14ac:dyDescent="0.2">
      <c r="B39" s="135" t="s">
        <v>131</v>
      </c>
      <c r="C39" s="136" t="s">
        <v>117</v>
      </c>
      <c r="D39" s="136" t="s">
        <v>169</v>
      </c>
      <c r="E39" s="159"/>
    </row>
    <row r="40" spans="2:5" x14ac:dyDescent="0.2">
      <c r="B40" s="138" t="s">
        <v>131</v>
      </c>
      <c r="C40" s="134" t="s">
        <v>119</v>
      </c>
      <c r="D40" s="134" t="s">
        <v>168</v>
      </c>
      <c r="E40" s="160"/>
    </row>
    <row r="41" spans="2:5" x14ac:dyDescent="0.2">
      <c r="B41" s="138" t="s">
        <v>131</v>
      </c>
      <c r="C41" s="134" t="s">
        <v>120</v>
      </c>
      <c r="D41" s="134" t="s">
        <v>167</v>
      </c>
      <c r="E41" s="161"/>
    </row>
    <row r="42" spans="2:5" x14ac:dyDescent="0.2">
      <c r="B42" s="138" t="s">
        <v>131</v>
      </c>
      <c r="C42" s="134" t="s">
        <v>121</v>
      </c>
      <c r="D42" s="134" t="s">
        <v>166</v>
      </c>
      <c r="E42" s="162"/>
    </row>
    <row r="43" spans="2:5" x14ac:dyDescent="0.2">
      <c r="B43" s="138" t="s">
        <v>131</v>
      </c>
      <c r="C43" s="134" t="s">
        <v>122</v>
      </c>
      <c r="D43" s="134" t="s">
        <v>165</v>
      </c>
      <c r="E43" s="163"/>
    </row>
    <row r="44" spans="2:5" x14ac:dyDescent="0.2">
      <c r="B44" s="138" t="s">
        <v>131</v>
      </c>
      <c r="C44" s="134" t="s">
        <v>123</v>
      </c>
      <c r="D44" s="134" t="s">
        <v>164</v>
      </c>
      <c r="E44" s="164"/>
    </row>
    <row r="45" spans="2:5" x14ac:dyDescent="0.2">
      <c r="B45" s="138" t="s">
        <v>131</v>
      </c>
      <c r="C45" s="134" t="s">
        <v>124</v>
      </c>
      <c r="D45" s="134" t="s">
        <v>163</v>
      </c>
      <c r="E45" s="165"/>
    </row>
    <row r="46" spans="2:5" x14ac:dyDescent="0.2">
      <c r="B46" s="145" t="s">
        <v>131</v>
      </c>
      <c r="C46" s="146" t="s">
        <v>125</v>
      </c>
      <c r="D46" s="146" t="s">
        <v>162</v>
      </c>
      <c r="E46" s="166"/>
    </row>
    <row r="47" spans="2:5" x14ac:dyDescent="0.2">
      <c r="B47" s="1"/>
      <c r="C47" s="1"/>
      <c r="D47" s="1" t="s">
        <v>161</v>
      </c>
      <c r="E47" s="117"/>
    </row>
    <row r="48" spans="2:5" x14ac:dyDescent="0.2">
      <c r="B48" s="1"/>
      <c r="C48" s="1"/>
      <c r="D48" s="1" t="s">
        <v>160</v>
      </c>
      <c r="E48" s="116"/>
    </row>
    <row r="49" spans="2:5" x14ac:dyDescent="0.2">
      <c r="D49" s="1" t="s">
        <v>160</v>
      </c>
      <c r="E49" s="115"/>
    </row>
    <row r="51" spans="2:5" x14ac:dyDescent="0.2">
      <c r="B51" s="38" t="s">
        <v>103</v>
      </c>
    </row>
    <row r="52" spans="2:5" x14ac:dyDescent="0.2">
      <c r="B52" s="135" t="s">
        <v>145</v>
      </c>
      <c r="C52" s="136" t="s">
        <v>117</v>
      </c>
      <c r="D52" s="136" t="s">
        <v>180</v>
      </c>
      <c r="E52" s="167"/>
    </row>
    <row r="53" spans="2:5" x14ac:dyDescent="0.2">
      <c r="B53" s="138" t="s">
        <v>145</v>
      </c>
      <c r="C53" s="134" t="s">
        <v>119</v>
      </c>
      <c r="D53" s="134" t="s">
        <v>179</v>
      </c>
      <c r="E53" s="168"/>
    </row>
    <row r="54" spans="2:5" x14ac:dyDescent="0.2">
      <c r="B54" s="138" t="s">
        <v>145</v>
      </c>
      <c r="C54" s="134" t="s">
        <v>120</v>
      </c>
      <c r="D54" s="134" t="s">
        <v>178</v>
      </c>
      <c r="E54" s="169"/>
    </row>
    <row r="55" spans="2:5" x14ac:dyDescent="0.2">
      <c r="B55" s="138" t="s">
        <v>145</v>
      </c>
      <c r="C55" s="134" t="s">
        <v>121</v>
      </c>
      <c r="D55" s="134" t="s">
        <v>177</v>
      </c>
      <c r="E55" s="170"/>
    </row>
    <row r="56" spans="2:5" x14ac:dyDescent="0.2">
      <c r="B56" s="138" t="s">
        <v>145</v>
      </c>
      <c r="C56" s="134" t="s">
        <v>122</v>
      </c>
      <c r="D56" s="134" t="s">
        <v>176</v>
      </c>
      <c r="E56" s="171"/>
    </row>
    <row r="57" spans="2:5" x14ac:dyDescent="0.2">
      <c r="B57" s="138" t="s">
        <v>145</v>
      </c>
      <c r="C57" s="134" t="s">
        <v>123</v>
      </c>
      <c r="D57" s="134" t="s">
        <v>175</v>
      </c>
      <c r="E57" s="172"/>
    </row>
    <row r="58" spans="2:5" x14ac:dyDescent="0.2">
      <c r="B58" s="138" t="s">
        <v>145</v>
      </c>
      <c r="C58" s="134" t="s">
        <v>124</v>
      </c>
      <c r="D58" s="134" t="s">
        <v>174</v>
      </c>
      <c r="E58" s="173"/>
    </row>
    <row r="59" spans="2:5" x14ac:dyDescent="0.2">
      <c r="B59" s="145" t="s">
        <v>145</v>
      </c>
      <c r="C59" s="146" t="s">
        <v>125</v>
      </c>
      <c r="D59" s="146" t="s">
        <v>173</v>
      </c>
      <c r="E59" s="174"/>
    </row>
    <row r="60" spans="2:5" x14ac:dyDescent="0.2">
      <c r="D60" s="1" t="s">
        <v>172</v>
      </c>
      <c r="E60" s="120"/>
    </row>
    <row r="61" spans="2:5" x14ac:dyDescent="0.2">
      <c r="D61" s="1" t="s">
        <v>171</v>
      </c>
      <c r="E61" s="119"/>
    </row>
    <row r="64" spans="2:5" x14ac:dyDescent="0.2">
      <c r="D64" s="1" t="s">
        <v>152</v>
      </c>
      <c r="E64" s="111"/>
    </row>
    <row r="65" spans="2:5" x14ac:dyDescent="0.2">
      <c r="D65" s="1" t="s">
        <v>151</v>
      </c>
      <c r="E65" s="110"/>
    </row>
    <row r="66" spans="2:5" x14ac:dyDescent="0.2">
      <c r="B66" s="135" t="s">
        <v>115</v>
      </c>
      <c r="C66" s="136" t="s">
        <v>117</v>
      </c>
      <c r="D66" s="136" t="s">
        <v>150</v>
      </c>
      <c r="E66" s="137"/>
    </row>
    <row r="67" spans="2:5" x14ac:dyDescent="0.2">
      <c r="B67" s="138" t="s">
        <v>115</v>
      </c>
      <c r="C67" s="134" t="s">
        <v>119</v>
      </c>
      <c r="D67" s="134" t="s">
        <v>149</v>
      </c>
      <c r="E67" s="139"/>
    </row>
    <row r="68" spans="2:5" x14ac:dyDescent="0.2">
      <c r="B68" s="138" t="s">
        <v>115</v>
      </c>
      <c r="C68" s="134" t="s">
        <v>120</v>
      </c>
      <c r="D68" s="134" t="s">
        <v>148</v>
      </c>
      <c r="E68" s="140"/>
    </row>
    <row r="69" spans="2:5" x14ac:dyDescent="0.2">
      <c r="B69" s="138" t="s">
        <v>115</v>
      </c>
      <c r="C69" s="134" t="s">
        <v>121</v>
      </c>
      <c r="D69" s="134" t="s">
        <v>153</v>
      </c>
      <c r="E69" s="141"/>
    </row>
    <row r="70" spans="2:5" x14ac:dyDescent="0.2">
      <c r="B70" s="138" t="s">
        <v>115</v>
      </c>
      <c r="C70" s="134" t="s">
        <v>122</v>
      </c>
      <c r="D70" s="134" t="s">
        <v>147</v>
      </c>
      <c r="E70" s="142"/>
    </row>
    <row r="71" spans="2:5" x14ac:dyDescent="0.2">
      <c r="B71" s="138" t="s">
        <v>115</v>
      </c>
      <c r="C71" s="134" t="s">
        <v>123</v>
      </c>
      <c r="D71" s="134" t="s">
        <v>146</v>
      </c>
      <c r="E71" s="143"/>
    </row>
    <row r="72" spans="2:5" x14ac:dyDescent="0.2">
      <c r="B72" s="138" t="s">
        <v>115</v>
      </c>
      <c r="C72" s="134" t="s">
        <v>124</v>
      </c>
      <c r="D72" s="134" t="s">
        <v>154</v>
      </c>
      <c r="E72" s="144"/>
    </row>
    <row r="73" spans="2:5" x14ac:dyDescent="0.2">
      <c r="B73" s="145" t="s">
        <v>115</v>
      </c>
      <c r="C73" s="146" t="s">
        <v>125</v>
      </c>
      <c r="D73" s="146" t="s">
        <v>155</v>
      </c>
      <c r="E73" s="147"/>
    </row>
    <row r="74" spans="2:5" x14ac:dyDescent="0.2">
      <c r="B74" s="1"/>
      <c r="C74" s="1"/>
      <c r="D74" t="s">
        <v>156</v>
      </c>
      <c r="E74" s="112"/>
    </row>
    <row r="75" spans="2:5" x14ac:dyDescent="0.2">
      <c r="B75" s="1"/>
      <c r="C75" s="1"/>
      <c r="D75" s="1" t="s">
        <v>157</v>
      </c>
      <c r="E75" s="113"/>
    </row>
    <row r="76" spans="2:5" x14ac:dyDescent="0.2">
      <c r="D76" s="1" t="s">
        <v>158</v>
      </c>
      <c r="E76" s="114"/>
    </row>
    <row r="79" spans="2:5" x14ac:dyDescent="0.2">
      <c r="D79" s="1" t="s">
        <v>189</v>
      </c>
      <c r="E79" s="129"/>
    </row>
    <row r="80" spans="2:5" x14ac:dyDescent="0.2">
      <c r="B80" s="1" t="s">
        <v>194</v>
      </c>
      <c r="C80" s="1" t="s">
        <v>117</v>
      </c>
      <c r="D80" s="1" t="s">
        <v>188</v>
      </c>
      <c r="E80" s="128"/>
    </row>
    <row r="81" spans="2:5" x14ac:dyDescent="0.2">
      <c r="B81" s="1" t="s">
        <v>194</v>
      </c>
      <c r="C81" s="1" t="s">
        <v>119</v>
      </c>
      <c r="D81" s="1" t="s">
        <v>187</v>
      </c>
      <c r="E81" s="127"/>
    </row>
    <row r="82" spans="2:5" x14ac:dyDescent="0.2">
      <c r="B82" s="1" t="s">
        <v>194</v>
      </c>
      <c r="C82" s="1" t="s">
        <v>120</v>
      </c>
      <c r="D82" s="1" t="s">
        <v>186</v>
      </c>
      <c r="E82" s="126"/>
    </row>
    <row r="83" spans="2:5" x14ac:dyDescent="0.2">
      <c r="B83" s="1" t="s">
        <v>194</v>
      </c>
      <c r="C83" s="1" t="s">
        <v>121</v>
      </c>
      <c r="D83" s="1" t="s">
        <v>185</v>
      </c>
      <c r="E83" s="125"/>
    </row>
    <row r="84" spans="2:5" x14ac:dyDescent="0.2">
      <c r="B84" s="1" t="s">
        <v>194</v>
      </c>
      <c r="C84" s="1" t="s">
        <v>122</v>
      </c>
      <c r="D84" s="1" t="s">
        <v>184</v>
      </c>
      <c r="E84" s="124"/>
    </row>
    <row r="85" spans="2:5" x14ac:dyDescent="0.2">
      <c r="B85" s="1" t="s">
        <v>194</v>
      </c>
      <c r="C85" s="1" t="s">
        <v>123</v>
      </c>
      <c r="D85" s="1" t="s">
        <v>183</v>
      </c>
      <c r="E85" s="123"/>
    </row>
    <row r="86" spans="2:5" x14ac:dyDescent="0.2">
      <c r="B86" s="1" t="s">
        <v>194</v>
      </c>
      <c r="C86" s="1" t="s">
        <v>124</v>
      </c>
      <c r="D86" s="1" t="s">
        <v>182</v>
      </c>
      <c r="E86" s="122"/>
    </row>
    <row r="87" spans="2:5" x14ac:dyDescent="0.2">
      <c r="B87" s="1" t="s">
        <v>194</v>
      </c>
      <c r="C87" s="1" t="s">
        <v>125</v>
      </c>
      <c r="D87" s="1" t="s">
        <v>181</v>
      </c>
      <c r="E87" s="121"/>
    </row>
    <row r="88" spans="2:5" x14ac:dyDescent="0.2">
      <c r="D88" s="1" t="s">
        <v>190</v>
      </c>
      <c r="E88" s="130"/>
    </row>
    <row r="89" spans="2:5" x14ac:dyDescent="0.2">
      <c r="D89" s="1" t="s">
        <v>191</v>
      </c>
      <c r="E89" s="131"/>
    </row>
    <row r="90" spans="2:5" x14ac:dyDescent="0.2">
      <c r="D90" s="1" t="s">
        <v>192</v>
      </c>
      <c r="E90" s="132"/>
    </row>
    <row r="91" spans="2:5" x14ac:dyDescent="0.2">
      <c r="D91" s="1" t="s">
        <v>193</v>
      </c>
      <c r="E91" s="133"/>
    </row>
  </sheetData>
  <phoneticPr fontId="9" type="noConversion"/>
  <pageMargins left="0.7" right="0.7" top="0.78740157499999996" bottom="0.78740157499999996"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96C0D-AD6E-4086-80CD-AF737880CCBC}">
  <sheetPr codeName="Sheet3">
    <outlinePr summaryRight="0"/>
  </sheetPr>
  <dimension ref="A1:BT20"/>
  <sheetViews>
    <sheetView topLeftCell="AW1" zoomScale="85" zoomScaleNormal="85" workbookViewId="0">
      <selection activeCell="K31" sqref="K31"/>
    </sheetView>
  </sheetViews>
  <sheetFormatPr defaultRowHeight="12.75" outlineLevelCol="1" x14ac:dyDescent="0.2"/>
  <cols>
    <col min="1" max="1" width="12.85546875" customWidth="1"/>
    <col min="3" max="3" width="2.28515625" customWidth="1"/>
    <col min="4" max="4" width="13.28515625" customWidth="1"/>
    <col min="5" max="15" width="13.28515625" customWidth="1" outlineLevel="1"/>
    <col min="16" max="16" width="13.28515625" customWidth="1"/>
    <col min="17" max="27" width="13.28515625" customWidth="1" outlineLevel="1"/>
    <col min="28" max="28" width="13.28515625" customWidth="1"/>
    <col min="29" max="39" width="13.28515625" customWidth="1" outlineLevel="1"/>
    <col min="40" max="55" width="13.28515625" customWidth="1"/>
    <col min="56" max="56" width="7.140625" style="199" customWidth="1"/>
    <col min="57" max="72" width="13.28515625" customWidth="1"/>
  </cols>
  <sheetData>
    <row r="1" spans="1:72" s="94" customFormat="1" ht="15" customHeight="1" thickBot="1" x14ac:dyDescent="0.25">
      <c r="A1" s="98" t="s">
        <v>91</v>
      </c>
      <c r="B1" s="99">
        <v>2024</v>
      </c>
      <c r="D1" s="395">
        <f>$B$1</f>
        <v>2024</v>
      </c>
      <c r="E1" s="396"/>
      <c r="F1" s="396"/>
      <c r="G1" s="396"/>
      <c r="H1" s="396"/>
      <c r="I1" s="396"/>
      <c r="J1" s="396"/>
      <c r="K1" s="396"/>
      <c r="L1" s="396"/>
      <c r="M1" s="396"/>
      <c r="N1" s="396"/>
      <c r="O1" s="396"/>
      <c r="P1" s="397">
        <f>$D$1+1</f>
        <v>2025</v>
      </c>
      <c r="Q1" s="398"/>
      <c r="R1" s="398"/>
      <c r="S1" s="398"/>
      <c r="T1" s="398"/>
      <c r="U1" s="398"/>
      <c r="V1" s="398"/>
      <c r="W1" s="398"/>
      <c r="X1" s="398"/>
      <c r="Y1" s="398"/>
      <c r="Z1" s="398"/>
      <c r="AA1" s="399"/>
      <c r="AB1" s="397">
        <f>$P$1+1</f>
        <v>2026</v>
      </c>
      <c r="AC1" s="398"/>
      <c r="AD1" s="398"/>
      <c r="AE1" s="398"/>
      <c r="AF1" s="398"/>
      <c r="AG1" s="398"/>
      <c r="AH1" s="398"/>
      <c r="AI1" s="398"/>
      <c r="AJ1" s="398"/>
      <c r="AK1" s="398"/>
      <c r="AL1" s="398"/>
      <c r="AM1" s="399"/>
      <c r="AN1" s="365">
        <f>$D$1</f>
        <v>2024</v>
      </c>
      <c r="AO1" s="368"/>
      <c r="AP1" s="365">
        <f>AN1+1</f>
        <v>2025</v>
      </c>
      <c r="AQ1" s="368"/>
      <c r="AR1" s="365">
        <f>AP1+1</f>
        <v>2026</v>
      </c>
      <c r="AS1" s="368"/>
      <c r="AT1" s="365">
        <f>AR1+1</f>
        <v>2027</v>
      </c>
      <c r="AU1" s="368"/>
      <c r="AV1" s="365">
        <f>AT1+1</f>
        <v>2028</v>
      </c>
      <c r="AW1" s="368"/>
      <c r="AX1" s="365">
        <f>AV1+1</f>
        <v>2029</v>
      </c>
      <c r="AY1" s="368"/>
      <c r="AZ1" s="365">
        <f>AX1+1</f>
        <v>2030</v>
      </c>
      <c r="BA1" s="368"/>
      <c r="BB1" s="365">
        <f>AZ1+1</f>
        <v>2031</v>
      </c>
      <c r="BC1" s="368"/>
      <c r="BD1" s="197"/>
      <c r="BE1" s="367">
        <f>$D$1</f>
        <v>2024</v>
      </c>
      <c r="BF1" s="366"/>
      <c r="BG1" s="367">
        <f>BE1+1</f>
        <v>2025</v>
      </c>
      <c r="BH1" s="366"/>
      <c r="BI1" s="367">
        <f>BG1+1</f>
        <v>2026</v>
      </c>
      <c r="BJ1" s="366"/>
      <c r="BK1" s="367">
        <f>BI1+1</f>
        <v>2027</v>
      </c>
      <c r="BL1" s="366"/>
      <c r="BM1" s="367">
        <f>BK1+1</f>
        <v>2028</v>
      </c>
      <c r="BN1" s="366"/>
      <c r="BO1" s="367">
        <f>BM1+1</f>
        <v>2029</v>
      </c>
      <c r="BP1" s="366"/>
      <c r="BQ1" s="367">
        <f>BO1+1</f>
        <v>2030</v>
      </c>
      <c r="BR1" s="366"/>
      <c r="BS1" s="367">
        <f>BQ1+1</f>
        <v>2031</v>
      </c>
      <c r="BT1" s="366"/>
    </row>
    <row r="2" spans="1:72" s="101" customFormat="1" ht="15.75" customHeight="1" x14ac:dyDescent="0.2">
      <c r="A2" s="1"/>
      <c r="B2" s="1"/>
      <c r="D2" s="210">
        <f>DATE($D$1,1,1)</f>
        <v>45292</v>
      </c>
      <c r="E2" s="84">
        <f>DATE($D$1,2,1)</f>
        <v>45323</v>
      </c>
      <c r="F2" s="84">
        <f>DATE($D$1,3,1)</f>
        <v>45352</v>
      </c>
      <c r="G2" s="84">
        <f>DATE($D$1,4,1)</f>
        <v>45383</v>
      </c>
      <c r="H2" s="84">
        <f>DATE($D$1,5,1)</f>
        <v>45413</v>
      </c>
      <c r="I2" s="84">
        <f>DATE($D$1,6,1)</f>
        <v>45444</v>
      </c>
      <c r="J2" s="84">
        <f>DATE($D$1,7,1)</f>
        <v>45474</v>
      </c>
      <c r="K2" s="84">
        <f>DATE($D$1,8,1)</f>
        <v>45505</v>
      </c>
      <c r="L2" s="84">
        <f>DATE($D$1,9,1)</f>
        <v>45536</v>
      </c>
      <c r="M2" s="84">
        <f>DATE($D$1,10,1)</f>
        <v>45566</v>
      </c>
      <c r="N2" s="84">
        <f>DATE($D$1,11,1)</f>
        <v>45597</v>
      </c>
      <c r="O2" s="218">
        <f>DATE($D$1,12,1)</f>
        <v>45627</v>
      </c>
      <c r="P2" s="210">
        <f>DATE($P$1,1,1)</f>
        <v>45658</v>
      </c>
      <c r="Q2" s="84">
        <f>DATE($P$1,2,1)</f>
        <v>45689</v>
      </c>
      <c r="R2" s="84">
        <f>DATE($P$1,3,1)</f>
        <v>45717</v>
      </c>
      <c r="S2" s="84">
        <f>DATE($P$1,4,1)</f>
        <v>45748</v>
      </c>
      <c r="T2" s="84">
        <f>DATE($P$1,5,1)</f>
        <v>45778</v>
      </c>
      <c r="U2" s="84">
        <f>DATE($P$1,6,1)</f>
        <v>45809</v>
      </c>
      <c r="V2" s="84">
        <f>DATE($P$1,7,1)</f>
        <v>45839</v>
      </c>
      <c r="W2" s="84">
        <f>DATE($P$1,8,1)</f>
        <v>45870</v>
      </c>
      <c r="X2" s="84">
        <f>DATE($P$1,9,1)</f>
        <v>45901</v>
      </c>
      <c r="Y2" s="84">
        <f>DATE($P$1,10,1)</f>
        <v>45931</v>
      </c>
      <c r="Z2" s="84">
        <f>DATE($P$1,11,1)</f>
        <v>45962</v>
      </c>
      <c r="AA2" s="211">
        <f>DATE($P$1,12,1)</f>
        <v>45992</v>
      </c>
      <c r="AB2" s="210">
        <f>DATE($AB$1,1,1)</f>
        <v>46023</v>
      </c>
      <c r="AC2" s="84">
        <f>DATE($AB$1,2,1)</f>
        <v>46054</v>
      </c>
      <c r="AD2" s="84">
        <f>DATE($AB$1,3,1)</f>
        <v>46082</v>
      </c>
      <c r="AE2" s="84">
        <f>DATE($AB$1,4,1)</f>
        <v>46113</v>
      </c>
      <c r="AF2" s="84">
        <f>DATE($AB$1,5,1)</f>
        <v>46143</v>
      </c>
      <c r="AG2" s="84">
        <f>DATE($AB$1,6,1)</f>
        <v>46174</v>
      </c>
      <c r="AH2" s="84">
        <f>DATE($AB$1,7,1)</f>
        <v>46204</v>
      </c>
      <c r="AI2" s="84">
        <f>DATE($AB$1,8,1)</f>
        <v>46235</v>
      </c>
      <c r="AJ2" s="84">
        <f>DATE($AB$1,9,1)</f>
        <v>46266</v>
      </c>
      <c r="AK2" s="84">
        <f>DATE($AB$1,10,1)</f>
        <v>46296</v>
      </c>
      <c r="AL2" s="84">
        <f>DATE($AB$1,11,1)</f>
        <v>46327</v>
      </c>
      <c r="AM2" s="211">
        <f>DATE($AB$1,12,1)</f>
        <v>46357</v>
      </c>
      <c r="AN2" s="219" t="str">
        <f>_xlfn.CONCAT(AN$1,-1," HY")</f>
        <v>2024-1 HY</v>
      </c>
      <c r="AO2" s="220" t="str">
        <f>_xlfn.CONCAT(AN$1,-2," HY")</f>
        <v>2024-2 HY</v>
      </c>
      <c r="AP2" s="219" t="str">
        <f>_xlfn.CONCAT(AP$1,-1," HY")</f>
        <v>2025-1 HY</v>
      </c>
      <c r="AQ2" s="220" t="str">
        <f>_xlfn.CONCAT(AP$1,-2," HY")</f>
        <v>2025-2 HY</v>
      </c>
      <c r="AR2" s="219" t="str">
        <f>_xlfn.CONCAT(AR$1,-1," HY")</f>
        <v>2026-1 HY</v>
      </c>
      <c r="AS2" s="220" t="str">
        <f>_xlfn.CONCAT(AR$1,-2," HY")</f>
        <v>2026-2 HY</v>
      </c>
      <c r="AT2" s="219" t="str">
        <f>_xlfn.CONCAT(AT$1,-1," HY")</f>
        <v>2027-1 HY</v>
      </c>
      <c r="AU2" s="220" t="str">
        <f>_xlfn.CONCAT(AT$1,-2," HY")</f>
        <v>2027-2 HY</v>
      </c>
      <c r="AV2" s="219" t="str">
        <f>_xlfn.CONCAT(AV$1,-1," HY")</f>
        <v>2028-1 HY</v>
      </c>
      <c r="AW2" s="220" t="str">
        <f>_xlfn.CONCAT(AV$1,-2," HY")</f>
        <v>2028-2 HY</v>
      </c>
      <c r="AX2" s="219" t="str">
        <f>_xlfn.CONCAT(AX$1,-1," HY")</f>
        <v>2029-1 HY</v>
      </c>
      <c r="AY2" s="220" t="str">
        <f>_xlfn.CONCAT(AX$1,-2," HY")</f>
        <v>2029-2 HY</v>
      </c>
      <c r="AZ2" s="219" t="str">
        <f>_xlfn.CONCAT(AZ$1,-1," HY")</f>
        <v>2030-1 HY</v>
      </c>
      <c r="BA2" s="220" t="str">
        <f>_xlfn.CONCAT(AZ$1,-2," HY")</f>
        <v>2030-2 HY</v>
      </c>
      <c r="BB2" s="219" t="str">
        <f>_xlfn.CONCAT(BB$1,-1," HY")</f>
        <v>2031-1 HY</v>
      </c>
      <c r="BC2" s="220" t="str">
        <f>_xlfn.CONCAT(BB$1,-2," HY")</f>
        <v>2031-2 HY</v>
      </c>
      <c r="BD2" s="198"/>
      <c r="BE2" s="219" t="str">
        <f>_xlfn.CONCAT(BE$1,-1," HY")</f>
        <v>2024-1 HY</v>
      </c>
      <c r="BF2" s="220" t="str">
        <f>_xlfn.CONCAT(BE$1,-2," HY")</f>
        <v>2024-2 HY</v>
      </c>
      <c r="BG2" s="219" t="str">
        <f>_xlfn.CONCAT(BG$1,-1," HY")</f>
        <v>2025-1 HY</v>
      </c>
      <c r="BH2" s="220" t="str">
        <f>_xlfn.CONCAT(BG$1,-2," HY")</f>
        <v>2025-2 HY</v>
      </c>
      <c r="BI2" s="219" t="str">
        <f>_xlfn.CONCAT(BI$1,-1," HY")</f>
        <v>2026-1 HY</v>
      </c>
      <c r="BJ2" s="220" t="str">
        <f>_xlfn.CONCAT(BI$1,-2," HY")</f>
        <v>2026-2 HY</v>
      </c>
      <c r="BK2" s="219" t="str">
        <f>_xlfn.CONCAT(BK$1,-1," HY")</f>
        <v>2027-1 HY</v>
      </c>
      <c r="BL2" s="220" t="str">
        <f>_xlfn.CONCAT(BK$1,-2," HY")</f>
        <v>2027-2 HY</v>
      </c>
      <c r="BM2" s="219" t="str">
        <f>_xlfn.CONCAT(BM$1,-1," HY")</f>
        <v>2028-1 HY</v>
      </c>
      <c r="BN2" s="220" t="str">
        <f>_xlfn.CONCAT(BM$1,-2," HY")</f>
        <v>2028-2 HY</v>
      </c>
      <c r="BO2" s="219" t="str">
        <f>_xlfn.CONCAT(BO$1,-1," HY")</f>
        <v>2029-1 HY</v>
      </c>
      <c r="BP2" s="220" t="str">
        <f>_xlfn.CONCAT(BO$1,-2," HY")</f>
        <v>2029-2 HY</v>
      </c>
      <c r="BQ2" s="219" t="str">
        <f>_xlfn.CONCAT(BQ$1,-1," HY")</f>
        <v>2030-1 HY</v>
      </c>
      <c r="BR2" s="220" t="str">
        <f>_xlfn.CONCAT(BQ$1,-2," HY")</f>
        <v>2030-2 HY</v>
      </c>
      <c r="BS2" s="219" t="str">
        <f>_xlfn.CONCAT(BS$1,-1," HY")</f>
        <v>2031-1 HY</v>
      </c>
      <c r="BT2" s="220" t="str">
        <f>_xlfn.CONCAT(BS$1,-2," HY")</f>
        <v>2031-2 HY</v>
      </c>
    </row>
    <row r="3" spans="1:72" s="1" customFormat="1" ht="12.75" customHeight="1" x14ac:dyDescent="0.2">
      <c r="D3" s="212"/>
      <c r="E3" s="196"/>
      <c r="F3" s="196"/>
      <c r="G3" s="196"/>
      <c r="H3" s="196"/>
      <c r="I3" s="196"/>
      <c r="J3" s="196"/>
      <c r="K3" s="196"/>
      <c r="L3" s="196"/>
      <c r="M3" s="196"/>
      <c r="N3" s="196"/>
      <c r="O3" s="196"/>
      <c r="P3" s="212"/>
      <c r="Q3" s="196"/>
      <c r="R3" s="196"/>
      <c r="S3" s="196"/>
      <c r="T3" s="196"/>
      <c r="U3" s="196"/>
      <c r="V3" s="196"/>
      <c r="W3" s="196"/>
      <c r="X3" s="196"/>
      <c r="Y3" s="196"/>
      <c r="Z3" s="196"/>
      <c r="AA3" s="213"/>
      <c r="AB3" s="212"/>
      <c r="AC3" s="196"/>
      <c r="AD3" s="196"/>
      <c r="AE3" s="196"/>
      <c r="AF3" s="196"/>
      <c r="AG3" s="196"/>
      <c r="AH3" s="196"/>
      <c r="AI3" s="196"/>
      <c r="AJ3" s="196"/>
      <c r="AK3" s="196"/>
      <c r="AL3" s="196"/>
      <c r="AM3" s="213"/>
      <c r="AN3" s="212"/>
      <c r="AO3" s="213"/>
      <c r="AP3" s="212"/>
      <c r="AQ3" s="213"/>
      <c r="AR3" s="212"/>
      <c r="AS3" s="213"/>
      <c r="AT3" s="212"/>
      <c r="AU3" s="213"/>
      <c r="AV3" s="212"/>
      <c r="AW3" s="213"/>
      <c r="AX3" s="212"/>
      <c r="AY3" s="213"/>
      <c r="AZ3" s="212"/>
      <c r="BA3" s="213"/>
      <c r="BB3" s="212"/>
      <c r="BC3" s="213"/>
      <c r="BD3" s="207"/>
      <c r="BE3" s="394">
        <f>SUM(BE4:BF4)</f>
        <v>23989013</v>
      </c>
      <c r="BF3" s="394"/>
      <c r="BG3" s="394">
        <f>SUM(BG4:BH4)</f>
        <v>20526625</v>
      </c>
      <c r="BH3" s="394"/>
      <c r="BI3" s="394">
        <f>SUM(BI4:BJ4)</f>
        <v>17522753</v>
      </c>
      <c r="BJ3" s="394"/>
      <c r="BK3" s="394">
        <f>SUM(BK4:BL4)</f>
        <v>14339453</v>
      </c>
      <c r="BL3" s="394"/>
      <c r="BM3" s="394">
        <f>SUM(BM4:BN4)</f>
        <v>9899588</v>
      </c>
      <c r="BN3" s="394"/>
      <c r="BO3" s="394">
        <f>SUM(BO4:BP4)</f>
        <v>6418253</v>
      </c>
      <c r="BP3" s="394"/>
      <c r="BQ3" s="394">
        <f>SUM(BQ4:BR4)</f>
        <v>5105118</v>
      </c>
      <c r="BR3" s="394"/>
      <c r="BS3" s="394">
        <f>SUM(BS4:BT4)</f>
        <v>4512788</v>
      </c>
      <c r="BT3" s="394"/>
    </row>
    <row r="4" spans="1:72" s="1" customFormat="1" ht="12.75" customHeight="1" x14ac:dyDescent="0.2">
      <c r="D4" s="214">
        <f>$BE4/6</f>
        <v>2056369.1666666667</v>
      </c>
      <c r="E4" s="202">
        <f t="shared" ref="E4:I4" si="0">$BE4/6</f>
        <v>2056369.1666666667</v>
      </c>
      <c r="F4" s="202">
        <f t="shared" si="0"/>
        <v>2056369.1666666667</v>
      </c>
      <c r="G4" s="202">
        <f t="shared" si="0"/>
        <v>2056369.1666666667</v>
      </c>
      <c r="H4" s="202">
        <f t="shared" si="0"/>
        <v>2056369.1666666667</v>
      </c>
      <c r="I4" s="203">
        <f t="shared" si="0"/>
        <v>2056369.1666666667</v>
      </c>
      <c r="J4" s="201">
        <f>$BF4/6</f>
        <v>1941799.6666666667</v>
      </c>
      <c r="K4" s="202">
        <f t="shared" ref="K4:O4" si="1">$BF4/6</f>
        <v>1941799.6666666667</v>
      </c>
      <c r="L4" s="202">
        <f t="shared" si="1"/>
        <v>1941799.6666666667</v>
      </c>
      <c r="M4" s="202">
        <f t="shared" si="1"/>
        <v>1941799.6666666667</v>
      </c>
      <c r="N4" s="202">
        <f t="shared" si="1"/>
        <v>1941799.6666666667</v>
      </c>
      <c r="O4" s="202">
        <f t="shared" si="1"/>
        <v>1941799.6666666667</v>
      </c>
      <c r="P4" s="214">
        <f>$BG4/6</f>
        <v>1725186.1666666667</v>
      </c>
      <c r="Q4" s="202">
        <f t="shared" ref="Q4:U4" si="2">$BG4/6</f>
        <v>1725186.1666666667</v>
      </c>
      <c r="R4" s="202">
        <f t="shared" si="2"/>
        <v>1725186.1666666667</v>
      </c>
      <c r="S4" s="202">
        <f t="shared" si="2"/>
        <v>1725186.1666666667</v>
      </c>
      <c r="T4" s="202">
        <f t="shared" si="2"/>
        <v>1725186.1666666667</v>
      </c>
      <c r="U4" s="203">
        <f t="shared" si="2"/>
        <v>1725186.1666666667</v>
      </c>
      <c r="V4" s="201">
        <f>$BH4/6</f>
        <v>1695918</v>
      </c>
      <c r="W4" s="202">
        <f t="shared" ref="W4:AA4" si="3">$BH4/6</f>
        <v>1695918</v>
      </c>
      <c r="X4" s="202">
        <f t="shared" si="3"/>
        <v>1695918</v>
      </c>
      <c r="Y4" s="202">
        <f t="shared" si="3"/>
        <v>1695918</v>
      </c>
      <c r="Z4" s="202">
        <f t="shared" si="3"/>
        <v>1695918</v>
      </c>
      <c r="AA4" s="215">
        <f t="shared" si="3"/>
        <v>1695918</v>
      </c>
      <c r="AB4" s="214">
        <f>$BI4/6</f>
        <v>1476664.1666666667</v>
      </c>
      <c r="AC4" s="202">
        <f t="shared" ref="AC4:AG4" si="4">$BI4/6</f>
        <v>1476664.1666666667</v>
      </c>
      <c r="AD4" s="202">
        <f t="shared" si="4"/>
        <v>1476664.1666666667</v>
      </c>
      <c r="AE4" s="202">
        <f t="shared" si="4"/>
        <v>1476664.1666666667</v>
      </c>
      <c r="AF4" s="202">
        <f t="shared" si="4"/>
        <v>1476664.1666666667</v>
      </c>
      <c r="AG4" s="203">
        <f t="shared" si="4"/>
        <v>1476664.1666666667</v>
      </c>
      <c r="AH4" s="201">
        <f t="shared" ref="AH4:AM4" si="5">$BJ4/6</f>
        <v>1443794.6666666667</v>
      </c>
      <c r="AI4" s="202">
        <f t="shared" si="5"/>
        <v>1443794.6666666667</v>
      </c>
      <c r="AJ4" s="202">
        <f t="shared" si="5"/>
        <v>1443794.6666666667</v>
      </c>
      <c r="AK4" s="202">
        <f t="shared" si="5"/>
        <v>1443794.6666666667</v>
      </c>
      <c r="AL4" s="202">
        <f t="shared" si="5"/>
        <v>1443794.6666666667</v>
      </c>
      <c r="AM4" s="215">
        <f t="shared" si="5"/>
        <v>1443794.6666666667</v>
      </c>
      <c r="AN4" s="214">
        <f t="shared" ref="AN4:AS4" si="6">BE4/6</f>
        <v>2056369.1666666667</v>
      </c>
      <c r="AO4" s="215">
        <f t="shared" si="6"/>
        <v>1941799.6666666667</v>
      </c>
      <c r="AP4" s="214">
        <f t="shared" si="6"/>
        <v>1725186.1666666667</v>
      </c>
      <c r="AQ4" s="215">
        <f t="shared" si="6"/>
        <v>1695918</v>
      </c>
      <c r="AR4" s="214">
        <f t="shared" si="6"/>
        <v>1476664.1666666667</v>
      </c>
      <c r="AS4" s="215">
        <f t="shared" si="6"/>
        <v>1443794.6666666667</v>
      </c>
      <c r="AT4" s="214">
        <f>BK4/6</f>
        <v>1246392.5</v>
      </c>
      <c r="AU4" s="215">
        <f t="shared" ref="AU4:BB4" si="7">BL4/6</f>
        <v>1143516.3333333333</v>
      </c>
      <c r="AV4" s="214">
        <f t="shared" si="7"/>
        <v>838931.16666666663</v>
      </c>
      <c r="AW4" s="215">
        <f t="shared" si="7"/>
        <v>811000.16666666663</v>
      </c>
      <c r="AX4" s="214">
        <f t="shared" si="7"/>
        <v>548171.5</v>
      </c>
      <c r="AY4" s="215">
        <f t="shared" si="7"/>
        <v>521537.33333333331</v>
      </c>
      <c r="AZ4" s="214">
        <f t="shared" si="7"/>
        <v>425492.83333333331</v>
      </c>
      <c r="BA4" s="215">
        <f t="shared" si="7"/>
        <v>425360.16666666669</v>
      </c>
      <c r="BB4" s="214">
        <f t="shared" si="7"/>
        <v>384440.16666666669</v>
      </c>
      <c r="BC4" s="215">
        <f>BT4/6</f>
        <v>367691.16666666669</v>
      </c>
      <c r="BD4" s="209" t="s">
        <v>218</v>
      </c>
      <c r="BE4" s="200">
        <v>12338215</v>
      </c>
      <c r="BF4" s="200">
        <v>11650798</v>
      </c>
      <c r="BG4" s="200">
        <v>10351117</v>
      </c>
      <c r="BH4" s="200">
        <v>10175508</v>
      </c>
      <c r="BI4" s="200">
        <v>8859985</v>
      </c>
      <c r="BJ4" s="200">
        <v>8662768</v>
      </c>
      <c r="BK4" s="200">
        <v>7478355</v>
      </c>
      <c r="BL4" s="200">
        <v>6861098</v>
      </c>
      <c r="BM4" s="200">
        <v>5033587</v>
      </c>
      <c r="BN4" s="200">
        <v>4866001</v>
      </c>
      <c r="BO4" s="200">
        <v>3289029</v>
      </c>
      <c r="BP4" s="200">
        <v>3129224</v>
      </c>
      <c r="BQ4" s="200">
        <v>2552957</v>
      </c>
      <c r="BR4" s="200">
        <v>2552161</v>
      </c>
      <c r="BS4" s="200">
        <v>2306641</v>
      </c>
      <c r="BT4" s="200">
        <v>2206147</v>
      </c>
    </row>
    <row r="5" spans="1:72" s="1" customFormat="1" x14ac:dyDescent="0.2">
      <c r="D5" s="212"/>
      <c r="E5" s="196"/>
      <c r="F5" s="196"/>
      <c r="G5" s="196"/>
      <c r="H5" s="196"/>
      <c r="I5" s="196"/>
      <c r="J5" s="196"/>
      <c r="K5" s="196"/>
      <c r="L5" s="196"/>
      <c r="M5" s="196"/>
      <c r="N5" s="196"/>
      <c r="O5" s="196"/>
      <c r="P5" s="212"/>
      <c r="Q5" s="196"/>
      <c r="R5" s="196"/>
      <c r="S5" s="196"/>
      <c r="T5" s="196"/>
      <c r="U5" s="196"/>
      <c r="V5" s="196"/>
      <c r="W5" s="196"/>
      <c r="X5" s="196"/>
      <c r="Y5" s="196"/>
      <c r="Z5" s="196"/>
      <c r="AA5" s="213"/>
      <c r="AB5" s="212"/>
      <c r="AC5" s="196"/>
      <c r="AD5" s="196"/>
      <c r="AE5" s="196"/>
      <c r="AF5" s="196"/>
      <c r="AG5" s="196"/>
      <c r="AH5" s="196"/>
      <c r="AI5" s="196"/>
      <c r="AJ5" s="196"/>
      <c r="AK5" s="196"/>
      <c r="AL5" s="196"/>
      <c r="AM5" s="213"/>
      <c r="AN5" s="212"/>
      <c r="AO5" s="213"/>
      <c r="AP5" s="212"/>
      <c r="AQ5" s="213"/>
      <c r="AR5" s="212"/>
      <c r="AS5" s="213"/>
      <c r="AT5" s="212"/>
      <c r="AU5" s="213"/>
      <c r="AV5" s="212"/>
      <c r="AW5" s="213"/>
      <c r="AX5" s="212"/>
      <c r="AY5" s="213"/>
      <c r="AZ5" s="212"/>
      <c r="BA5" s="213"/>
      <c r="BB5" s="212"/>
      <c r="BC5" s="213"/>
      <c r="BD5" s="207"/>
      <c r="BE5" s="196"/>
      <c r="BF5" s="196"/>
      <c r="BG5" s="196"/>
      <c r="BH5" s="196"/>
      <c r="BI5" s="196"/>
      <c r="BJ5" s="196"/>
      <c r="BK5" s="196"/>
      <c r="BL5" s="196"/>
      <c r="BM5" s="196"/>
      <c r="BN5" s="196"/>
      <c r="BO5" s="196"/>
      <c r="BP5" s="196"/>
      <c r="BQ5" s="196"/>
      <c r="BR5" s="196"/>
      <c r="BS5" s="196"/>
      <c r="BT5" s="196"/>
    </row>
    <row r="6" spans="1:72" s="1" customFormat="1" x14ac:dyDescent="0.2">
      <c r="D6" s="216">
        <v>2056369.1666666667</v>
      </c>
      <c r="E6" s="205">
        <v>2056369.1666666667</v>
      </c>
      <c r="F6" s="205">
        <v>2056369.1666666667</v>
      </c>
      <c r="G6" s="205">
        <v>2056369.1666666667</v>
      </c>
      <c r="H6" s="205">
        <v>2056369.1666666667</v>
      </c>
      <c r="I6" s="206">
        <v>2056369.1666666667</v>
      </c>
      <c r="J6" s="204">
        <v>1941799.6666666667</v>
      </c>
      <c r="K6" s="205">
        <v>1941799.6666666667</v>
      </c>
      <c r="L6" s="205">
        <v>1941799.6666666667</v>
      </c>
      <c r="M6" s="205">
        <v>1941799.6666666667</v>
      </c>
      <c r="N6" s="205">
        <v>1941799.6666666667</v>
      </c>
      <c r="O6" s="205">
        <v>1941799.6666666667</v>
      </c>
      <c r="P6" s="216">
        <v>1725186.1666666667</v>
      </c>
      <c r="Q6" s="205">
        <v>1725186.1666666667</v>
      </c>
      <c r="R6" s="205">
        <v>1725186.1666666667</v>
      </c>
      <c r="S6" s="205">
        <v>1725186.1666666667</v>
      </c>
      <c r="T6" s="205">
        <v>1725186.1666666667</v>
      </c>
      <c r="U6" s="206">
        <v>1725186.1666666667</v>
      </c>
      <c r="V6" s="204">
        <v>1695918</v>
      </c>
      <c r="W6" s="205">
        <v>1695918</v>
      </c>
      <c r="X6" s="205">
        <v>1695918</v>
      </c>
      <c r="Y6" s="205">
        <v>1695918</v>
      </c>
      <c r="Z6" s="205">
        <v>1695918</v>
      </c>
      <c r="AA6" s="217">
        <v>1695918</v>
      </c>
      <c r="AB6" s="216">
        <v>1476664.1666666667</v>
      </c>
      <c r="AC6" s="205">
        <v>1476664.1666666667</v>
      </c>
      <c r="AD6" s="205">
        <v>1476664.1666666667</v>
      </c>
      <c r="AE6" s="205">
        <v>1476664.1666666667</v>
      </c>
      <c r="AF6" s="205">
        <v>1476664.1666666667</v>
      </c>
      <c r="AG6" s="206">
        <v>1476664.1666666667</v>
      </c>
      <c r="AH6" s="204">
        <v>1443794.6666666667</v>
      </c>
      <c r="AI6" s="205">
        <v>1443794.6666666667</v>
      </c>
      <c r="AJ6" s="205">
        <v>1443794.6666666667</v>
      </c>
      <c r="AK6" s="205">
        <v>1443794.6666666667</v>
      </c>
      <c r="AL6" s="205">
        <v>1443794.6666666667</v>
      </c>
      <c r="AM6" s="217">
        <v>1443794.6666666667</v>
      </c>
      <c r="AN6" s="216">
        <v>2056369.1666666667</v>
      </c>
      <c r="AO6" s="217">
        <v>1941799.6666666667</v>
      </c>
      <c r="AP6" s="216">
        <v>1725186.1666666667</v>
      </c>
      <c r="AQ6" s="217">
        <v>1695918</v>
      </c>
      <c r="AR6" s="216">
        <v>1476664.1666666667</v>
      </c>
      <c r="AS6" s="217">
        <v>1443794.6666666667</v>
      </c>
      <c r="AT6" s="216">
        <v>1246392.5</v>
      </c>
      <c r="AU6" s="217">
        <v>1143516.3333333333</v>
      </c>
      <c r="AV6" s="216">
        <v>838931.16666666663</v>
      </c>
      <c r="AW6" s="217">
        <v>811000.16666666663</v>
      </c>
      <c r="AX6" s="216">
        <v>548171.5</v>
      </c>
      <c r="AY6" s="217">
        <v>521537.33333333331</v>
      </c>
      <c r="AZ6" s="216">
        <v>425492.83333333331</v>
      </c>
      <c r="BA6" s="217">
        <v>425360.16666666669</v>
      </c>
      <c r="BB6" s="216">
        <v>384440.16666666669</v>
      </c>
      <c r="BC6" s="217">
        <v>367691.16666666669</v>
      </c>
      <c r="BD6" s="208" t="s">
        <v>217</v>
      </c>
      <c r="BE6" s="238">
        <f>SUM(D6:I6)</f>
        <v>12338215</v>
      </c>
      <c r="BF6" s="238">
        <f>SUM(J6:O6)</f>
        <v>11650798</v>
      </c>
      <c r="BG6" s="238">
        <f>SUM(P6:U6)</f>
        <v>10351117</v>
      </c>
      <c r="BH6" s="238">
        <f>SUM(V6:AA6)</f>
        <v>10175508</v>
      </c>
      <c r="BI6" s="238">
        <f>SUM(AB6:AG6)</f>
        <v>8859985</v>
      </c>
      <c r="BJ6" s="238">
        <f>SUM(AH6:AM6)</f>
        <v>8662768</v>
      </c>
      <c r="BK6" s="238">
        <f t="shared" ref="BK6:BS6" si="8">AT6</f>
        <v>1246392.5</v>
      </c>
      <c r="BL6" s="238">
        <f t="shared" si="8"/>
        <v>1143516.3333333333</v>
      </c>
      <c r="BM6" s="238">
        <f t="shared" si="8"/>
        <v>838931.16666666663</v>
      </c>
      <c r="BN6" s="238">
        <f t="shared" si="8"/>
        <v>811000.16666666663</v>
      </c>
      <c r="BO6" s="238">
        <f t="shared" si="8"/>
        <v>548171.5</v>
      </c>
      <c r="BP6" s="238">
        <f t="shared" si="8"/>
        <v>521537.33333333331</v>
      </c>
      <c r="BQ6" s="238">
        <f t="shared" si="8"/>
        <v>425492.83333333331</v>
      </c>
      <c r="BR6" s="238">
        <f t="shared" si="8"/>
        <v>425360.16666666669</v>
      </c>
      <c r="BS6" s="238">
        <f t="shared" si="8"/>
        <v>384440.16666666669</v>
      </c>
      <c r="BT6" s="238">
        <f>BC6</f>
        <v>367691.16666666669</v>
      </c>
    </row>
    <row r="7" spans="1:72" s="1" customFormat="1" x14ac:dyDescent="0.2">
      <c r="D7" s="212"/>
      <c r="E7" s="196"/>
      <c r="F7" s="196"/>
      <c r="G7" s="196"/>
      <c r="H7" s="196"/>
      <c r="I7" s="196"/>
      <c r="J7" s="196"/>
      <c r="K7" s="196"/>
      <c r="L7" s="196"/>
      <c r="M7" s="196"/>
      <c r="N7" s="196"/>
      <c r="O7" s="196"/>
      <c r="P7" s="212"/>
      <c r="Q7" s="196"/>
      <c r="R7" s="196"/>
      <c r="S7" s="196"/>
      <c r="T7" s="196"/>
      <c r="U7" s="196"/>
      <c r="V7" s="196"/>
      <c r="W7" s="196"/>
      <c r="X7" s="196"/>
      <c r="Y7" s="196"/>
      <c r="Z7" s="196"/>
      <c r="AA7" s="213"/>
      <c r="AB7" s="212"/>
      <c r="AC7" s="196"/>
      <c r="AD7" s="196"/>
      <c r="AE7" s="196"/>
      <c r="AF7" s="196"/>
      <c r="AG7" s="196"/>
      <c r="AH7" s="196"/>
      <c r="AI7" s="196"/>
      <c r="AJ7" s="196"/>
      <c r="AK7" s="196"/>
      <c r="AL7" s="196"/>
      <c r="AM7" s="213"/>
      <c r="AN7" s="212"/>
      <c r="AO7" s="213"/>
      <c r="AP7" s="212"/>
      <c r="AQ7" s="213"/>
      <c r="AR7" s="212"/>
      <c r="AS7" s="213"/>
      <c r="AT7" s="212"/>
      <c r="AU7" s="213"/>
      <c r="AV7" s="212"/>
      <c r="AW7" s="213"/>
      <c r="AX7" s="212"/>
      <c r="AY7" s="213"/>
      <c r="AZ7" s="212"/>
      <c r="BA7" s="213"/>
      <c r="BB7" s="212"/>
      <c r="BC7" s="213"/>
      <c r="BD7" s="207"/>
      <c r="BE7" s="196"/>
      <c r="BF7" s="196"/>
      <c r="BG7" s="196"/>
      <c r="BH7" s="196"/>
      <c r="BI7" s="196"/>
      <c r="BJ7" s="196"/>
      <c r="BK7" s="196"/>
      <c r="BL7" s="196"/>
      <c r="BM7" s="196"/>
      <c r="BN7" s="196"/>
      <c r="BO7" s="196"/>
      <c r="BP7" s="196"/>
      <c r="BQ7" s="196"/>
      <c r="BR7" s="196"/>
      <c r="BS7" s="196"/>
      <c r="BT7" s="196"/>
    </row>
    <row r="8" spans="1:72" s="1" customFormat="1" x14ac:dyDescent="0.2">
      <c r="D8" s="212"/>
      <c r="E8" s="196"/>
      <c r="F8" s="196"/>
      <c r="G8" s="196"/>
      <c r="H8" s="196"/>
      <c r="I8" s="196"/>
      <c r="J8" s="196"/>
      <c r="K8" s="196"/>
      <c r="L8" s="196"/>
      <c r="M8" s="196"/>
      <c r="N8" s="196"/>
      <c r="O8" s="196"/>
      <c r="P8" s="212"/>
      <c r="Q8" s="196"/>
      <c r="R8" s="196"/>
      <c r="S8" s="196"/>
      <c r="T8" s="196"/>
      <c r="U8" s="196"/>
      <c r="V8" s="196"/>
      <c r="W8" s="196"/>
      <c r="X8" s="196"/>
      <c r="Y8" s="196"/>
      <c r="Z8" s="196"/>
      <c r="AA8" s="213"/>
      <c r="AB8" s="212"/>
      <c r="AC8" s="196"/>
      <c r="AD8" s="196"/>
      <c r="AE8" s="196"/>
      <c r="AF8" s="196"/>
      <c r="AG8" s="196"/>
      <c r="AH8" s="196"/>
      <c r="AI8" s="196"/>
      <c r="AJ8" s="196"/>
      <c r="AK8" s="196"/>
      <c r="AL8" s="196"/>
      <c r="AM8" s="213"/>
      <c r="AN8" s="212"/>
      <c r="AO8" s="213"/>
      <c r="AP8" s="212"/>
      <c r="AQ8" s="213"/>
      <c r="AR8" s="212"/>
      <c r="AS8" s="213"/>
      <c r="AT8" s="212"/>
      <c r="AU8" s="213"/>
      <c r="AV8" s="212"/>
      <c r="AW8" s="213"/>
      <c r="AX8" s="212"/>
      <c r="AY8" s="213"/>
      <c r="AZ8" s="212"/>
      <c r="BA8" s="213"/>
      <c r="BB8" s="212"/>
      <c r="BC8" s="213"/>
      <c r="BD8" s="207"/>
      <c r="BE8" s="196"/>
      <c r="BF8" s="196"/>
      <c r="BG8" s="196"/>
      <c r="BH8" s="196"/>
      <c r="BI8" s="196"/>
      <c r="BJ8" s="196"/>
      <c r="BK8" s="196"/>
      <c r="BL8" s="196"/>
      <c r="BM8" s="196"/>
      <c r="BN8" s="196"/>
      <c r="BO8" s="196"/>
      <c r="BP8" s="196"/>
      <c r="BQ8" s="196"/>
      <c r="BR8" s="196"/>
      <c r="BS8" s="196"/>
      <c r="BT8" s="196"/>
    </row>
    <row r="9" spans="1:72" s="1" customFormat="1" x14ac:dyDescent="0.2">
      <c r="D9" s="212"/>
      <c r="E9" s="196"/>
      <c r="F9" s="196"/>
      <c r="G9" s="196"/>
      <c r="H9" s="196"/>
      <c r="I9" s="196"/>
      <c r="J9" s="196"/>
      <c r="K9" s="196"/>
      <c r="L9" s="196"/>
      <c r="M9" s="196"/>
      <c r="N9" s="196"/>
      <c r="O9" s="196"/>
      <c r="P9" s="212"/>
      <c r="Q9" s="196"/>
      <c r="R9" s="196"/>
      <c r="S9" s="196"/>
      <c r="T9" s="196"/>
      <c r="U9" s="196"/>
      <c r="V9" s="196"/>
      <c r="W9" s="196"/>
      <c r="X9" s="196"/>
      <c r="Y9" s="196"/>
      <c r="Z9" s="196"/>
      <c r="AA9" s="213"/>
      <c r="AB9" s="212"/>
      <c r="AC9" s="196"/>
      <c r="AD9" s="196"/>
      <c r="AE9" s="196"/>
      <c r="AF9" s="196"/>
      <c r="AG9" s="196"/>
      <c r="AH9" s="196"/>
      <c r="AI9" s="196"/>
      <c r="AJ9" s="196"/>
      <c r="AK9" s="196"/>
      <c r="AL9" s="196"/>
      <c r="AM9" s="213"/>
      <c r="AN9" s="212"/>
      <c r="AO9" s="213"/>
      <c r="AP9" s="212"/>
      <c r="AQ9" s="213"/>
      <c r="AR9" s="212"/>
      <c r="AS9" s="213"/>
      <c r="AT9" s="212"/>
      <c r="AU9" s="213"/>
      <c r="AV9" s="212"/>
      <c r="AW9" s="213"/>
      <c r="AX9" s="212"/>
      <c r="AY9" s="213"/>
      <c r="AZ9" s="212"/>
      <c r="BA9" s="213"/>
      <c r="BB9" s="212"/>
      <c r="BC9" s="213"/>
      <c r="BD9" s="207"/>
      <c r="BE9" s="196"/>
      <c r="BF9" s="196"/>
      <c r="BG9" s="196"/>
      <c r="BH9" s="196"/>
      <c r="BI9" s="196"/>
      <c r="BJ9" s="196"/>
      <c r="BK9" s="196"/>
      <c r="BL9" s="196"/>
      <c r="BM9" s="196"/>
      <c r="BN9" s="196"/>
      <c r="BO9" s="196"/>
      <c r="BP9" s="196"/>
      <c r="BQ9" s="196"/>
      <c r="BR9" s="196"/>
      <c r="BS9" s="196"/>
      <c r="BT9" s="196"/>
    </row>
    <row r="10" spans="1:72" s="1" customFormat="1" x14ac:dyDescent="0.2">
      <c r="D10" s="212"/>
      <c r="E10" s="196"/>
      <c r="F10" s="196"/>
      <c r="G10" s="196"/>
      <c r="H10" s="196"/>
      <c r="I10" s="196"/>
      <c r="J10" s="196"/>
      <c r="K10" s="196"/>
      <c r="L10" s="196"/>
      <c r="M10" s="196"/>
      <c r="N10" s="196"/>
      <c r="O10" s="196"/>
      <c r="P10" s="212"/>
      <c r="Q10" s="196"/>
      <c r="R10" s="196"/>
      <c r="S10" s="196"/>
      <c r="T10" s="196"/>
      <c r="U10" s="196"/>
      <c r="V10" s="196"/>
      <c r="W10" s="196"/>
      <c r="X10" s="196"/>
      <c r="Y10" s="196"/>
      <c r="Z10" s="196"/>
      <c r="AA10" s="213"/>
      <c r="AB10" s="212"/>
      <c r="AC10" s="196"/>
      <c r="AD10" s="196"/>
      <c r="AE10" s="196"/>
      <c r="AF10" s="196"/>
      <c r="AG10" s="196"/>
      <c r="AH10" s="196"/>
      <c r="AI10" s="196"/>
      <c r="AJ10" s="196"/>
      <c r="AK10" s="196"/>
      <c r="AL10" s="196"/>
      <c r="AM10" s="213"/>
      <c r="AN10" s="212"/>
      <c r="AO10" s="213"/>
      <c r="AP10" s="212"/>
      <c r="AQ10" s="213"/>
      <c r="AR10" s="212"/>
      <c r="AS10" s="213"/>
      <c r="AT10" s="212"/>
      <c r="AU10" s="213"/>
      <c r="AV10" s="212"/>
      <c r="AW10" s="213"/>
      <c r="AX10" s="212"/>
      <c r="AY10" s="213"/>
      <c r="AZ10" s="212"/>
      <c r="BA10" s="213"/>
      <c r="BB10" s="212"/>
      <c r="BC10" s="213"/>
      <c r="BD10" s="207"/>
      <c r="BE10" s="196"/>
      <c r="BF10" s="196"/>
      <c r="BG10" s="196"/>
      <c r="BH10" s="196"/>
      <c r="BI10" s="196"/>
      <c r="BJ10" s="196"/>
      <c r="BK10" s="196"/>
      <c r="BL10" s="196"/>
      <c r="BM10" s="196"/>
      <c r="BN10" s="196"/>
      <c r="BO10" s="196"/>
      <c r="BP10" s="196"/>
      <c r="BQ10" s="196"/>
      <c r="BR10" s="196"/>
      <c r="BS10" s="196"/>
      <c r="BT10" s="196"/>
    </row>
    <row r="11" spans="1:72" s="1" customFormat="1" x14ac:dyDescent="0.2">
      <c r="D11" s="212"/>
      <c r="E11" s="196"/>
      <c r="F11" s="196"/>
      <c r="G11" s="196"/>
      <c r="H11" s="196"/>
      <c r="I11" s="196"/>
      <c r="J11" s="196"/>
      <c r="K11" s="196"/>
      <c r="L11" s="196"/>
      <c r="M11" s="196"/>
      <c r="N11" s="196"/>
      <c r="O11" s="196"/>
      <c r="P11" s="212"/>
      <c r="Q11" s="196"/>
      <c r="R11" s="196"/>
      <c r="S11" s="196"/>
      <c r="T11" s="196"/>
      <c r="U11" s="196"/>
      <c r="V11" s="196"/>
      <c r="W11" s="196"/>
      <c r="X11" s="196"/>
      <c r="Y11" s="196"/>
      <c r="Z11" s="196"/>
      <c r="AA11" s="213"/>
      <c r="AB11" s="212"/>
      <c r="AC11" s="196"/>
      <c r="AD11" s="196"/>
      <c r="AE11" s="196"/>
      <c r="AF11" s="196"/>
      <c r="AG11" s="196"/>
      <c r="AH11" s="196"/>
      <c r="AI11" s="196"/>
      <c r="AJ11" s="196"/>
      <c r="AK11" s="196"/>
      <c r="AL11" s="196"/>
      <c r="AM11" s="213"/>
      <c r="AN11" s="212"/>
      <c r="AO11" s="213"/>
      <c r="AP11" s="212"/>
      <c r="AQ11" s="213"/>
      <c r="AR11" s="212"/>
      <c r="AS11" s="213"/>
      <c r="AT11" s="212"/>
      <c r="AU11" s="213"/>
      <c r="AV11" s="212"/>
      <c r="AW11" s="213"/>
      <c r="AX11" s="212"/>
      <c r="AY11" s="213"/>
      <c r="AZ11" s="212"/>
      <c r="BA11" s="213"/>
      <c r="BB11" s="212"/>
      <c r="BC11" s="213"/>
      <c r="BD11" s="207"/>
      <c r="BE11" s="196"/>
      <c r="BF11" s="196"/>
      <c r="BG11" s="196"/>
      <c r="BH11" s="196"/>
      <c r="BI11" s="196"/>
      <c r="BJ11" s="196"/>
      <c r="BK11" s="196"/>
      <c r="BL11" s="196"/>
      <c r="BM11" s="196"/>
      <c r="BN11" s="196"/>
      <c r="BO11" s="196"/>
      <c r="BP11" s="196"/>
      <c r="BQ11" s="196"/>
      <c r="BR11" s="196"/>
      <c r="BS11" s="196"/>
      <c r="BT11" s="196"/>
    </row>
    <row r="12" spans="1:72" s="1" customFormat="1" ht="15.75" x14ac:dyDescent="0.2">
      <c r="A12" s="1" t="s">
        <v>219</v>
      </c>
      <c r="D12" s="395">
        <f>$B$1</f>
        <v>2024</v>
      </c>
      <c r="E12" s="396"/>
      <c r="F12" s="396"/>
      <c r="G12" s="396"/>
      <c r="H12" s="396"/>
      <c r="I12" s="396"/>
      <c r="J12" s="396"/>
      <c r="K12" s="396"/>
      <c r="L12" s="396"/>
      <c r="M12" s="396"/>
      <c r="N12" s="396"/>
      <c r="O12" s="396"/>
      <c r="P12" s="397">
        <f>$D$1+1</f>
        <v>2025</v>
      </c>
      <c r="Q12" s="398"/>
      <c r="R12" s="398"/>
      <c r="S12" s="398"/>
      <c r="T12" s="398"/>
      <c r="U12" s="398"/>
      <c r="V12" s="398"/>
      <c r="W12" s="398"/>
      <c r="X12" s="398"/>
      <c r="Y12" s="398"/>
      <c r="Z12" s="398"/>
      <c r="AA12" s="399"/>
      <c r="AB12" s="397">
        <f>$P$1+1</f>
        <v>2026</v>
      </c>
      <c r="AC12" s="398"/>
      <c r="AD12" s="398"/>
      <c r="AE12" s="398"/>
      <c r="AF12" s="398"/>
      <c r="AG12" s="398"/>
      <c r="AH12" s="398"/>
      <c r="AI12" s="398"/>
      <c r="AJ12" s="398"/>
      <c r="AK12" s="398"/>
      <c r="AL12" s="398"/>
      <c r="AM12" s="399"/>
      <c r="AN12" s="365">
        <f>$D$1</f>
        <v>2024</v>
      </c>
      <c r="AO12" s="368"/>
      <c r="AP12" s="365">
        <f>AN12+1</f>
        <v>2025</v>
      </c>
      <c r="AQ12" s="368"/>
      <c r="AR12" s="365">
        <f>AP12+1</f>
        <v>2026</v>
      </c>
      <c r="AS12" s="368"/>
      <c r="AT12" s="365">
        <f>AR12+1</f>
        <v>2027</v>
      </c>
      <c r="AU12" s="368"/>
      <c r="AV12" s="365">
        <f>AT12+1</f>
        <v>2028</v>
      </c>
      <c r="AW12" s="368"/>
      <c r="AX12" s="365">
        <f>AV12+1</f>
        <v>2029</v>
      </c>
      <c r="AY12" s="368"/>
      <c r="AZ12" s="365">
        <f>AX12+1</f>
        <v>2030</v>
      </c>
      <c r="BA12" s="368"/>
      <c r="BB12" s="365">
        <f>AZ12+1</f>
        <v>2031</v>
      </c>
      <c r="BC12" s="368"/>
      <c r="BD12" s="197"/>
      <c r="BE12" s="367">
        <f>$D$1</f>
        <v>2024</v>
      </c>
      <c r="BF12" s="366"/>
      <c r="BG12" s="367">
        <f>BE12+1</f>
        <v>2025</v>
      </c>
      <c r="BH12" s="366"/>
      <c r="BI12" s="367">
        <f>BG12+1</f>
        <v>2026</v>
      </c>
      <c r="BJ12" s="366"/>
      <c r="BK12" s="367">
        <f>BI12+1</f>
        <v>2027</v>
      </c>
      <c r="BL12" s="366"/>
      <c r="BM12" s="367">
        <f>BK12+1</f>
        <v>2028</v>
      </c>
      <c r="BN12" s="366"/>
      <c r="BO12" s="367">
        <f>BM12+1</f>
        <v>2029</v>
      </c>
      <c r="BP12" s="366"/>
      <c r="BQ12" s="367">
        <f>BO12+1</f>
        <v>2030</v>
      </c>
      <c r="BR12" s="366"/>
      <c r="BS12" s="367">
        <f>BQ12+1</f>
        <v>2031</v>
      </c>
      <c r="BT12" s="366"/>
    </row>
    <row r="13" spans="1:72" s="1" customFormat="1" ht="14.25" x14ac:dyDescent="0.2">
      <c r="D13" s="210">
        <f>DATE($D$1,1,1)</f>
        <v>45292</v>
      </c>
      <c r="E13" s="84">
        <f>DATE($D$1,2,1)</f>
        <v>45323</v>
      </c>
      <c r="F13" s="84">
        <f>DATE($D$1,3,1)</f>
        <v>45352</v>
      </c>
      <c r="G13" s="84">
        <f>DATE($D$1,4,1)</f>
        <v>45383</v>
      </c>
      <c r="H13" s="84">
        <f>DATE($D$1,5,1)</f>
        <v>45413</v>
      </c>
      <c r="I13" s="84">
        <f>DATE($D$1,6,1)</f>
        <v>45444</v>
      </c>
      <c r="J13" s="84">
        <f>DATE($D$1,7,1)</f>
        <v>45474</v>
      </c>
      <c r="K13" s="84">
        <f>DATE($D$1,8,1)</f>
        <v>45505</v>
      </c>
      <c r="L13" s="84">
        <f>DATE($D$1,9,1)</f>
        <v>45536</v>
      </c>
      <c r="M13" s="84">
        <f>DATE($D$1,10,1)</f>
        <v>45566</v>
      </c>
      <c r="N13" s="84">
        <f>DATE($D$1,11,1)</f>
        <v>45597</v>
      </c>
      <c r="O13" s="218">
        <f>DATE($D$1,12,1)</f>
        <v>45627</v>
      </c>
      <c r="P13" s="210">
        <f>DATE($P$1,1,1)</f>
        <v>45658</v>
      </c>
      <c r="Q13" s="84">
        <f>DATE($P$1,2,1)</f>
        <v>45689</v>
      </c>
      <c r="R13" s="84">
        <f>DATE($P$1,3,1)</f>
        <v>45717</v>
      </c>
      <c r="S13" s="84">
        <f>DATE($P$1,4,1)</f>
        <v>45748</v>
      </c>
      <c r="T13" s="84">
        <f>DATE($P$1,5,1)</f>
        <v>45778</v>
      </c>
      <c r="U13" s="84">
        <f>DATE($P$1,6,1)</f>
        <v>45809</v>
      </c>
      <c r="V13" s="84">
        <f>DATE($P$1,7,1)</f>
        <v>45839</v>
      </c>
      <c r="W13" s="84">
        <f>DATE($P$1,8,1)</f>
        <v>45870</v>
      </c>
      <c r="X13" s="84">
        <f>DATE($P$1,9,1)</f>
        <v>45901</v>
      </c>
      <c r="Y13" s="84">
        <f>DATE($P$1,10,1)</f>
        <v>45931</v>
      </c>
      <c r="Z13" s="84">
        <f>DATE($P$1,11,1)</f>
        <v>45962</v>
      </c>
      <c r="AA13" s="211">
        <f>DATE($P$1,12,1)</f>
        <v>45992</v>
      </c>
      <c r="AB13" s="210">
        <f>DATE($AB$1,1,1)</f>
        <v>46023</v>
      </c>
      <c r="AC13" s="84">
        <f>DATE($AB$1,2,1)</f>
        <v>46054</v>
      </c>
      <c r="AD13" s="84">
        <f>DATE($AB$1,3,1)</f>
        <v>46082</v>
      </c>
      <c r="AE13" s="84">
        <f>DATE($AB$1,4,1)</f>
        <v>46113</v>
      </c>
      <c r="AF13" s="84">
        <f>DATE($AB$1,5,1)</f>
        <v>46143</v>
      </c>
      <c r="AG13" s="84">
        <f>DATE($AB$1,6,1)</f>
        <v>46174</v>
      </c>
      <c r="AH13" s="84">
        <f>DATE($AB$1,7,1)</f>
        <v>46204</v>
      </c>
      <c r="AI13" s="84">
        <f>DATE($AB$1,8,1)</f>
        <v>46235</v>
      </c>
      <c r="AJ13" s="84">
        <f>DATE($AB$1,9,1)</f>
        <v>46266</v>
      </c>
      <c r="AK13" s="84">
        <f>DATE($AB$1,10,1)</f>
        <v>46296</v>
      </c>
      <c r="AL13" s="84">
        <f>DATE($AB$1,11,1)</f>
        <v>46327</v>
      </c>
      <c r="AM13" s="211">
        <f>DATE($AB$1,12,1)</f>
        <v>46357</v>
      </c>
      <c r="AN13" s="219" t="str">
        <f>_xlfn.CONCAT(AN$1,-1," HY")</f>
        <v>2024-1 HY</v>
      </c>
      <c r="AO13" s="220" t="str">
        <f>_xlfn.CONCAT(AN$1,-2," HY")</f>
        <v>2024-2 HY</v>
      </c>
      <c r="AP13" s="219" t="str">
        <f>_xlfn.CONCAT(AP$1,-1," HY")</f>
        <v>2025-1 HY</v>
      </c>
      <c r="AQ13" s="220" t="str">
        <f>_xlfn.CONCAT(AP$1,-2," HY")</f>
        <v>2025-2 HY</v>
      </c>
      <c r="AR13" s="219" t="str">
        <f>_xlfn.CONCAT(AR$1,-1," HY")</f>
        <v>2026-1 HY</v>
      </c>
      <c r="AS13" s="220" t="str">
        <f>_xlfn.CONCAT(AR$1,-2," HY")</f>
        <v>2026-2 HY</v>
      </c>
      <c r="AT13" s="219" t="str">
        <f>_xlfn.CONCAT(AT$1,-1," HY")</f>
        <v>2027-1 HY</v>
      </c>
      <c r="AU13" s="220" t="str">
        <f>_xlfn.CONCAT(AT$1,-2," HY")</f>
        <v>2027-2 HY</v>
      </c>
      <c r="AV13" s="219" t="str">
        <f>_xlfn.CONCAT(AV$1,-1," HY")</f>
        <v>2028-1 HY</v>
      </c>
      <c r="AW13" s="220" t="str">
        <f>_xlfn.CONCAT(AV$1,-2," HY")</f>
        <v>2028-2 HY</v>
      </c>
      <c r="AX13" s="219" t="str">
        <f>_xlfn.CONCAT(AX$1,-1," HY")</f>
        <v>2029-1 HY</v>
      </c>
      <c r="AY13" s="220" t="str">
        <f>_xlfn.CONCAT(AX$1,-2," HY")</f>
        <v>2029-2 HY</v>
      </c>
      <c r="AZ13" s="219" t="str">
        <f>_xlfn.CONCAT(AZ$1,-1," HY")</f>
        <v>2030-1 HY</v>
      </c>
      <c r="BA13" s="220" t="str">
        <f>_xlfn.CONCAT(AZ$1,-2," HY")</f>
        <v>2030-2 HY</v>
      </c>
      <c r="BB13" s="219" t="str">
        <f>_xlfn.CONCAT(BB$1,-1," HY")</f>
        <v>2031-1 HY</v>
      </c>
      <c r="BC13" s="220" t="str">
        <f>_xlfn.CONCAT(BB$1,-2," HY")</f>
        <v>2031-2 HY</v>
      </c>
      <c r="BD13" s="198"/>
      <c r="BE13" s="219" t="str">
        <f>_xlfn.CONCAT(BE$1,-1," HY")</f>
        <v>2024-1 HY</v>
      </c>
      <c r="BF13" s="220" t="str">
        <f>_xlfn.CONCAT(BE$1,-2," HY")</f>
        <v>2024-2 HY</v>
      </c>
      <c r="BG13" s="219" t="str">
        <f>_xlfn.CONCAT(BG$1,-1," HY")</f>
        <v>2025-1 HY</v>
      </c>
      <c r="BH13" s="220" t="str">
        <f>_xlfn.CONCAT(BG$1,-2," HY")</f>
        <v>2025-2 HY</v>
      </c>
      <c r="BI13" s="219" t="str">
        <f>_xlfn.CONCAT(BI$1,-1," HY")</f>
        <v>2026-1 HY</v>
      </c>
      <c r="BJ13" s="220" t="str">
        <f>_xlfn.CONCAT(BI$1,-2," HY")</f>
        <v>2026-2 HY</v>
      </c>
      <c r="BK13" s="219" t="str">
        <f>_xlfn.CONCAT(BK$1,-1," HY")</f>
        <v>2027-1 HY</v>
      </c>
      <c r="BL13" s="220" t="str">
        <f>_xlfn.CONCAT(BK$1,-2," HY")</f>
        <v>2027-2 HY</v>
      </c>
      <c r="BM13" s="219" t="str">
        <f>_xlfn.CONCAT(BM$1,-1," HY")</f>
        <v>2028-1 HY</v>
      </c>
      <c r="BN13" s="220" t="str">
        <f>_xlfn.CONCAT(BM$1,-2," HY")</f>
        <v>2028-2 HY</v>
      </c>
      <c r="BO13" s="219" t="str">
        <f>_xlfn.CONCAT(BO$1,-1," HY")</f>
        <v>2029-1 HY</v>
      </c>
      <c r="BP13" s="220" t="str">
        <f>_xlfn.CONCAT(BO$1,-2," HY")</f>
        <v>2029-2 HY</v>
      </c>
      <c r="BQ13" s="219" t="str">
        <f>_xlfn.CONCAT(BQ$1,-1," HY")</f>
        <v>2030-1 HY</v>
      </c>
      <c r="BR13" s="220" t="str">
        <f>_xlfn.CONCAT(BQ$1,-2," HY")</f>
        <v>2030-2 HY</v>
      </c>
      <c r="BS13" s="219" t="str">
        <f>_xlfn.CONCAT(BS$1,-1," HY")</f>
        <v>2031-1 HY</v>
      </c>
      <c r="BT13" s="220" t="str">
        <f>_xlfn.CONCAT(BS$1,-2," HY")</f>
        <v>2031-2 HY</v>
      </c>
    </row>
    <row r="14" spans="1:72" s="1" customFormat="1" ht="13.5" thickBot="1" x14ac:dyDescent="0.25">
      <c r="A14" s="1" t="s">
        <v>220</v>
      </c>
      <c r="D14" s="212"/>
      <c r="E14" s="196"/>
      <c r="F14" s="196"/>
      <c r="G14" s="196"/>
      <c r="H14" s="196"/>
      <c r="I14" s="196"/>
      <c r="J14" s="196"/>
      <c r="K14" s="196"/>
      <c r="L14" s="196"/>
      <c r="M14" s="196"/>
      <c r="N14" s="196"/>
      <c r="O14" s="196"/>
      <c r="P14" s="212"/>
      <c r="Q14" s="196"/>
      <c r="R14" s="196"/>
      <c r="S14" s="196"/>
      <c r="T14" s="196"/>
      <c r="U14" s="196"/>
      <c r="V14" s="196"/>
      <c r="W14" s="196"/>
      <c r="X14" s="196"/>
      <c r="Y14" s="196"/>
      <c r="Z14" s="196"/>
      <c r="AA14" s="213"/>
      <c r="AB14" s="212"/>
      <c r="AC14" s="196"/>
      <c r="AD14" s="196"/>
      <c r="AE14" s="196"/>
      <c r="AF14" s="196"/>
      <c r="AG14" s="196"/>
      <c r="AH14" s="196"/>
      <c r="AI14" s="196"/>
      <c r="AJ14" s="196"/>
      <c r="AK14" s="196"/>
      <c r="AL14" s="196"/>
      <c r="AM14" s="213"/>
      <c r="AN14" s="212"/>
      <c r="AO14" s="213"/>
      <c r="AP14" s="212"/>
      <c r="AQ14" s="213"/>
      <c r="AR14" s="212"/>
      <c r="AS14" s="213"/>
      <c r="AT14" s="212"/>
      <c r="AU14" s="213"/>
      <c r="AV14" s="212"/>
      <c r="AW14" s="213"/>
      <c r="AX14" s="212"/>
      <c r="AY14" s="213"/>
      <c r="AZ14" s="212"/>
      <c r="BA14" s="213"/>
      <c r="BB14" s="212"/>
      <c r="BC14" s="213"/>
      <c r="BD14" s="207" t="s">
        <v>221</v>
      </c>
      <c r="BE14" s="394">
        <f>SUM(BE15:BF15)</f>
        <v>1036</v>
      </c>
      <c r="BF14" s="394"/>
      <c r="BG14" s="394">
        <f>SUM(BG15:BH15)</f>
        <v>706</v>
      </c>
      <c r="BH14" s="394"/>
      <c r="BI14" s="394">
        <f>SUM(BI15:BJ15)</f>
        <v>494</v>
      </c>
      <c r="BJ14" s="394"/>
      <c r="BK14" s="394">
        <f>SUM(BK15:BL15)</f>
        <v>448</v>
      </c>
      <c r="BL14" s="394"/>
      <c r="BM14" s="394">
        <f>SUM(BM15:BN15)</f>
        <v>418</v>
      </c>
      <c r="BN14" s="394"/>
      <c r="BO14" s="394">
        <f>SUM(BO15:BP15)</f>
        <v>388</v>
      </c>
      <c r="BP14" s="394"/>
      <c r="BQ14" s="394">
        <f>SUM(BQ15:BR15)</f>
        <v>388</v>
      </c>
      <c r="BR14" s="394"/>
      <c r="BS14" s="394">
        <f>SUM(BS15:BT15)</f>
        <v>0</v>
      </c>
      <c r="BT14" s="394"/>
    </row>
    <row r="15" spans="1:72" s="1" customFormat="1" x14ac:dyDescent="0.2">
      <c r="A15" s="239" t="s">
        <v>92</v>
      </c>
      <c r="D15" s="240">
        <f t="shared" ref="D15:I20" si="9">$BE15/6*1000</f>
        <v>85833.333333333328</v>
      </c>
      <c r="E15" s="241">
        <f t="shared" si="9"/>
        <v>85833.333333333328</v>
      </c>
      <c r="F15" s="241">
        <f t="shared" si="9"/>
        <v>85833.333333333328</v>
      </c>
      <c r="G15" s="241">
        <f t="shared" si="9"/>
        <v>85833.333333333328</v>
      </c>
      <c r="H15" s="241">
        <f t="shared" si="9"/>
        <v>85833.333333333328</v>
      </c>
      <c r="I15" s="242">
        <f t="shared" si="9"/>
        <v>85833.333333333328</v>
      </c>
      <c r="J15" s="243">
        <f t="shared" ref="J15:O20" si="10">$BF15/6*1000</f>
        <v>86833.333333333328</v>
      </c>
      <c r="K15" s="241">
        <f t="shared" si="10"/>
        <v>86833.333333333328</v>
      </c>
      <c r="L15" s="241">
        <f t="shared" si="10"/>
        <v>86833.333333333328</v>
      </c>
      <c r="M15" s="241">
        <f t="shared" si="10"/>
        <v>86833.333333333328</v>
      </c>
      <c r="N15" s="241">
        <f t="shared" si="10"/>
        <v>86833.333333333328</v>
      </c>
      <c r="O15" s="241">
        <f t="shared" si="10"/>
        <v>86833.333333333328</v>
      </c>
      <c r="P15" s="244">
        <f t="shared" ref="P15:U20" si="11">$BG15/6*1000</f>
        <v>58833.333333333336</v>
      </c>
      <c r="Q15" s="241">
        <f t="shared" si="11"/>
        <v>58833.333333333336</v>
      </c>
      <c r="R15" s="241">
        <f t="shared" si="11"/>
        <v>58833.333333333336</v>
      </c>
      <c r="S15" s="241">
        <f t="shared" si="11"/>
        <v>58833.333333333336</v>
      </c>
      <c r="T15" s="241">
        <f t="shared" si="11"/>
        <v>58833.333333333336</v>
      </c>
      <c r="U15" s="242">
        <f t="shared" si="11"/>
        <v>58833.333333333336</v>
      </c>
      <c r="V15" s="243">
        <f t="shared" ref="V15:AA20" si="12">$BH15/6*1000</f>
        <v>58833.333333333336</v>
      </c>
      <c r="W15" s="241">
        <f t="shared" si="12"/>
        <v>58833.333333333336</v>
      </c>
      <c r="X15" s="241">
        <f t="shared" si="12"/>
        <v>58833.333333333336</v>
      </c>
      <c r="Y15" s="241">
        <f t="shared" si="12"/>
        <v>58833.333333333336</v>
      </c>
      <c r="Z15" s="241">
        <f t="shared" si="12"/>
        <v>58833.333333333336</v>
      </c>
      <c r="AA15" s="245">
        <f t="shared" si="12"/>
        <v>58833.333333333336</v>
      </c>
      <c r="AB15" s="244">
        <f t="shared" ref="AB15:AG20" si="13">$BI15/6*1000</f>
        <v>41166.666666666664</v>
      </c>
      <c r="AC15" s="241">
        <f t="shared" si="13"/>
        <v>41166.666666666664</v>
      </c>
      <c r="AD15" s="241">
        <f t="shared" si="13"/>
        <v>41166.666666666664</v>
      </c>
      <c r="AE15" s="241">
        <f t="shared" si="13"/>
        <v>41166.666666666664</v>
      </c>
      <c r="AF15" s="241">
        <f t="shared" si="13"/>
        <v>41166.666666666664</v>
      </c>
      <c r="AG15" s="242">
        <f t="shared" si="13"/>
        <v>41166.666666666664</v>
      </c>
      <c r="AH15" s="243">
        <f t="shared" ref="AH15:AM20" si="14">$BJ15/6*1000</f>
        <v>41166.666666666664</v>
      </c>
      <c r="AI15" s="241">
        <f t="shared" si="14"/>
        <v>41166.666666666664</v>
      </c>
      <c r="AJ15" s="241">
        <f t="shared" si="14"/>
        <v>41166.666666666664</v>
      </c>
      <c r="AK15" s="241">
        <f t="shared" si="14"/>
        <v>41166.666666666664</v>
      </c>
      <c r="AL15" s="241">
        <f t="shared" si="14"/>
        <v>41166.666666666664</v>
      </c>
      <c r="AM15" s="246">
        <f t="shared" si="14"/>
        <v>41166.666666666664</v>
      </c>
      <c r="AN15" s="247">
        <f>BE15/2*1000</f>
        <v>257500</v>
      </c>
      <c r="AO15" s="222">
        <f t="shared" ref="AO15:AS16" si="15">BF15/2*1000</f>
        <v>260500</v>
      </c>
      <c r="AP15" s="221">
        <f t="shared" si="15"/>
        <v>176500</v>
      </c>
      <c r="AQ15" s="222">
        <f t="shared" si="15"/>
        <v>176500</v>
      </c>
      <c r="AR15" s="221">
        <f t="shared" si="15"/>
        <v>123500</v>
      </c>
      <c r="AS15" s="247">
        <f t="shared" si="15"/>
        <v>123500</v>
      </c>
      <c r="AT15" s="240">
        <f>BK15*1000</f>
        <v>224000</v>
      </c>
      <c r="AU15" s="245">
        <f t="shared" ref="AU15:BC16" si="16">BL15*1000</f>
        <v>224000</v>
      </c>
      <c r="AV15" s="244">
        <f t="shared" si="16"/>
        <v>209000</v>
      </c>
      <c r="AW15" s="245">
        <f t="shared" si="16"/>
        <v>209000</v>
      </c>
      <c r="AX15" s="244">
        <f t="shared" si="16"/>
        <v>194000</v>
      </c>
      <c r="AY15" s="245">
        <f t="shared" si="16"/>
        <v>194000</v>
      </c>
      <c r="AZ15" s="244">
        <f t="shared" si="16"/>
        <v>194000</v>
      </c>
      <c r="BA15" s="245">
        <f t="shared" si="16"/>
        <v>194000</v>
      </c>
      <c r="BB15" s="244">
        <f t="shared" si="16"/>
        <v>0</v>
      </c>
      <c r="BC15" s="246">
        <f t="shared" si="16"/>
        <v>0</v>
      </c>
      <c r="BD15" s="209" t="s">
        <v>218</v>
      </c>
      <c r="BE15" s="200">
        <v>515</v>
      </c>
      <c r="BF15" s="200">
        <v>521</v>
      </c>
      <c r="BG15" s="200">
        <v>353</v>
      </c>
      <c r="BH15" s="200">
        <v>353</v>
      </c>
      <c r="BI15" s="200">
        <v>247</v>
      </c>
      <c r="BJ15" s="200">
        <v>247</v>
      </c>
      <c r="BK15" s="200">
        <v>224</v>
      </c>
      <c r="BL15" s="200">
        <v>224</v>
      </c>
      <c r="BM15" s="200">
        <v>209</v>
      </c>
      <c r="BN15" s="200">
        <v>209</v>
      </c>
      <c r="BO15" s="200">
        <v>194</v>
      </c>
      <c r="BP15" s="200">
        <v>194</v>
      </c>
      <c r="BQ15" s="200">
        <v>194</v>
      </c>
      <c r="BR15" s="200">
        <v>194</v>
      </c>
      <c r="BS15" s="200"/>
      <c r="BT15" s="200"/>
    </row>
    <row r="16" spans="1:72" s="1" customFormat="1" ht="13.5" thickBot="1" x14ac:dyDescent="0.25">
      <c r="A16" s="239" t="s">
        <v>93</v>
      </c>
      <c r="D16" s="248">
        <f t="shared" si="9"/>
        <v>135166.66666666666</v>
      </c>
      <c r="E16" s="249">
        <f t="shared" si="9"/>
        <v>135166.66666666666</v>
      </c>
      <c r="F16" s="249">
        <f t="shared" si="9"/>
        <v>135166.66666666666</v>
      </c>
      <c r="G16" s="249">
        <f t="shared" si="9"/>
        <v>135166.66666666666</v>
      </c>
      <c r="H16" s="249">
        <f t="shared" si="9"/>
        <v>135166.66666666666</v>
      </c>
      <c r="I16" s="250">
        <f t="shared" si="9"/>
        <v>135166.66666666666</v>
      </c>
      <c r="J16" s="251">
        <f t="shared" si="10"/>
        <v>90333.333333333328</v>
      </c>
      <c r="K16" s="249">
        <f t="shared" si="10"/>
        <v>90333.333333333328</v>
      </c>
      <c r="L16" s="249">
        <f t="shared" si="10"/>
        <v>90333.333333333328</v>
      </c>
      <c r="M16" s="249">
        <f t="shared" si="10"/>
        <v>90333.333333333328</v>
      </c>
      <c r="N16" s="249">
        <f t="shared" si="10"/>
        <v>90333.333333333328</v>
      </c>
      <c r="O16" s="249">
        <f t="shared" si="10"/>
        <v>90333.333333333328</v>
      </c>
      <c r="P16" s="252">
        <f t="shared" si="11"/>
        <v>89666.666666666672</v>
      </c>
      <c r="Q16" s="249">
        <f t="shared" si="11"/>
        <v>89666.666666666672</v>
      </c>
      <c r="R16" s="249">
        <f t="shared" si="11"/>
        <v>89666.666666666672</v>
      </c>
      <c r="S16" s="249">
        <f t="shared" si="11"/>
        <v>89666.666666666672</v>
      </c>
      <c r="T16" s="249">
        <f t="shared" si="11"/>
        <v>89666.666666666672</v>
      </c>
      <c r="U16" s="250">
        <f t="shared" si="11"/>
        <v>89666.666666666672</v>
      </c>
      <c r="V16" s="251">
        <f t="shared" si="12"/>
        <v>89666.666666666672</v>
      </c>
      <c r="W16" s="249">
        <f t="shared" si="12"/>
        <v>89666.666666666672</v>
      </c>
      <c r="X16" s="249">
        <f t="shared" si="12"/>
        <v>89666.666666666672</v>
      </c>
      <c r="Y16" s="249">
        <f t="shared" si="12"/>
        <v>89666.666666666672</v>
      </c>
      <c r="Z16" s="249">
        <f t="shared" si="12"/>
        <v>89666.666666666672</v>
      </c>
      <c r="AA16" s="253">
        <f t="shared" si="12"/>
        <v>89666.666666666672</v>
      </c>
      <c r="AB16" s="252">
        <f t="shared" si="13"/>
        <v>46333.333333333336</v>
      </c>
      <c r="AC16" s="249">
        <f t="shared" si="13"/>
        <v>46333.333333333336</v>
      </c>
      <c r="AD16" s="249">
        <f t="shared" si="13"/>
        <v>46333.333333333336</v>
      </c>
      <c r="AE16" s="249">
        <f t="shared" si="13"/>
        <v>46333.333333333336</v>
      </c>
      <c r="AF16" s="249">
        <f t="shared" si="13"/>
        <v>46333.333333333336</v>
      </c>
      <c r="AG16" s="250">
        <f t="shared" si="13"/>
        <v>46333.333333333336</v>
      </c>
      <c r="AH16" s="251">
        <f t="shared" si="14"/>
        <v>46333.333333333336</v>
      </c>
      <c r="AI16" s="249">
        <f t="shared" si="14"/>
        <v>46333.333333333336</v>
      </c>
      <c r="AJ16" s="249">
        <f t="shared" si="14"/>
        <v>46333.333333333336</v>
      </c>
      <c r="AK16" s="249">
        <f t="shared" si="14"/>
        <v>46333.333333333336</v>
      </c>
      <c r="AL16" s="249">
        <f t="shared" si="14"/>
        <v>46333.333333333336</v>
      </c>
      <c r="AM16" s="254">
        <f t="shared" si="14"/>
        <v>46333.333333333336</v>
      </c>
      <c r="AN16" s="247">
        <f>BE16/2*1000</f>
        <v>405500</v>
      </c>
      <c r="AO16" s="222">
        <f t="shared" si="15"/>
        <v>271000</v>
      </c>
      <c r="AP16" s="221">
        <f t="shared" si="15"/>
        <v>269000</v>
      </c>
      <c r="AQ16" s="222">
        <f t="shared" si="15"/>
        <v>269000</v>
      </c>
      <c r="AR16" s="221">
        <f t="shared" si="15"/>
        <v>139000</v>
      </c>
      <c r="AS16" s="247">
        <f t="shared" si="15"/>
        <v>139000</v>
      </c>
      <c r="AT16" s="248">
        <f>BK16*1000</f>
        <v>277000</v>
      </c>
      <c r="AU16" s="253">
        <f t="shared" si="16"/>
        <v>277000</v>
      </c>
      <c r="AV16" s="252">
        <f t="shared" si="16"/>
        <v>242000</v>
      </c>
      <c r="AW16" s="253">
        <f t="shared" si="16"/>
        <v>242000</v>
      </c>
      <c r="AX16" s="252">
        <f t="shared" si="16"/>
        <v>201000</v>
      </c>
      <c r="AY16" s="253">
        <f t="shared" si="16"/>
        <v>201000</v>
      </c>
      <c r="AZ16" s="252">
        <f t="shared" si="16"/>
        <v>190000</v>
      </c>
      <c r="BA16" s="253">
        <f t="shared" si="16"/>
        <v>190000</v>
      </c>
      <c r="BB16" s="252">
        <f t="shared" si="16"/>
        <v>107000</v>
      </c>
      <c r="BC16" s="254">
        <f t="shared" si="16"/>
        <v>107000</v>
      </c>
      <c r="BD16" s="209" t="s">
        <v>218</v>
      </c>
      <c r="BE16" s="200">
        <v>811</v>
      </c>
      <c r="BF16" s="200">
        <v>542</v>
      </c>
      <c r="BG16" s="200">
        <v>538</v>
      </c>
      <c r="BH16" s="200">
        <v>538</v>
      </c>
      <c r="BI16" s="200">
        <v>278</v>
      </c>
      <c r="BJ16" s="200">
        <v>278</v>
      </c>
      <c r="BK16" s="200">
        <v>277</v>
      </c>
      <c r="BL16" s="200">
        <v>277</v>
      </c>
      <c r="BM16" s="200">
        <v>242</v>
      </c>
      <c r="BN16" s="200">
        <v>242</v>
      </c>
      <c r="BO16" s="200">
        <v>201</v>
      </c>
      <c r="BP16" s="200">
        <v>201</v>
      </c>
      <c r="BQ16" s="200">
        <v>190</v>
      </c>
      <c r="BR16" s="200">
        <v>190</v>
      </c>
      <c r="BS16" s="200">
        <v>107</v>
      </c>
      <c r="BT16" s="200">
        <v>107</v>
      </c>
    </row>
    <row r="17" spans="1:72" s="1" customFormat="1" ht="13.5" thickBot="1" x14ac:dyDescent="0.25">
      <c r="D17" s="212"/>
      <c r="E17" s="196"/>
      <c r="F17" s="196"/>
      <c r="G17" s="196"/>
      <c r="H17" s="196"/>
      <c r="I17" s="196"/>
      <c r="J17" s="196"/>
      <c r="K17" s="196"/>
      <c r="L17" s="196"/>
      <c r="M17" s="196"/>
      <c r="N17" s="196"/>
      <c r="O17" s="196"/>
      <c r="P17" s="212"/>
      <c r="Q17" s="196"/>
      <c r="R17" s="196"/>
      <c r="S17" s="196"/>
      <c r="T17" s="196"/>
      <c r="U17" s="196"/>
      <c r="V17" s="196"/>
      <c r="W17" s="196"/>
      <c r="X17" s="196"/>
      <c r="Y17" s="196"/>
      <c r="Z17" s="196"/>
      <c r="AA17" s="213"/>
      <c r="AB17" s="212"/>
      <c r="AC17" s="196"/>
      <c r="AD17" s="196"/>
      <c r="AE17" s="196"/>
      <c r="AF17" s="196"/>
      <c r="AG17" s="196"/>
      <c r="AH17" s="196"/>
      <c r="AI17" s="196"/>
      <c r="AJ17" s="196"/>
      <c r="AK17" s="196"/>
      <c r="AL17" s="196"/>
      <c r="AM17" s="213"/>
      <c r="AN17" s="212"/>
      <c r="AO17" s="213"/>
      <c r="AP17" s="212"/>
      <c r="AQ17" s="213"/>
      <c r="AR17" s="212"/>
      <c r="AS17" s="213"/>
      <c r="AT17" s="212"/>
      <c r="AU17" s="213"/>
      <c r="AV17" s="212"/>
      <c r="AW17" s="213"/>
      <c r="AX17" s="212"/>
      <c r="AY17" s="213"/>
      <c r="AZ17" s="212"/>
      <c r="BA17" s="213"/>
      <c r="BB17" s="212"/>
      <c r="BC17" s="213"/>
      <c r="BD17" s="207"/>
      <c r="BE17" s="196"/>
      <c r="BF17" s="196"/>
      <c r="BG17" s="196"/>
      <c r="BH17" s="196"/>
      <c r="BI17" s="196"/>
      <c r="BJ17" s="196"/>
      <c r="BK17" s="196"/>
      <c r="BL17" s="196"/>
      <c r="BM17" s="196"/>
      <c r="BN17" s="196"/>
      <c r="BO17" s="196"/>
      <c r="BP17" s="196"/>
      <c r="BQ17" s="196"/>
      <c r="BR17" s="196"/>
      <c r="BS17" s="196"/>
      <c r="BT17" s="196"/>
    </row>
    <row r="18" spans="1:72" s="1" customFormat="1" ht="13.5" thickBot="1" x14ac:dyDescent="0.25">
      <c r="A18" s="239" t="s">
        <v>94</v>
      </c>
      <c r="D18" s="255">
        <f t="shared" ref="D18:I18" si="17">$BE18/6*1000</f>
        <v>134000</v>
      </c>
      <c r="E18" s="256">
        <f t="shared" si="17"/>
        <v>134000</v>
      </c>
      <c r="F18" s="256">
        <f t="shared" si="17"/>
        <v>134000</v>
      </c>
      <c r="G18" s="256">
        <f t="shared" si="17"/>
        <v>134000</v>
      </c>
      <c r="H18" s="256">
        <f t="shared" si="17"/>
        <v>134000</v>
      </c>
      <c r="I18" s="257">
        <f t="shared" si="17"/>
        <v>134000</v>
      </c>
      <c r="J18" s="258">
        <f t="shared" ref="J18:O18" si="18">$BF18/6*1000</f>
        <v>89500</v>
      </c>
      <c r="K18" s="256">
        <f t="shared" si="18"/>
        <v>89500</v>
      </c>
      <c r="L18" s="256">
        <f t="shared" si="18"/>
        <v>89500</v>
      </c>
      <c r="M18" s="256">
        <f t="shared" si="18"/>
        <v>89500</v>
      </c>
      <c r="N18" s="256">
        <f t="shared" si="18"/>
        <v>89500</v>
      </c>
      <c r="O18" s="256">
        <f t="shared" si="18"/>
        <v>89500</v>
      </c>
      <c r="P18" s="259">
        <f t="shared" ref="P18:U18" si="19">$BG18/6*1000</f>
        <v>76166.666666666672</v>
      </c>
      <c r="Q18" s="256">
        <f t="shared" si="19"/>
        <v>76166.666666666672</v>
      </c>
      <c r="R18" s="256">
        <f t="shared" si="19"/>
        <v>76166.666666666672</v>
      </c>
      <c r="S18" s="256">
        <f t="shared" si="19"/>
        <v>76166.666666666672</v>
      </c>
      <c r="T18" s="256">
        <f t="shared" si="19"/>
        <v>76166.666666666672</v>
      </c>
      <c r="U18" s="257">
        <f t="shared" si="19"/>
        <v>76166.666666666672</v>
      </c>
      <c r="V18" s="258">
        <f t="shared" ref="V18:AA18" si="20">$BH18/6*1000</f>
        <v>76166.666666666672</v>
      </c>
      <c r="W18" s="256">
        <f t="shared" si="20"/>
        <v>76166.666666666672</v>
      </c>
      <c r="X18" s="256">
        <f t="shared" si="20"/>
        <v>76166.666666666672</v>
      </c>
      <c r="Y18" s="256">
        <f t="shared" si="20"/>
        <v>76166.666666666672</v>
      </c>
      <c r="Z18" s="256">
        <f t="shared" si="20"/>
        <v>76166.666666666672</v>
      </c>
      <c r="AA18" s="260">
        <f t="shared" si="20"/>
        <v>76166.666666666672</v>
      </c>
      <c r="AB18" s="259">
        <f t="shared" ref="AB18:AG18" si="21">$BI18/6*1000</f>
        <v>44500</v>
      </c>
      <c r="AC18" s="256">
        <f t="shared" si="21"/>
        <v>44500</v>
      </c>
      <c r="AD18" s="256">
        <f t="shared" si="21"/>
        <v>44500</v>
      </c>
      <c r="AE18" s="256">
        <f t="shared" si="21"/>
        <v>44500</v>
      </c>
      <c r="AF18" s="256">
        <f t="shared" si="21"/>
        <v>44500</v>
      </c>
      <c r="AG18" s="257">
        <f t="shared" si="21"/>
        <v>44500</v>
      </c>
      <c r="AH18" s="258">
        <f t="shared" ref="AH18:AM18" si="22">$BJ18/6*1000</f>
        <v>44500</v>
      </c>
      <c r="AI18" s="256">
        <f t="shared" si="22"/>
        <v>44500</v>
      </c>
      <c r="AJ18" s="256">
        <f t="shared" si="22"/>
        <v>44500</v>
      </c>
      <c r="AK18" s="256">
        <f t="shared" si="22"/>
        <v>44500</v>
      </c>
      <c r="AL18" s="256">
        <f t="shared" si="22"/>
        <v>44500</v>
      </c>
      <c r="AM18" s="261">
        <f t="shared" si="22"/>
        <v>44500</v>
      </c>
      <c r="AN18" s="247">
        <f t="shared" ref="AN18:AS18" si="23">BE18/2*1000</f>
        <v>402000</v>
      </c>
      <c r="AO18" s="222">
        <f t="shared" si="23"/>
        <v>268500</v>
      </c>
      <c r="AP18" s="221">
        <f t="shared" si="23"/>
        <v>228500</v>
      </c>
      <c r="AQ18" s="222">
        <f t="shared" si="23"/>
        <v>228500</v>
      </c>
      <c r="AR18" s="221">
        <f t="shared" si="23"/>
        <v>133500</v>
      </c>
      <c r="AS18" s="247">
        <f t="shared" si="23"/>
        <v>133500</v>
      </c>
      <c r="AT18" s="255">
        <f t="shared" ref="AT18:BC18" si="24">BK18*1000</f>
        <v>166000</v>
      </c>
      <c r="AU18" s="260">
        <f t="shared" si="24"/>
        <v>166000</v>
      </c>
      <c r="AV18" s="259">
        <f t="shared" si="24"/>
        <v>144000</v>
      </c>
      <c r="AW18" s="260">
        <f t="shared" si="24"/>
        <v>144000</v>
      </c>
      <c r="AX18" s="259">
        <f t="shared" si="24"/>
        <v>115000</v>
      </c>
      <c r="AY18" s="260">
        <f t="shared" si="24"/>
        <v>115000</v>
      </c>
      <c r="AZ18" s="259">
        <f t="shared" si="24"/>
        <v>83000</v>
      </c>
      <c r="BA18" s="260">
        <f t="shared" si="24"/>
        <v>82000</v>
      </c>
      <c r="BB18" s="259">
        <f t="shared" si="24"/>
        <v>56000</v>
      </c>
      <c r="BC18" s="261">
        <f t="shared" si="24"/>
        <v>56000</v>
      </c>
      <c r="BD18" s="209" t="s">
        <v>218</v>
      </c>
      <c r="BE18" s="200">
        <v>804</v>
      </c>
      <c r="BF18" s="200">
        <v>537</v>
      </c>
      <c r="BG18" s="200">
        <v>457</v>
      </c>
      <c r="BH18" s="200">
        <v>457</v>
      </c>
      <c r="BI18" s="200">
        <v>267</v>
      </c>
      <c r="BJ18" s="200">
        <v>267</v>
      </c>
      <c r="BK18" s="200">
        <v>166</v>
      </c>
      <c r="BL18" s="200">
        <v>166</v>
      </c>
      <c r="BM18" s="200">
        <v>144</v>
      </c>
      <c r="BN18" s="200">
        <v>144</v>
      </c>
      <c r="BO18" s="200">
        <v>115</v>
      </c>
      <c r="BP18" s="200">
        <v>115</v>
      </c>
      <c r="BQ18" s="200">
        <v>83</v>
      </c>
      <c r="BR18" s="200">
        <v>82</v>
      </c>
      <c r="BS18" s="200">
        <v>56</v>
      </c>
      <c r="BT18" s="200">
        <v>56</v>
      </c>
    </row>
    <row r="19" spans="1:72" s="1" customFormat="1" ht="13.5" thickBot="1" x14ac:dyDescent="0.25">
      <c r="BD19" s="199"/>
    </row>
    <row r="20" spans="1:72" s="1" customFormat="1" ht="13.5" thickBot="1" x14ac:dyDescent="0.25">
      <c r="A20" s="239" t="s">
        <v>96</v>
      </c>
      <c r="D20" s="255">
        <f t="shared" si="9"/>
        <v>0</v>
      </c>
      <c r="E20" s="256">
        <f t="shared" si="9"/>
        <v>0</v>
      </c>
      <c r="F20" s="256">
        <f t="shared" si="9"/>
        <v>0</v>
      </c>
      <c r="G20" s="256">
        <f t="shared" si="9"/>
        <v>0</v>
      </c>
      <c r="H20" s="256">
        <f t="shared" si="9"/>
        <v>0</v>
      </c>
      <c r="I20" s="257">
        <f t="shared" si="9"/>
        <v>0</v>
      </c>
      <c r="J20" s="258">
        <f t="shared" si="10"/>
        <v>0</v>
      </c>
      <c r="K20" s="256">
        <f t="shared" si="10"/>
        <v>0</v>
      </c>
      <c r="L20" s="256">
        <f t="shared" si="10"/>
        <v>0</v>
      </c>
      <c r="M20" s="256">
        <f t="shared" si="10"/>
        <v>0</v>
      </c>
      <c r="N20" s="256">
        <f t="shared" si="10"/>
        <v>0</v>
      </c>
      <c r="O20" s="256">
        <f t="shared" si="10"/>
        <v>0</v>
      </c>
      <c r="P20" s="259">
        <f t="shared" si="11"/>
        <v>0</v>
      </c>
      <c r="Q20" s="256">
        <f t="shared" si="11"/>
        <v>0</v>
      </c>
      <c r="R20" s="256">
        <f t="shared" si="11"/>
        <v>0</v>
      </c>
      <c r="S20" s="256">
        <f t="shared" si="11"/>
        <v>0</v>
      </c>
      <c r="T20" s="256">
        <f t="shared" si="11"/>
        <v>0</v>
      </c>
      <c r="U20" s="257">
        <f t="shared" si="11"/>
        <v>0</v>
      </c>
      <c r="V20" s="258">
        <f t="shared" si="12"/>
        <v>0</v>
      </c>
      <c r="W20" s="256">
        <f t="shared" si="12"/>
        <v>0</v>
      </c>
      <c r="X20" s="256">
        <f t="shared" si="12"/>
        <v>0</v>
      </c>
      <c r="Y20" s="256">
        <f t="shared" si="12"/>
        <v>0</v>
      </c>
      <c r="Z20" s="256">
        <f t="shared" si="12"/>
        <v>0</v>
      </c>
      <c r="AA20" s="260">
        <f t="shared" si="12"/>
        <v>0</v>
      </c>
      <c r="AB20" s="259">
        <f t="shared" si="13"/>
        <v>0</v>
      </c>
      <c r="AC20" s="256">
        <f t="shared" si="13"/>
        <v>0</v>
      </c>
      <c r="AD20" s="256">
        <f t="shared" si="13"/>
        <v>0</v>
      </c>
      <c r="AE20" s="256">
        <f t="shared" si="13"/>
        <v>0</v>
      </c>
      <c r="AF20" s="256">
        <f t="shared" si="13"/>
        <v>0</v>
      </c>
      <c r="AG20" s="257">
        <f t="shared" si="13"/>
        <v>0</v>
      </c>
      <c r="AH20" s="258">
        <f t="shared" si="14"/>
        <v>0</v>
      </c>
      <c r="AI20" s="256">
        <f t="shared" si="14"/>
        <v>0</v>
      </c>
      <c r="AJ20" s="256">
        <f t="shared" si="14"/>
        <v>0</v>
      </c>
      <c r="AK20" s="256">
        <f t="shared" si="14"/>
        <v>0</v>
      </c>
      <c r="AL20" s="256">
        <f t="shared" si="14"/>
        <v>0</v>
      </c>
      <c r="AM20" s="261">
        <f t="shared" si="14"/>
        <v>0</v>
      </c>
      <c r="AN20" s="247">
        <f>BE20/2*1000</f>
        <v>0</v>
      </c>
      <c r="AO20" s="222">
        <f t="shared" ref="AO20:AS20" si="25">BF20/2*1000</f>
        <v>0</v>
      </c>
      <c r="AP20" s="221">
        <f t="shared" si="25"/>
        <v>0</v>
      </c>
      <c r="AQ20" s="222">
        <f t="shared" si="25"/>
        <v>0</v>
      </c>
      <c r="AR20" s="221">
        <f t="shared" si="25"/>
        <v>0</v>
      </c>
      <c r="AS20" s="247">
        <f t="shared" si="25"/>
        <v>0</v>
      </c>
      <c r="AT20" s="248">
        <f>BK20*1000</f>
        <v>0</v>
      </c>
      <c r="AU20" s="253">
        <f t="shared" ref="AU20:BC20" si="26">BL20*1000</f>
        <v>0</v>
      </c>
      <c r="AV20" s="252">
        <f t="shared" si="26"/>
        <v>0</v>
      </c>
      <c r="AW20" s="253">
        <f t="shared" si="26"/>
        <v>0</v>
      </c>
      <c r="AX20" s="252">
        <f t="shared" si="26"/>
        <v>0</v>
      </c>
      <c r="AY20" s="253">
        <f t="shared" si="26"/>
        <v>0</v>
      </c>
      <c r="AZ20" s="252">
        <f t="shared" si="26"/>
        <v>0</v>
      </c>
      <c r="BA20" s="253">
        <f t="shared" si="26"/>
        <v>0</v>
      </c>
      <c r="BB20" s="252">
        <f t="shared" si="26"/>
        <v>0</v>
      </c>
      <c r="BC20" s="254">
        <f t="shared" si="26"/>
        <v>0</v>
      </c>
      <c r="BD20" s="209" t="s">
        <v>218</v>
      </c>
      <c r="BE20" s="200"/>
      <c r="BF20" s="200"/>
      <c r="BG20" s="200"/>
      <c r="BH20" s="200"/>
      <c r="BI20" s="200"/>
      <c r="BJ20" s="200"/>
      <c r="BK20" s="200"/>
      <c r="BL20" s="200"/>
      <c r="BM20" s="200"/>
      <c r="BN20" s="200"/>
      <c r="BO20" s="200"/>
      <c r="BP20" s="200"/>
      <c r="BQ20" s="200"/>
      <c r="BR20" s="200"/>
      <c r="BS20" s="200"/>
      <c r="BT20" s="200"/>
    </row>
  </sheetData>
  <mergeCells count="54">
    <mergeCell ref="BM12:BN12"/>
    <mergeCell ref="BO12:BP12"/>
    <mergeCell ref="BQ12:BR12"/>
    <mergeCell ref="BS14:BT14"/>
    <mergeCell ref="BG14:BH14"/>
    <mergeCell ref="BI14:BJ14"/>
    <mergeCell ref="BK14:BL14"/>
    <mergeCell ref="BM14:BN14"/>
    <mergeCell ref="BO14:BP14"/>
    <mergeCell ref="BQ14:BR14"/>
    <mergeCell ref="AX12:AY12"/>
    <mergeCell ref="AZ12:BA12"/>
    <mergeCell ref="BB12:BC12"/>
    <mergeCell ref="BE12:BF12"/>
    <mergeCell ref="BG12:BH12"/>
    <mergeCell ref="BS1:BT1"/>
    <mergeCell ref="D12:O12"/>
    <mergeCell ref="P12:AA12"/>
    <mergeCell ref="AB12:AM12"/>
    <mergeCell ref="AN12:AO12"/>
    <mergeCell ref="AP12:AQ12"/>
    <mergeCell ref="AR12:AS12"/>
    <mergeCell ref="AT12:AU12"/>
    <mergeCell ref="BE1:BF1"/>
    <mergeCell ref="BG1:BH1"/>
    <mergeCell ref="BI1:BJ1"/>
    <mergeCell ref="BK1:BL1"/>
    <mergeCell ref="BM1:BN1"/>
    <mergeCell ref="AZ1:BA1"/>
    <mergeCell ref="BS12:BT12"/>
    <mergeCell ref="AV12:AW12"/>
    <mergeCell ref="BE14:BF14"/>
    <mergeCell ref="BE3:BF3"/>
    <mergeCell ref="BG3:BH3"/>
    <mergeCell ref="BI3:BJ3"/>
    <mergeCell ref="BK3:BL3"/>
    <mergeCell ref="BI12:BJ12"/>
    <mergeCell ref="BK12:BL12"/>
    <mergeCell ref="BQ3:BR3"/>
    <mergeCell ref="BS3:BT3"/>
    <mergeCell ref="D1:O1"/>
    <mergeCell ref="P1:AA1"/>
    <mergeCell ref="AB1:AM1"/>
    <mergeCell ref="BM3:BN3"/>
    <mergeCell ref="BO3:BP3"/>
    <mergeCell ref="BB1:BC1"/>
    <mergeCell ref="AN1:AO1"/>
    <mergeCell ref="AP1:AQ1"/>
    <mergeCell ref="AR1:AS1"/>
    <mergeCell ref="AT1:AU1"/>
    <mergeCell ref="AV1:AW1"/>
    <mergeCell ref="AX1:AY1"/>
    <mergeCell ref="BO1:BP1"/>
    <mergeCell ref="BQ1:BR1"/>
  </mergeCells>
  <conditionalFormatting sqref="A1:XFD1">
    <cfRule type="containsErrors" dxfId="6" priority="7">
      <formula>ISERROR(A1)</formula>
    </cfRule>
  </conditionalFormatting>
  <conditionalFormatting sqref="D12:BT12">
    <cfRule type="containsErrors" dxfId="5" priority="6">
      <formula>ISERROR(D12)</formula>
    </cfRule>
  </conditionalFormatting>
  <conditionalFormatting sqref="A2:XFD2">
    <cfRule type="containsErrors" dxfId="4" priority="5">
      <formula>ISERROR(A2)</formula>
    </cfRule>
  </conditionalFormatting>
  <conditionalFormatting sqref="D13:AM13 BD13">
    <cfRule type="containsErrors" dxfId="3" priority="4">
      <formula>ISERROR(D13)</formula>
    </cfRule>
  </conditionalFormatting>
  <conditionalFormatting sqref="BS13:BT13">
    <cfRule type="containsErrors" dxfId="2" priority="3">
      <formula>ISERROR(BS13)</formula>
    </cfRule>
  </conditionalFormatting>
  <conditionalFormatting sqref="BE13:BR13">
    <cfRule type="containsErrors" dxfId="1" priority="2">
      <formula>ISERROR(BE13)</formula>
    </cfRule>
  </conditionalFormatting>
  <conditionalFormatting sqref="AN13:BC13">
    <cfRule type="containsErrors" dxfId="0" priority="1">
      <formula>ISERROR(AN13)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Graph Datasheet</vt:lpstr>
      <vt:lpstr>1. Support table for POT </vt:lpstr>
      <vt:lpstr>2. Suppport table UTrel | OEE</vt:lpstr>
      <vt:lpstr>color code</vt:lpstr>
      <vt:lpstr>calculation sheet</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Sascha Motz</dc:creator>
  <cp:lastModifiedBy>Lorenz Fabian (EM-IB/PEO)</cp:lastModifiedBy>
  <cp:lastPrinted>2023-05-12T05:47:33Z</cp:lastPrinted>
  <dcterms:created xsi:type="dcterms:W3CDTF">2015-04-20T10:12:13Z</dcterms:created>
  <dcterms:modified xsi:type="dcterms:W3CDTF">2025-02-25T10:30:35Z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